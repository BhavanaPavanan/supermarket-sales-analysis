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bbcfa249dbd78b74/Desktop/"/>
    </mc:Choice>
  </mc:AlternateContent>
  <xr:revisionPtr revIDLastSave="37" documentId="8_{2CCB91AC-C98A-40F7-8E11-4F8845351337}" xr6:coauthVersionLast="47" xr6:coauthVersionMax="47" xr10:uidLastSave="{D6E4553C-C8C5-4D50-90F2-E840BFFBC0B2}"/>
  <bookViews>
    <workbookView xWindow="-108" yWindow="-108" windowWidth="23256" windowHeight="12456" activeTab="1" xr2:uid="{00000000-000D-0000-FFFF-FFFF00000000}"/>
  </bookViews>
  <sheets>
    <sheet name="Sheet1" sheetId="2" r:id="rId1"/>
    <sheet name="Sheet2" sheetId="3" r:id="rId2"/>
    <sheet name="1" sheetId="1" r:id="rId3"/>
  </sheets>
  <definedNames>
    <definedName name="Slicer_City">#N/A</definedName>
    <definedName name="Slicer_Customer_type">#N/A</definedName>
    <definedName name="Slicer_Gender">#N/A</definedName>
    <definedName name="Slicer_Payment">#N/A</definedName>
    <definedName name="Slicer_Product_lin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4" i="3" l="1"/>
  <c r="R4" i="3"/>
  <c r="N4" i="3"/>
  <c r="J4" i="3"/>
  <c r="F4" i="3"/>
  <c r="B4" i="3"/>
</calcChain>
</file>

<file path=xl/sharedStrings.xml><?xml version="1.0" encoding="utf-8"?>
<sst xmlns="http://schemas.openxmlformats.org/spreadsheetml/2006/main" count="7083" uniqueCount="1053">
  <si>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</si>
  <si>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</si>
  <si>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</si>
  <si>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</si>
  <si>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</si>
  <si>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</si>
  <si>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</si>
  <si>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</si>
  <si>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</si>
  <si>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</si>
  <si>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</si>
  <si>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</si>
  <si>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</si>
  <si>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</si>
  <si>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</si>
  <si>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</si>
  <si>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</si>
  <si>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</si>
  <si>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</si>
  <si>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</si>
  <si>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</si>
  <si>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</si>
  <si>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</si>
  <si>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</si>
  <si>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</si>
  <si>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</si>
  <si>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</si>
  <si>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</si>
  <si>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</si>
  <si>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</si>
  <si>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</si>
  <si>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</si>
  <si>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</si>
  <si>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</si>
  <si>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</si>
  <si>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</si>
  <si>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</si>
  <si>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</si>
  <si>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</si>
  <si>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</si>
  <si>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</si>
  <si>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</si>
  <si>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</si>
  <si>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</si>
  <si>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</si>
  <si>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</si>
  <si>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</si>
  <si>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</si>
  <si>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</si>
  <si>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</si>
  <si>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</si>
  <si>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</si>
  <si>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</si>
  <si>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</si>
  <si>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</si>
  <si>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</si>
  <si>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</si>
  <si>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</si>
  <si>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</si>
  <si>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</si>
  <si>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</si>
  <si>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</si>
  <si>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</si>
  <si>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</si>
  <si>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</si>
  <si>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</si>
  <si>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</si>
  <si>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</si>
  <si>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</si>
  <si>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</si>
  <si>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</si>
  <si>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</si>
  <si>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</si>
  <si>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</si>
  <si>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</si>
  <si>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</si>
  <si>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</si>
  <si>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</si>
  <si>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</si>
  <si>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</si>
  <si>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</si>
  <si>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</si>
  <si>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</si>
  <si>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</si>
  <si>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</si>
  <si>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</si>
  <si>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</si>
  <si>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</si>
  <si>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</si>
  <si>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</si>
  <si>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</si>
  <si>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</si>
  <si>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</si>
  <si>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</si>
  <si>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</si>
  <si>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</si>
  <si>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</si>
  <si>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</si>
  <si>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</si>
  <si>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</si>
  <si>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</si>
  <si>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</si>
  <si>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</si>
  <si>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</si>
  <si>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</si>
  <si>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</si>
  <si>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</si>
  <si>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</si>
  <si>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</si>
  <si>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</si>
  <si>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</si>
  <si>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</si>
  <si>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</si>
  <si>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</si>
  <si>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</si>
  <si>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</si>
  <si>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</si>
  <si>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</si>
  <si>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</si>
  <si>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</si>
  <si>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</si>
  <si>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</si>
  <si>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</si>
  <si>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</si>
  <si>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</si>
  <si>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</si>
  <si>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</si>
  <si>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</si>
  <si>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</si>
  <si>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</si>
  <si>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</si>
  <si>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</si>
  <si>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</si>
  <si>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</si>
  <si>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</si>
  <si>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</si>
  <si>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</si>
  <si>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</si>
  <si>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</si>
  <si>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</si>
  <si>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</si>
  <si>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</si>
  <si>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</si>
  <si>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</si>
  <si>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</si>
  <si>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</si>
  <si>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</si>
  <si>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</si>
  <si>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</si>
  <si>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</si>
  <si>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</si>
  <si>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</si>
  <si>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</si>
  <si>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</si>
  <si>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</si>
  <si>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</si>
  <si>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</si>
  <si>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</si>
  <si>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</si>
  <si>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</si>
  <si>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</si>
  <si>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</si>
  <si>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</si>
  <si>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</si>
  <si>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</si>
  <si>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</si>
  <si>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</si>
  <si>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</si>
  <si>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</si>
  <si>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</si>
  <si>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</si>
  <si>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</si>
  <si>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</si>
  <si>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</si>
  <si>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</si>
  <si>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</si>
  <si>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</si>
  <si>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</si>
  <si>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</si>
  <si>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</si>
  <si>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</si>
  <si>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</si>
  <si>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</si>
  <si>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</si>
  <si>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</si>
  <si>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</si>
  <si>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</si>
  <si>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</si>
  <si>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</si>
  <si>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</si>
  <si>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</si>
  <si>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</si>
  <si>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</si>
  <si>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</si>
  <si>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</si>
  <si>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</si>
  <si>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</si>
  <si>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</si>
  <si>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</si>
  <si>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</si>
  <si>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</si>
  <si>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</si>
  <si>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</si>
  <si>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</si>
  <si>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</si>
  <si>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</si>
  <si>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</si>
  <si>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</si>
  <si>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</si>
  <si>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</si>
  <si>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</si>
  <si>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</si>
  <si>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</si>
  <si>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</si>
  <si>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</si>
  <si>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</si>
  <si>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</si>
  <si>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</si>
  <si>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</si>
  <si>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</si>
  <si>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</si>
  <si>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</si>
  <si>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</si>
  <si>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</si>
  <si>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</si>
  <si>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</si>
  <si>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</si>
  <si>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</si>
  <si>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</si>
  <si>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</si>
  <si>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</si>
  <si>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</si>
  <si>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</si>
  <si>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</si>
  <si>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</si>
  <si>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</si>
  <si>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</si>
  <si>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</si>
  <si>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</si>
  <si>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</si>
  <si>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</si>
  <si>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</si>
  <si>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</si>
  <si>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</si>
  <si>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</si>
  <si>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</si>
  <si>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</si>
  <si>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</si>
  <si>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</si>
  <si>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</si>
  <si>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</si>
  <si>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</si>
  <si>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</si>
  <si>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</si>
  <si>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</si>
  <si>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</si>
  <si>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</si>
  <si>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</si>
  <si>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</si>
  <si>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</si>
  <si>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</si>
  <si>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</si>
  <si>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</si>
  <si>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</si>
  <si>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</si>
  <si>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</si>
  <si>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</si>
  <si>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</si>
  <si>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</si>
  <si>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</si>
  <si>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</si>
  <si>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</si>
  <si>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</si>
  <si>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</si>
  <si>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</si>
  <si>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</si>
  <si>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</si>
  <si>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</si>
  <si>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</si>
  <si>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</si>
  <si>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</si>
  <si>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</si>
  <si>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</si>
  <si>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</si>
  <si>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</si>
  <si>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</si>
  <si>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</si>
  <si>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</si>
  <si>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</si>
  <si>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</si>
  <si>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</si>
  <si>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</si>
  <si>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</si>
  <si>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</si>
  <si>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</si>
  <si>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</si>
  <si>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</si>
  <si>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</si>
  <si>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</si>
  <si>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</si>
  <si>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</si>
  <si>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</si>
  <si>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</si>
  <si>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</si>
  <si>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</si>
  <si>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</si>
  <si>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</si>
  <si>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</si>
  <si>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</si>
  <si>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</si>
  <si>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</si>
  <si>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</si>
  <si>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</si>
  <si>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</si>
  <si>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</si>
  <si>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</si>
  <si>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</si>
  <si>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</si>
  <si>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</si>
  <si>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</si>
  <si>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</si>
  <si>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</si>
  <si>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</si>
  <si>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</si>
  <si>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</si>
  <si>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</si>
  <si>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</si>
  <si>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</si>
  <si>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</si>
  <si>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</si>
  <si>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</si>
  <si>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</si>
  <si>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</si>
  <si>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</si>
  <si>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</si>
  <si>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</si>
  <si>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</si>
  <si>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</si>
  <si>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</si>
  <si>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</si>
  <si>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</si>
  <si>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</si>
  <si>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</si>
  <si>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</si>
  <si>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</si>
  <si>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</si>
  <si>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</si>
  <si>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</si>
  <si>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</si>
  <si>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</si>
  <si>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</si>
  <si>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</si>
  <si>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</si>
  <si>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</si>
  <si>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</si>
  <si>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</si>
  <si>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</si>
  <si>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</si>
  <si>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</si>
  <si>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</si>
  <si>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</si>
  <si>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</si>
  <si>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</si>
  <si>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</si>
  <si>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</si>
  <si>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</si>
  <si>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</si>
  <si>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</si>
  <si>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</si>
  <si>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</si>
  <si>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</si>
  <si>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</si>
  <si>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</si>
  <si>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</si>
  <si>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</si>
  <si>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</si>
  <si>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</si>
  <si>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</si>
  <si>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</si>
  <si>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</si>
  <si>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</si>
  <si>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</si>
  <si>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</si>
  <si>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</si>
  <si>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</si>
  <si>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</si>
  <si>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</si>
  <si>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</si>
  <si>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</si>
  <si>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</si>
  <si>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</si>
  <si>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</si>
  <si>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</si>
  <si>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</si>
  <si>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</si>
  <si>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</si>
  <si>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</si>
  <si>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</si>
  <si>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</si>
  <si>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</si>
  <si>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</si>
  <si>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</si>
  <si>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</si>
  <si>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</si>
  <si>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</si>
  <si>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</si>
  <si>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</si>
  <si>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</si>
  <si>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</si>
  <si>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</si>
  <si>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</si>
  <si>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</si>
  <si>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</si>
  <si>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</si>
  <si>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</si>
  <si>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</si>
  <si>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</si>
  <si>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</si>
  <si>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</si>
  <si>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</si>
  <si>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</si>
  <si>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</si>
  <si>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</si>
  <si>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</si>
  <si>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</si>
  <si>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</si>
  <si>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</si>
  <si>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</si>
  <si>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</si>
  <si>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</si>
  <si>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</si>
  <si>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</si>
  <si>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</si>
  <si>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</si>
  <si>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</si>
  <si>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</si>
  <si>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</si>
  <si>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</si>
  <si>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</si>
  <si>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</si>
  <si>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</si>
  <si>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</si>
  <si>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</si>
  <si>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</si>
  <si>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</si>
  <si>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</si>
  <si>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</si>
  <si>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</si>
  <si>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</si>
  <si>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</si>
  <si>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</si>
  <si>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</si>
  <si>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</si>
  <si>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</si>
  <si>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</si>
  <si>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</si>
  <si>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</si>
  <si>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</si>
  <si>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</si>
  <si>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</si>
  <si>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</si>
  <si>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</si>
  <si>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</si>
  <si>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</si>
  <si>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</si>
  <si>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</si>
  <si>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</si>
  <si>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</si>
  <si>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</si>
  <si>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</si>
  <si>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</si>
  <si>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</si>
  <si>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</si>
  <si>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</si>
  <si>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</si>
  <si>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</si>
  <si>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</si>
  <si>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</si>
  <si>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</si>
  <si>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</si>
  <si>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</si>
  <si>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</si>
  <si>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</si>
  <si>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</si>
  <si>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</si>
  <si>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</si>
  <si>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</si>
  <si>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</si>
  <si>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</si>
  <si>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</si>
  <si>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</si>
  <si>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</si>
  <si>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</si>
  <si>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</si>
  <si>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</si>
  <si>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</si>
  <si>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</si>
  <si>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</si>
  <si>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</si>
  <si>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</si>
  <si>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</si>
  <si>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</si>
  <si>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</si>
  <si>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</si>
  <si>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</si>
  <si>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</si>
  <si>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</si>
  <si>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</si>
  <si>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</si>
  <si>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</si>
  <si>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</si>
  <si>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</si>
  <si>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</si>
  <si>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</si>
  <si>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</si>
  <si>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</si>
  <si>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</si>
  <si>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</si>
  <si>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</si>
  <si>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</si>
  <si>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</si>
  <si>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</si>
  <si>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</si>
  <si>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</si>
  <si>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</si>
  <si>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</si>
  <si>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</si>
  <si>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</si>
  <si>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</si>
  <si>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</si>
  <si>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</si>
  <si>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</si>
  <si>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</si>
  <si>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</si>
  <si>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</si>
  <si>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</si>
  <si>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</si>
  <si>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</si>
  <si>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</si>
  <si>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</si>
  <si>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</si>
  <si>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</si>
  <si>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</si>
  <si>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</si>
  <si>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</si>
  <si>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</si>
  <si>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</si>
  <si>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</si>
  <si>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</si>
  <si>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</si>
  <si>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</si>
  <si>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</si>
  <si>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</si>
  <si>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</si>
  <si>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</si>
  <si>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</si>
  <si>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</si>
  <si>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</si>
  <si>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</si>
  <si>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</si>
  <si>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</si>
  <si>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</si>
  <si>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</si>
  <si>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</si>
  <si>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</si>
  <si>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</si>
  <si>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</si>
  <si>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</si>
  <si>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</si>
  <si>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</si>
  <si>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</si>
  <si>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</si>
  <si>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</si>
  <si>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</si>
  <si>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</si>
  <si>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</si>
  <si>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</si>
  <si>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</si>
  <si>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</si>
  <si>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</si>
  <si>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</si>
  <si>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</si>
  <si>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</si>
  <si>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</si>
  <si>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</si>
  <si>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</si>
  <si>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</si>
  <si>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</si>
  <si>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</si>
  <si>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</si>
  <si>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</si>
  <si>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</si>
  <si>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</si>
  <si>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</si>
  <si>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</si>
  <si>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</si>
  <si>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</si>
  <si>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</si>
  <si>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</si>
  <si>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</si>
  <si>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</si>
  <si>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</si>
  <si>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</si>
  <si>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</si>
  <si>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</si>
  <si>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</si>
  <si>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</si>
  <si>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</si>
  <si>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</si>
  <si>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</si>
  <si>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</si>
  <si>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</si>
  <si>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</si>
  <si>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</si>
  <si>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</si>
  <si>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</si>
  <si>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</si>
  <si>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</si>
  <si>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</si>
  <si>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</si>
  <si>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</si>
  <si>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</si>
  <si>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</si>
  <si>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</si>
  <si>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</si>
  <si>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</si>
  <si>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</si>
  <si>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</si>
  <si>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</si>
  <si>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</si>
  <si>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</si>
  <si>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</si>
  <si>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</si>
  <si>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</si>
  <si>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</si>
  <si>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</si>
  <si>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</si>
  <si>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</si>
  <si>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</si>
  <si>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</si>
  <si>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</si>
  <si>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</si>
  <si>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</si>
  <si>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</si>
  <si>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</si>
  <si>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</si>
  <si>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</si>
  <si>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</si>
  <si>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</si>
  <si>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</si>
  <si>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</si>
  <si>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</si>
  <si>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</si>
  <si>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</si>
  <si>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</si>
  <si>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</si>
  <si>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</si>
  <si>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</si>
  <si>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</si>
  <si>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</si>
  <si>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</si>
  <si>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</si>
  <si>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</si>
  <si>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</si>
  <si>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</si>
  <si>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</si>
  <si>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</si>
  <si>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</si>
  <si>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</si>
  <si>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</si>
  <si>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</si>
  <si>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</si>
  <si>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</si>
  <si>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</si>
  <si>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</si>
  <si>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</si>
  <si>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</si>
  <si>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</si>
  <si>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</si>
  <si>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</si>
  <si>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</si>
  <si>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</si>
  <si>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</si>
  <si>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</si>
  <si>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</si>
  <si>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</si>
  <si>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</si>
  <si>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</si>
  <si>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</si>
  <si>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</si>
  <si>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</si>
  <si>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</si>
  <si>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</si>
  <si>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</si>
  <si>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</si>
  <si>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</si>
  <si>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</si>
  <si>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</si>
  <si>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</si>
  <si>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</si>
  <si>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</si>
  <si>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</si>
  <si>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</si>
  <si>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</si>
  <si>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</si>
  <si>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</si>
  <si>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</si>
  <si>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</si>
  <si>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</si>
  <si>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</si>
  <si>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</si>
  <si>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</si>
  <si>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</si>
  <si>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</si>
  <si>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</si>
  <si>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</si>
  <si>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</si>
  <si>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</si>
  <si>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</si>
  <si>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</si>
  <si>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</si>
  <si>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</si>
  <si>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</si>
  <si>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</si>
  <si>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</si>
  <si>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</si>
  <si>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</si>
  <si>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</si>
  <si>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</si>
  <si>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</si>
  <si>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</si>
  <si>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</si>
  <si>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</si>
  <si>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</si>
  <si>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</si>
  <si>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</si>
  <si>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</si>
  <si>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</si>
  <si>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</si>
  <si>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</si>
  <si>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</si>
  <si>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</si>
  <si>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</si>
  <si>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</si>
  <si>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</si>
  <si>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</si>
  <si>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</si>
  <si>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</si>
  <si>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</si>
  <si>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</si>
  <si>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</si>
  <si>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</si>
  <si>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</si>
  <si>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</si>
  <si>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</si>
  <si>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</si>
  <si>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</si>
  <si>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</si>
  <si>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</si>
  <si>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</si>
  <si>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</si>
  <si>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</si>
  <si>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</si>
  <si>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</si>
  <si>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</si>
  <si>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</si>
  <si>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</si>
  <si>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</si>
  <si>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</si>
  <si>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</si>
  <si>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</si>
  <si>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</si>
  <si>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</si>
  <si>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</si>
  <si>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</si>
  <si>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</si>
  <si>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</si>
  <si>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</si>
  <si>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</si>
  <si>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</si>
  <si>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</si>
  <si>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</si>
  <si>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</si>
  <si>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</si>
  <si>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</si>
  <si>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</si>
  <si>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</si>
  <si>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</si>
  <si>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</si>
  <si>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</si>
  <si>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</si>
  <si>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</si>
  <si>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</si>
  <si>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</si>
  <si>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</si>
  <si>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</si>
  <si>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</si>
  <si>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</si>
  <si>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</si>
  <si>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</si>
  <si>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</si>
  <si>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</si>
  <si>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</si>
  <si>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</si>
  <si>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</si>
  <si>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</si>
  <si>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</si>
  <si>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</si>
  <si>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</si>
  <si>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</si>
  <si>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</si>
  <si>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</si>
  <si>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</si>
  <si>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</si>
  <si>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</si>
  <si>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</si>
  <si>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</si>
  <si>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</si>
  <si>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</si>
  <si>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</si>
  <si>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</si>
  <si>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</si>
  <si>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</si>
  <si>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</si>
  <si>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</si>
  <si>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</si>
  <si>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</si>
  <si>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</si>
  <si>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</si>
  <si>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</si>
  <si>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</si>
  <si>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</si>
  <si>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</si>
  <si>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</si>
  <si>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</si>
  <si>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</si>
  <si>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</si>
  <si>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</si>
  <si>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</si>
  <si>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</si>
  <si>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</si>
  <si>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</si>
  <si>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</si>
  <si>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</si>
  <si>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</si>
  <si>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</si>
  <si>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</si>
  <si>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</si>
  <si>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</si>
  <si>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</si>
  <si>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</si>
  <si>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</si>
  <si>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</si>
  <si>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</si>
  <si>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</si>
  <si>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</si>
  <si>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</si>
  <si>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</si>
  <si>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</si>
  <si>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</si>
  <si>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</si>
  <si>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</si>
  <si>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</si>
  <si>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</si>
  <si>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</si>
  <si>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</si>
  <si>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</si>
  <si>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</si>
  <si>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</si>
  <si>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</si>
  <si>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</si>
  <si>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</si>
  <si>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</si>
  <si>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</si>
  <si>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</si>
  <si>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</si>
  <si>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</si>
  <si>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</si>
  <si>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</si>
  <si>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</si>
  <si>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</si>
  <si>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</si>
  <si>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</si>
  <si>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</si>
  <si>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</si>
  <si>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</si>
  <si>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</si>
  <si>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</si>
  <si>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</si>
  <si>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</si>
  <si>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</si>
  <si>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</si>
  <si>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</si>
  <si>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</si>
  <si>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</si>
  <si>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</si>
  <si>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</si>
  <si>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</si>
  <si>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</si>
  <si>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</si>
  <si>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</si>
  <si>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</si>
  <si>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</si>
  <si>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</si>
  <si>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</si>
  <si>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</si>
  <si>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</si>
  <si>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</si>
  <si>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</si>
  <si>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</si>
  <si>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</si>
  <si>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</si>
  <si>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</si>
  <si>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</si>
  <si>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</si>
  <si>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</si>
  <si>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</si>
  <si>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</si>
  <si>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</si>
  <si>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</si>
  <si>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</si>
  <si>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</si>
  <si>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</si>
  <si>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</si>
  <si>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</si>
  <si>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</si>
  <si>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</si>
  <si>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</si>
  <si>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</si>
  <si>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</si>
  <si>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</si>
  <si>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</si>
  <si>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</si>
  <si>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</si>
  <si>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</si>
  <si>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</si>
  <si>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</si>
  <si>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</si>
  <si>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</si>
  <si>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</si>
  <si>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</si>
  <si>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</si>
  <si>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</si>
  <si>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</si>
  <si>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</si>
  <si>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</si>
  <si>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</si>
  <si>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</si>
  <si>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</si>
  <si>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</si>
  <si>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</si>
  <si>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</si>
  <si>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</si>
  <si>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</si>
  <si>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</si>
  <si>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</si>
  <si>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</si>
  <si>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</si>
  <si>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</si>
  <si>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</si>
  <si>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</si>
  <si>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</si>
  <si>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</si>
  <si>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</si>
  <si>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</si>
  <si>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</si>
  <si>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</si>
  <si>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</si>
  <si>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</si>
  <si>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</si>
  <si>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</si>
  <si>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</si>
  <si>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</si>
  <si>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</si>
  <si>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</si>
  <si>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</si>
  <si>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</si>
  <si>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</si>
  <si>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</si>
  <si>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</si>
  <si>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</si>
  <si>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</si>
  <si>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</si>
  <si>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</si>
  <si>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</si>
  <si>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</si>
  <si>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</si>
  <si>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</si>
  <si>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</si>
  <si>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</si>
  <si>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</si>
  <si>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</si>
  <si>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</si>
  <si>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</si>
  <si>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</si>
  <si>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</si>
  <si>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</si>
  <si>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</si>
  <si>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</si>
  <si>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</si>
  <si>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</si>
  <si>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</si>
  <si>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</si>
  <si>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</si>
  <si>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</si>
  <si>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</si>
  <si>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</si>
  <si>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</si>
  <si>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</si>
  <si>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</si>
  <si>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</si>
  <si>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</si>
  <si>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</si>
  <si>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</si>
  <si>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</si>
  <si>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</si>
  <si>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</si>
  <si>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</si>
  <si>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</si>
  <si>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</si>
  <si>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</si>
  <si>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</si>
  <si>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</si>
  <si>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</si>
  <si>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</si>
  <si>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</si>
  <si>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</si>
  <si>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</si>
  <si>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</si>
  <si>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</si>
  <si>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</si>
  <si>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</si>
  <si>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</si>
  <si>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</si>
  <si>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</si>
  <si>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</si>
  <si>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</si>
  <si>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Average of Rating</t>
  </si>
  <si>
    <t>Sum of Quantity</t>
  </si>
  <si>
    <t>Sum of Total</t>
  </si>
  <si>
    <t>Count of Payment</t>
  </si>
  <si>
    <t>Sum of gross income</t>
  </si>
  <si>
    <t>Jan</t>
  </si>
  <si>
    <t>Feb</t>
  </si>
  <si>
    <t>Mar</t>
  </si>
  <si>
    <t>Count of Invoice ID</t>
  </si>
  <si>
    <t>SUPERMARKET SALES DASHBOARD</t>
  </si>
  <si>
    <t>TOTAL SALES</t>
  </si>
  <si>
    <t>TOTAL GROSS INCOME</t>
  </si>
  <si>
    <t>TOTAL QUANTITY SOLD</t>
  </si>
  <si>
    <t>AVERAGE RATING</t>
  </si>
  <si>
    <t>TOTAL INVOICES</t>
  </si>
  <si>
    <t>HIGHEST REVENUE 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</si>
</sst>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Lucida Bright"/>
      <family val="1"/>
    </font>
    <font>
      <b/>
      <u/>
      <sz val="20"/>
      <color theme="1"/>
      <name val="Lucida Bright"/>
      <family val="1"/>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59999389629810485"/>
        <bgColor indexed="64"/>
      </patternFill>
    </fill>
    <fill>
      <patternFill patternType="solid">
        <fgColor theme="4" tint="0.39997558519241921"/>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13">
    <xf numFmtId="0" fontId="0" fillId="0" borderId="0" xfId="0"/>
    <xf numFmtId="14" fontId="0" fillId="0" borderId="0" xfId="0" applyNumberFormat="1"/>
    <xf numFmtId="2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4" borderId="0" xfId="0" applyFill="1"/>
    <xf numFmtId="0" fontId="18" fillId="33" borderId="0" xfId="0" applyFont="1" applyFill="1" applyAlignment="1">
      <alignment horizontal="center"/>
    </xf>
    <xf numFmtId="0" fontId="18" fillId="34" borderId="0" xfId="0" applyFont="1" applyFill="1"/>
    <xf numFmtId="0" fontId="18" fillId="0" borderId="0" xfId="0" applyFont="1"/>
    <xf numFmtId="0" fontId="19" fillId="34" borderId="0" xfId="0" applyFont="1" applyFill="1" applyAlignment="1">
      <alignment horizontal="center"/>
    </xf>
    <xf numFmtId="0" fontId="0" fillId="35" borderId="0" xfId="0" applyFill="1"/>
    <xf numFmtId="0" fontId="18" fillId="35" borderId="0" xfId="0" applyFont="1" applyFill="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1" defaultTableStyle="TableStyleMedium2" defaultPivotStyle="PivotStyleLight16">
    <tableStyle name="Invisible" pivot="0" table="0" count="0" xr9:uid="{BE7658B6-FFA9-4CCC-93EE-E2DBF49496B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supermarket_sales 9-7-26.xlsx]Sheet1!PivotTable1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Rating by Product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Sheet1!$B$4:$B$9</c:f>
              <c:numCache>
                <c:formatCode>General</c:formatCode>
                <c:ptCount val="6"/>
                <c:pt idx="0">
                  <c:v>6.9247058823529404</c:v>
                </c:pt>
                <c:pt idx="1">
                  <c:v>7.0292134831460666</c:v>
                </c:pt>
                <c:pt idx="2">
                  <c:v>7.1132183908045983</c:v>
                </c:pt>
                <c:pt idx="3">
                  <c:v>7.0032894736842124</c:v>
                </c:pt>
                <c:pt idx="4">
                  <c:v>6.8375000000000004</c:v>
                </c:pt>
                <c:pt idx="5">
                  <c:v>6.9162650602409643</c:v>
                </c:pt>
              </c:numCache>
            </c:numRef>
          </c:val>
          <c:extLst>
            <c:ext xmlns:c16="http://schemas.microsoft.com/office/drawing/2014/chart" uri="{C3380CC4-5D6E-409C-BE32-E72D297353CC}">
              <c16:uniqueId val="{00000000-828B-4C49-A1D8-CB31B0404E6B}"/>
            </c:ext>
          </c:extLst>
        </c:ser>
        <c:dLbls>
          <c:showLegendKey val="0"/>
          <c:showVal val="0"/>
          <c:showCatName val="0"/>
          <c:showSerName val="0"/>
          <c:showPercent val="0"/>
          <c:showBubbleSize val="0"/>
        </c:dLbls>
        <c:gapWidth val="182"/>
        <c:axId val="1767473696"/>
        <c:axId val="1764081232"/>
      </c:barChart>
      <c:catAx>
        <c:axId val="1767473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081232"/>
        <c:crosses val="autoZero"/>
        <c:auto val="1"/>
        <c:lblAlgn val="ctr"/>
        <c:lblOffset val="100"/>
        <c:noMultiLvlLbl val="0"/>
      </c:catAx>
      <c:valAx>
        <c:axId val="1764081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47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supermarket_sales 9-7-26.xlsx]Sheet1!Product by City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by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Sheet1!$B$19</c:f>
              <c:strCache>
                <c:ptCount val="1"/>
                <c:pt idx="0">
                  <c:v>Total</c:v>
                </c:pt>
              </c:strCache>
            </c:strRef>
          </c:tx>
          <c:spPr>
            <a:solidFill>
              <a:schemeClr val="accent1"/>
            </a:solidFill>
            <a:ln>
              <a:noFill/>
            </a:ln>
            <a:effectLst/>
          </c:spPr>
          <c:invertIfNegative val="0"/>
          <c:cat>
            <c:multiLvlStrRef>
              <c:f>Sheet1!$A$20:$A$40</c:f>
              <c:multiLvlStrCache>
                <c:ptCount val="18"/>
                <c:lvl>
                  <c:pt idx="0">
                    <c:v>Sports and travel</c:v>
                  </c:pt>
                  <c:pt idx="1">
                    <c:v>Health and beauty</c:v>
                  </c:pt>
                  <c:pt idx="2">
                    <c:v>Electronic accessories</c:v>
                  </c:pt>
                  <c:pt idx="3">
                    <c:v>Fashion accessories</c:v>
                  </c:pt>
                  <c:pt idx="4">
                    <c:v>Home and lifestyle</c:v>
                  </c:pt>
                  <c:pt idx="5">
                    <c:v>Food and beverages</c:v>
                  </c:pt>
                  <c:pt idx="6">
                    <c:v>Food and beverages</c:v>
                  </c:pt>
                  <c:pt idx="7">
                    <c:v>Fashion accessories</c:v>
                  </c:pt>
                  <c:pt idx="8">
                    <c:v>Electronic accessories</c:v>
                  </c:pt>
                  <c:pt idx="9">
                    <c:v>Health and beauty</c:v>
                  </c:pt>
                  <c:pt idx="10">
                    <c:v>Sports and travel</c:v>
                  </c:pt>
                  <c:pt idx="11">
                    <c:v>Home and lifestyle</c:v>
                  </c:pt>
                  <c:pt idx="12">
                    <c:v>Home and lifestyle</c:v>
                  </c:pt>
                  <c:pt idx="13">
                    <c:v>Sports and travel</c:v>
                  </c:pt>
                  <c:pt idx="14">
                    <c:v>Electronic accessories</c:v>
                  </c:pt>
                  <c:pt idx="15">
                    <c:v>Food and beverages</c:v>
                  </c:pt>
                  <c:pt idx="16">
                    <c:v>Fashion accessories</c:v>
                  </c:pt>
                  <c:pt idx="17">
                    <c:v>Health and beauty</c:v>
                  </c:pt>
                </c:lvl>
                <c:lvl>
                  <c:pt idx="0">
                    <c:v>Mandalay</c:v>
                  </c:pt>
                  <c:pt idx="6">
                    <c:v>Naypyitaw</c:v>
                  </c:pt>
                  <c:pt idx="12">
                    <c:v>Yangon</c:v>
                  </c:pt>
                </c:lvl>
              </c:multiLvlStrCache>
            </c:multiLvlStrRef>
          </c:cat>
          <c:val>
            <c:numRef>
              <c:f>Sheet1!$B$20:$B$40</c:f>
              <c:numCache>
                <c:formatCode>General</c:formatCode>
                <c:ptCount val="18"/>
                <c:pt idx="0">
                  <c:v>322</c:v>
                </c:pt>
                <c:pt idx="1">
                  <c:v>320</c:v>
                </c:pt>
                <c:pt idx="2">
                  <c:v>316</c:v>
                </c:pt>
                <c:pt idx="3">
                  <c:v>297</c:v>
                </c:pt>
                <c:pt idx="4">
                  <c:v>295</c:v>
                </c:pt>
                <c:pt idx="5">
                  <c:v>270</c:v>
                </c:pt>
                <c:pt idx="6">
                  <c:v>369</c:v>
                </c:pt>
                <c:pt idx="7">
                  <c:v>342</c:v>
                </c:pt>
                <c:pt idx="8">
                  <c:v>333</c:v>
                </c:pt>
                <c:pt idx="9">
                  <c:v>277</c:v>
                </c:pt>
                <c:pt idx="10">
                  <c:v>265</c:v>
                </c:pt>
                <c:pt idx="11">
                  <c:v>245</c:v>
                </c:pt>
                <c:pt idx="12">
                  <c:v>371</c:v>
                </c:pt>
                <c:pt idx="13">
                  <c:v>333</c:v>
                </c:pt>
                <c:pt idx="14">
                  <c:v>322</c:v>
                </c:pt>
                <c:pt idx="15">
                  <c:v>313</c:v>
                </c:pt>
                <c:pt idx="16">
                  <c:v>263</c:v>
                </c:pt>
                <c:pt idx="17">
                  <c:v>257</c:v>
                </c:pt>
              </c:numCache>
            </c:numRef>
          </c:val>
          <c:extLst>
            <c:ext xmlns:c16="http://schemas.microsoft.com/office/drawing/2014/chart" uri="{C3380CC4-5D6E-409C-BE32-E72D297353CC}">
              <c16:uniqueId val="{00000000-3CE1-4F1B-A8E0-8E8D5CED9F34}"/>
            </c:ext>
          </c:extLst>
        </c:ser>
        <c:dLbls>
          <c:showLegendKey val="0"/>
          <c:showVal val="0"/>
          <c:showCatName val="0"/>
          <c:showSerName val="0"/>
          <c:showPercent val="0"/>
          <c:showBubbleSize val="0"/>
        </c:dLbls>
        <c:gapWidth val="182"/>
        <c:axId val="1582068480"/>
        <c:axId val="1764080752"/>
      </c:barChart>
      <c:catAx>
        <c:axId val="158206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080752"/>
        <c:crosses val="autoZero"/>
        <c:auto val="1"/>
        <c:lblAlgn val="ctr"/>
        <c:lblOffset val="100"/>
        <c:noMultiLvlLbl val="0"/>
      </c:catAx>
      <c:valAx>
        <c:axId val="1764080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06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supermarket_sales 9-7-26.xlsx]Sheet1!Most Revenue City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Most</a:t>
            </a:r>
            <a:r>
              <a:rPr lang="en-IN" baseline="0"/>
              <a:t> Revenue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Sheet1!$B$43</c:f>
              <c:strCache>
                <c:ptCount val="1"/>
                <c:pt idx="0">
                  <c:v>Total</c:v>
                </c:pt>
              </c:strCache>
            </c:strRef>
          </c:tx>
          <c:spPr>
            <a:solidFill>
              <a:schemeClr val="accent1"/>
            </a:solidFill>
            <a:ln>
              <a:noFill/>
            </a:ln>
            <a:effectLst/>
          </c:spPr>
          <c:invertIfNegative val="0"/>
          <c:cat>
            <c:strRef>
              <c:f>Sheet1!$A$44:$A$46</c:f>
              <c:strCache>
                <c:ptCount val="3"/>
                <c:pt idx="0">
                  <c:v>Mandalay</c:v>
                </c:pt>
                <c:pt idx="1">
                  <c:v>Naypyitaw</c:v>
                </c:pt>
                <c:pt idx="2">
                  <c:v>Yangon</c:v>
                </c:pt>
              </c:strCache>
            </c:strRef>
          </c:cat>
          <c:val>
            <c:numRef>
              <c:f>Sheet1!$B$44:$B$46</c:f>
              <c:numCache>
                <c:formatCode>General</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9636-4167-A5FD-4CDC785E1FCB}"/>
            </c:ext>
          </c:extLst>
        </c:ser>
        <c:dLbls>
          <c:showLegendKey val="0"/>
          <c:showVal val="0"/>
          <c:showCatName val="0"/>
          <c:showSerName val="0"/>
          <c:showPercent val="0"/>
          <c:showBubbleSize val="0"/>
        </c:dLbls>
        <c:gapWidth val="219"/>
        <c:overlap val="-27"/>
        <c:axId val="1767447712"/>
        <c:axId val="1763988112"/>
      </c:barChart>
      <c:catAx>
        <c:axId val="176744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988112"/>
        <c:crosses val="autoZero"/>
        <c:auto val="1"/>
        <c:lblAlgn val="ctr"/>
        <c:lblOffset val="100"/>
        <c:noMultiLvlLbl val="0"/>
      </c:catAx>
      <c:valAx>
        <c:axId val="1763988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44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supermarket_sales 9-7-26.xlsx]Sheet1!Most used Payment Method</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Most</a:t>
            </a:r>
            <a:r>
              <a:rPr lang="en-IN" baseline="0"/>
              <a:t> used Payment Method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Sheet1!$B$57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28-44DD-99B2-5A71F6B24D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28-44DD-99B2-5A71F6B24D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28-44DD-99B2-5A71F6B24D5A}"/>
              </c:ext>
            </c:extLst>
          </c:dPt>
          <c:cat>
            <c:strRef>
              <c:f>Sheet1!$A$58:$A$60</c:f>
              <c:strCache>
                <c:ptCount val="3"/>
                <c:pt idx="0">
                  <c:v>Cash</c:v>
                </c:pt>
                <c:pt idx="1">
                  <c:v>Credit card</c:v>
                </c:pt>
                <c:pt idx="2">
                  <c:v>Ewallet</c:v>
                </c:pt>
              </c:strCache>
            </c:strRef>
          </c:cat>
          <c:val>
            <c:numRef>
              <c:f>Sheet1!$B$58:$B$60</c:f>
              <c:numCache>
                <c:formatCode>General</c:formatCode>
                <c:ptCount val="3"/>
                <c:pt idx="0">
                  <c:v>344</c:v>
                </c:pt>
                <c:pt idx="1">
                  <c:v>311</c:v>
                </c:pt>
                <c:pt idx="2">
                  <c:v>345</c:v>
                </c:pt>
              </c:numCache>
            </c:numRef>
          </c:val>
          <c:extLst>
            <c:ext xmlns:c16="http://schemas.microsoft.com/office/drawing/2014/chart" uri="{C3380CC4-5D6E-409C-BE32-E72D297353CC}">
              <c16:uniqueId val="{00000000-4CA8-4C41-ADF7-BEE4D600F4C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supermarket_sales 9-7-26.xlsx]Sheet1!Product with most Gross Income</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with most Gross Income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Sheet1!$B$70</c:f>
              <c:strCache>
                <c:ptCount val="1"/>
                <c:pt idx="0">
                  <c:v>Total</c:v>
                </c:pt>
              </c:strCache>
            </c:strRef>
          </c:tx>
          <c:spPr>
            <a:solidFill>
              <a:schemeClr val="accent1"/>
            </a:solidFill>
            <a:ln>
              <a:noFill/>
            </a:ln>
            <a:effectLst/>
          </c:spPr>
          <c:invertIfNegative val="0"/>
          <c:cat>
            <c:strRef>
              <c:f>Sheet1!$A$71:$A$76</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Sheet1!$B$71:$B$76</c:f>
              <c:numCache>
                <c:formatCode>General</c:formatCode>
                <c:ptCount val="6"/>
                <c:pt idx="0">
                  <c:v>2587.5015000000017</c:v>
                </c:pt>
                <c:pt idx="1">
                  <c:v>2585.9949999999999</c:v>
                </c:pt>
                <c:pt idx="2">
                  <c:v>2673.5639999999994</c:v>
                </c:pt>
                <c:pt idx="3">
                  <c:v>2342.5589999999993</c:v>
                </c:pt>
                <c:pt idx="4">
                  <c:v>2564.8530000000019</c:v>
                </c:pt>
                <c:pt idx="5">
                  <c:v>2624.8964999999994</c:v>
                </c:pt>
              </c:numCache>
            </c:numRef>
          </c:val>
          <c:extLst>
            <c:ext xmlns:c16="http://schemas.microsoft.com/office/drawing/2014/chart" uri="{C3380CC4-5D6E-409C-BE32-E72D297353CC}">
              <c16:uniqueId val="{00000000-2166-49D0-B234-B4D30A6DEC96}"/>
            </c:ext>
          </c:extLst>
        </c:ser>
        <c:dLbls>
          <c:showLegendKey val="0"/>
          <c:showVal val="0"/>
          <c:showCatName val="0"/>
          <c:showSerName val="0"/>
          <c:showPercent val="0"/>
          <c:showBubbleSize val="0"/>
        </c:dLbls>
        <c:gapWidth val="182"/>
        <c:axId val="1636839376"/>
        <c:axId val="1764071152"/>
      </c:barChart>
      <c:catAx>
        <c:axId val="1636839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071152"/>
        <c:crosses val="autoZero"/>
        <c:auto val="1"/>
        <c:lblAlgn val="ctr"/>
        <c:lblOffset val="100"/>
        <c:noMultiLvlLbl val="0"/>
      </c:catAx>
      <c:valAx>
        <c:axId val="1764071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83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supermarket_sales 9-7-26.xlsx]Sheet1!Trend by Sales</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Trend</a:t>
            </a:r>
            <a:r>
              <a:rPr lang="en-IN" baseline="0"/>
              <a:t>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Sheet1!$B$82</c:f>
              <c:strCache>
                <c:ptCount val="1"/>
                <c:pt idx="0">
                  <c:v>Total</c:v>
                </c:pt>
              </c:strCache>
            </c:strRef>
          </c:tx>
          <c:spPr>
            <a:ln w="28575" cap="rnd">
              <a:solidFill>
                <a:schemeClr val="accent1"/>
              </a:solidFill>
              <a:round/>
            </a:ln>
            <a:effectLst/>
          </c:spPr>
          <c:marker>
            <c:symbol val="none"/>
          </c:marker>
          <c:cat>
            <c:strRef>
              <c:f>Sheet1!$A$83:$A$85</c:f>
              <c:strCache>
                <c:ptCount val="3"/>
                <c:pt idx="0">
                  <c:v>Jan</c:v>
                </c:pt>
                <c:pt idx="1">
                  <c:v>Feb</c:v>
                </c:pt>
                <c:pt idx="2">
                  <c:v>Mar</c:v>
                </c:pt>
              </c:strCache>
            </c:strRef>
          </c:cat>
          <c:val>
            <c:numRef>
              <c:f>Sheet1!$B$83:$B$85</c:f>
              <c:numCache>
                <c:formatCode>General</c:formatCode>
                <c:ptCount val="3"/>
                <c:pt idx="0">
                  <c:v>116291.86800000005</c:v>
                </c:pt>
                <c:pt idx="1">
                  <c:v>97219.373999999967</c:v>
                </c:pt>
                <c:pt idx="2">
                  <c:v>109455.50700000004</c:v>
                </c:pt>
              </c:numCache>
            </c:numRef>
          </c:val>
          <c:smooth val="0"/>
          <c:extLst>
            <c:ext xmlns:c16="http://schemas.microsoft.com/office/drawing/2014/chart" uri="{C3380CC4-5D6E-409C-BE32-E72D297353CC}">
              <c16:uniqueId val="{00000000-DE01-4330-B19D-646AB7E576A5}"/>
            </c:ext>
          </c:extLst>
        </c:ser>
        <c:dLbls>
          <c:showLegendKey val="0"/>
          <c:showVal val="0"/>
          <c:showCatName val="0"/>
          <c:showSerName val="0"/>
          <c:showPercent val="0"/>
          <c:showBubbleSize val="0"/>
        </c:dLbls>
        <c:smooth val="0"/>
        <c:axId val="1636941920"/>
        <c:axId val="1764037552"/>
      </c:lineChart>
      <c:catAx>
        <c:axId val="163694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037552"/>
        <c:crosses val="autoZero"/>
        <c:auto val="1"/>
        <c:lblAlgn val="ctr"/>
        <c:lblOffset val="100"/>
        <c:noMultiLvlLbl val="0"/>
      </c:catAx>
      <c:valAx>
        <c:axId val="176403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94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supermarket_sales 9-7-26.xlsx]Sheet1!PivotTable1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Rating by Product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Sheet1!$B$4:$B$9</c:f>
              <c:numCache>
                <c:formatCode>General</c:formatCode>
                <c:ptCount val="6"/>
                <c:pt idx="0">
                  <c:v>6.9247058823529404</c:v>
                </c:pt>
                <c:pt idx="1">
                  <c:v>7.0292134831460666</c:v>
                </c:pt>
                <c:pt idx="2">
                  <c:v>7.1132183908045983</c:v>
                </c:pt>
                <c:pt idx="3">
                  <c:v>7.0032894736842124</c:v>
                </c:pt>
                <c:pt idx="4">
                  <c:v>6.8375000000000004</c:v>
                </c:pt>
                <c:pt idx="5">
                  <c:v>6.9162650602409643</c:v>
                </c:pt>
              </c:numCache>
            </c:numRef>
          </c:val>
          <c:extLst>
            <c:ext xmlns:c16="http://schemas.microsoft.com/office/drawing/2014/chart" uri="{C3380CC4-5D6E-409C-BE32-E72D297353CC}">
              <c16:uniqueId val="{00000000-FB43-48D6-9D67-5FFED2970716}"/>
            </c:ext>
          </c:extLst>
        </c:ser>
        <c:dLbls>
          <c:showLegendKey val="0"/>
          <c:showVal val="0"/>
          <c:showCatName val="0"/>
          <c:showSerName val="0"/>
          <c:showPercent val="0"/>
          <c:showBubbleSize val="0"/>
        </c:dLbls>
        <c:gapWidth val="182"/>
        <c:axId val="1767473696"/>
        <c:axId val="1764081232"/>
      </c:barChart>
      <c:catAx>
        <c:axId val="1767473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081232"/>
        <c:crosses val="autoZero"/>
        <c:auto val="1"/>
        <c:lblAlgn val="ctr"/>
        <c:lblOffset val="100"/>
        <c:noMultiLvlLbl val="0"/>
      </c:catAx>
      <c:valAx>
        <c:axId val="1764081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47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supermarket_sales 9-7-26.xlsx]Sheet1!Product by City</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by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Sheet1!$B$19</c:f>
              <c:strCache>
                <c:ptCount val="1"/>
                <c:pt idx="0">
                  <c:v>Total</c:v>
                </c:pt>
              </c:strCache>
            </c:strRef>
          </c:tx>
          <c:spPr>
            <a:solidFill>
              <a:schemeClr val="accent1"/>
            </a:solidFill>
            <a:ln>
              <a:noFill/>
            </a:ln>
            <a:effectLst/>
          </c:spPr>
          <c:invertIfNegative val="0"/>
          <c:cat>
            <c:multiLvlStrRef>
              <c:f>Sheet1!$A$20:$A$40</c:f>
              <c:multiLvlStrCache>
                <c:ptCount val="18"/>
                <c:lvl>
                  <c:pt idx="0">
                    <c:v>Sports and travel</c:v>
                  </c:pt>
                  <c:pt idx="1">
                    <c:v>Health and beauty</c:v>
                  </c:pt>
                  <c:pt idx="2">
                    <c:v>Electronic accessories</c:v>
                  </c:pt>
                  <c:pt idx="3">
                    <c:v>Fashion accessories</c:v>
                  </c:pt>
                  <c:pt idx="4">
                    <c:v>Home and lifestyle</c:v>
                  </c:pt>
                  <c:pt idx="5">
                    <c:v>Food and beverages</c:v>
                  </c:pt>
                  <c:pt idx="6">
                    <c:v>Food and beverages</c:v>
                  </c:pt>
                  <c:pt idx="7">
                    <c:v>Fashion accessories</c:v>
                  </c:pt>
                  <c:pt idx="8">
                    <c:v>Electronic accessories</c:v>
                  </c:pt>
                  <c:pt idx="9">
                    <c:v>Health and beauty</c:v>
                  </c:pt>
                  <c:pt idx="10">
                    <c:v>Sports and travel</c:v>
                  </c:pt>
                  <c:pt idx="11">
                    <c:v>Home and lifestyle</c:v>
                  </c:pt>
                  <c:pt idx="12">
                    <c:v>Home and lifestyle</c:v>
                  </c:pt>
                  <c:pt idx="13">
                    <c:v>Sports and travel</c:v>
                  </c:pt>
                  <c:pt idx="14">
                    <c:v>Electronic accessories</c:v>
                  </c:pt>
                  <c:pt idx="15">
                    <c:v>Food and beverages</c:v>
                  </c:pt>
                  <c:pt idx="16">
                    <c:v>Fashion accessories</c:v>
                  </c:pt>
                  <c:pt idx="17">
                    <c:v>Health and beauty</c:v>
                  </c:pt>
                </c:lvl>
                <c:lvl>
                  <c:pt idx="0">
                    <c:v>Mandalay</c:v>
                  </c:pt>
                  <c:pt idx="6">
                    <c:v>Naypyitaw</c:v>
                  </c:pt>
                  <c:pt idx="12">
                    <c:v>Yangon</c:v>
                  </c:pt>
                </c:lvl>
              </c:multiLvlStrCache>
            </c:multiLvlStrRef>
          </c:cat>
          <c:val>
            <c:numRef>
              <c:f>Sheet1!$B$20:$B$40</c:f>
              <c:numCache>
                <c:formatCode>General</c:formatCode>
                <c:ptCount val="18"/>
                <c:pt idx="0">
                  <c:v>322</c:v>
                </c:pt>
                <c:pt idx="1">
                  <c:v>320</c:v>
                </c:pt>
                <c:pt idx="2">
                  <c:v>316</c:v>
                </c:pt>
                <c:pt idx="3">
                  <c:v>297</c:v>
                </c:pt>
                <c:pt idx="4">
                  <c:v>295</c:v>
                </c:pt>
                <c:pt idx="5">
                  <c:v>270</c:v>
                </c:pt>
                <c:pt idx="6">
                  <c:v>369</c:v>
                </c:pt>
                <c:pt idx="7">
                  <c:v>342</c:v>
                </c:pt>
                <c:pt idx="8">
                  <c:v>333</c:v>
                </c:pt>
                <c:pt idx="9">
                  <c:v>277</c:v>
                </c:pt>
                <c:pt idx="10">
                  <c:v>265</c:v>
                </c:pt>
                <c:pt idx="11">
                  <c:v>245</c:v>
                </c:pt>
                <c:pt idx="12">
                  <c:v>371</c:v>
                </c:pt>
                <c:pt idx="13">
                  <c:v>333</c:v>
                </c:pt>
                <c:pt idx="14">
                  <c:v>322</c:v>
                </c:pt>
                <c:pt idx="15">
                  <c:v>313</c:v>
                </c:pt>
                <c:pt idx="16">
                  <c:v>263</c:v>
                </c:pt>
                <c:pt idx="17">
                  <c:v>257</c:v>
                </c:pt>
              </c:numCache>
            </c:numRef>
          </c:val>
          <c:extLst>
            <c:ext xmlns:c16="http://schemas.microsoft.com/office/drawing/2014/chart" uri="{C3380CC4-5D6E-409C-BE32-E72D297353CC}">
              <c16:uniqueId val="{00000000-1912-4C3B-847F-58F441D72632}"/>
            </c:ext>
          </c:extLst>
        </c:ser>
        <c:dLbls>
          <c:showLegendKey val="0"/>
          <c:showVal val="0"/>
          <c:showCatName val="0"/>
          <c:showSerName val="0"/>
          <c:showPercent val="0"/>
          <c:showBubbleSize val="0"/>
        </c:dLbls>
        <c:gapWidth val="182"/>
        <c:axId val="1582068480"/>
        <c:axId val="1764080752"/>
      </c:barChart>
      <c:catAx>
        <c:axId val="158206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080752"/>
        <c:crosses val="autoZero"/>
        <c:auto val="1"/>
        <c:lblAlgn val="ctr"/>
        <c:lblOffset val="100"/>
        <c:noMultiLvlLbl val="0"/>
      </c:catAx>
      <c:valAx>
        <c:axId val="1764080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06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supermarket_sales 9-7-26.xlsx]Sheet1!Most Revenue City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Most</a:t>
            </a:r>
            <a:r>
              <a:rPr lang="en-IN" baseline="0"/>
              <a:t> Revenue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Sheet1!$B$43</c:f>
              <c:strCache>
                <c:ptCount val="1"/>
                <c:pt idx="0">
                  <c:v>Total</c:v>
                </c:pt>
              </c:strCache>
            </c:strRef>
          </c:tx>
          <c:spPr>
            <a:solidFill>
              <a:schemeClr val="accent1"/>
            </a:solidFill>
            <a:ln>
              <a:noFill/>
            </a:ln>
            <a:effectLst/>
          </c:spPr>
          <c:invertIfNegative val="0"/>
          <c:cat>
            <c:strRef>
              <c:f>Sheet1!$A$44:$A$46</c:f>
              <c:strCache>
                <c:ptCount val="3"/>
                <c:pt idx="0">
                  <c:v>Mandalay</c:v>
                </c:pt>
                <c:pt idx="1">
                  <c:v>Naypyitaw</c:v>
                </c:pt>
                <c:pt idx="2">
                  <c:v>Yangon</c:v>
                </c:pt>
              </c:strCache>
            </c:strRef>
          </c:cat>
          <c:val>
            <c:numRef>
              <c:f>Sheet1!$B$44:$B$46</c:f>
              <c:numCache>
                <c:formatCode>General</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8544-4A80-8588-8A8F5396B75F}"/>
            </c:ext>
          </c:extLst>
        </c:ser>
        <c:dLbls>
          <c:showLegendKey val="0"/>
          <c:showVal val="0"/>
          <c:showCatName val="0"/>
          <c:showSerName val="0"/>
          <c:showPercent val="0"/>
          <c:showBubbleSize val="0"/>
        </c:dLbls>
        <c:gapWidth val="219"/>
        <c:overlap val="-27"/>
        <c:axId val="1767447712"/>
        <c:axId val="1763988112"/>
      </c:barChart>
      <c:catAx>
        <c:axId val="176744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988112"/>
        <c:crosses val="autoZero"/>
        <c:auto val="1"/>
        <c:lblAlgn val="ctr"/>
        <c:lblOffset val="100"/>
        <c:noMultiLvlLbl val="0"/>
      </c:catAx>
      <c:valAx>
        <c:axId val="1763988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44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supermarket_sales 9-7-26.xlsx]Sheet1!Most used Payment Method</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Most</a:t>
            </a:r>
            <a:r>
              <a:rPr lang="en-IN" baseline="0"/>
              <a:t> used Payment Method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Sheet1!$B$57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3A-4A9F-8EB7-CC8C346A0D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3A-4A9F-8EB7-CC8C346A0D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3A-4A9F-8EB7-CC8C346A0D1E}"/>
              </c:ext>
            </c:extLst>
          </c:dPt>
          <c:cat>
            <c:strRef>
              <c:f>Sheet1!$A$58:$A$60</c:f>
              <c:strCache>
                <c:ptCount val="3"/>
                <c:pt idx="0">
                  <c:v>Cash</c:v>
                </c:pt>
                <c:pt idx="1">
                  <c:v>Credit card</c:v>
                </c:pt>
                <c:pt idx="2">
                  <c:v>Ewallet</c:v>
                </c:pt>
              </c:strCache>
            </c:strRef>
          </c:cat>
          <c:val>
            <c:numRef>
              <c:f>Sheet1!$B$58:$B$60</c:f>
              <c:numCache>
                <c:formatCode>General</c:formatCode>
                <c:ptCount val="3"/>
                <c:pt idx="0">
                  <c:v>344</c:v>
                </c:pt>
                <c:pt idx="1">
                  <c:v>311</c:v>
                </c:pt>
                <c:pt idx="2">
                  <c:v>345</c:v>
                </c:pt>
              </c:numCache>
            </c:numRef>
          </c:val>
          <c:extLst>
            <c:ext xmlns:c16="http://schemas.microsoft.com/office/drawing/2014/chart" uri="{C3380CC4-5D6E-409C-BE32-E72D297353CC}">
              <c16:uniqueId val="{00000006-213A-4A9F-8EB7-CC8C346A0D1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supermarket_sales 9-7-26.xlsx]Sheet1!Product with most Gross Income</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with most Gross Income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Sheet1!$B$70</c:f>
              <c:strCache>
                <c:ptCount val="1"/>
                <c:pt idx="0">
                  <c:v>Total</c:v>
                </c:pt>
              </c:strCache>
            </c:strRef>
          </c:tx>
          <c:spPr>
            <a:solidFill>
              <a:schemeClr val="accent1"/>
            </a:solidFill>
            <a:ln>
              <a:noFill/>
            </a:ln>
            <a:effectLst/>
          </c:spPr>
          <c:invertIfNegative val="0"/>
          <c:cat>
            <c:strRef>
              <c:f>Sheet1!$A$71:$A$76</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Sheet1!$B$71:$B$76</c:f>
              <c:numCache>
                <c:formatCode>General</c:formatCode>
                <c:ptCount val="6"/>
                <c:pt idx="0">
                  <c:v>2587.5015000000017</c:v>
                </c:pt>
                <c:pt idx="1">
                  <c:v>2585.9949999999999</c:v>
                </c:pt>
                <c:pt idx="2">
                  <c:v>2673.5639999999994</c:v>
                </c:pt>
                <c:pt idx="3">
                  <c:v>2342.5589999999993</c:v>
                </c:pt>
                <c:pt idx="4">
                  <c:v>2564.8530000000019</c:v>
                </c:pt>
                <c:pt idx="5">
                  <c:v>2624.8964999999994</c:v>
                </c:pt>
              </c:numCache>
            </c:numRef>
          </c:val>
          <c:extLst>
            <c:ext xmlns:c16="http://schemas.microsoft.com/office/drawing/2014/chart" uri="{C3380CC4-5D6E-409C-BE32-E72D297353CC}">
              <c16:uniqueId val="{00000000-366A-4CE8-B8D8-A3B661C97A8F}"/>
            </c:ext>
          </c:extLst>
        </c:ser>
        <c:dLbls>
          <c:showLegendKey val="0"/>
          <c:showVal val="0"/>
          <c:showCatName val="0"/>
          <c:showSerName val="0"/>
          <c:showPercent val="0"/>
          <c:showBubbleSize val="0"/>
        </c:dLbls>
        <c:gapWidth val="182"/>
        <c:axId val="1636839376"/>
        <c:axId val="1764071152"/>
      </c:barChart>
      <c:catAx>
        <c:axId val="1636839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071152"/>
        <c:crosses val="autoZero"/>
        <c:auto val="1"/>
        <c:lblAlgn val="ctr"/>
        <c:lblOffset val="100"/>
        <c:noMultiLvlLbl val="0"/>
      </c:catAx>
      <c:valAx>
        <c:axId val="1764071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83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supermarket_sales 9-7-26.xlsx]Sheet1!Trend by Sales</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Trend</a:t>
            </a:r>
            <a:r>
              <a:rPr lang="en-IN" baseline="0"/>
              <a:t>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Sheet1!$B$82</c:f>
              <c:strCache>
                <c:ptCount val="1"/>
                <c:pt idx="0">
                  <c:v>Total</c:v>
                </c:pt>
              </c:strCache>
            </c:strRef>
          </c:tx>
          <c:spPr>
            <a:ln w="28575" cap="rnd">
              <a:solidFill>
                <a:schemeClr val="accent1"/>
              </a:solidFill>
              <a:round/>
            </a:ln>
            <a:effectLst/>
          </c:spPr>
          <c:marker>
            <c:symbol val="none"/>
          </c:marker>
          <c:cat>
            <c:strRef>
              <c:f>Sheet1!$A$83:$A$85</c:f>
              <c:strCache>
                <c:ptCount val="3"/>
                <c:pt idx="0">
                  <c:v>Jan</c:v>
                </c:pt>
                <c:pt idx="1">
                  <c:v>Feb</c:v>
                </c:pt>
                <c:pt idx="2">
                  <c:v>Mar</c:v>
                </c:pt>
              </c:strCache>
            </c:strRef>
          </c:cat>
          <c:val>
            <c:numRef>
              <c:f>Sheet1!$B$83:$B$85</c:f>
              <c:numCache>
                <c:formatCode>General</c:formatCode>
                <c:ptCount val="3"/>
                <c:pt idx="0">
                  <c:v>116291.86800000005</c:v>
                </c:pt>
                <c:pt idx="1">
                  <c:v>97219.373999999967</c:v>
                </c:pt>
                <c:pt idx="2">
                  <c:v>109455.50700000004</c:v>
                </c:pt>
              </c:numCache>
            </c:numRef>
          </c:val>
          <c:smooth val="0"/>
          <c:extLst>
            <c:ext xmlns:c16="http://schemas.microsoft.com/office/drawing/2014/chart" uri="{C3380CC4-5D6E-409C-BE32-E72D297353CC}">
              <c16:uniqueId val="{00000000-6CAA-47E4-959F-6FBF1690A20F}"/>
            </c:ext>
          </c:extLst>
        </c:ser>
        <c:dLbls>
          <c:showLegendKey val="0"/>
          <c:showVal val="0"/>
          <c:showCatName val="0"/>
          <c:showSerName val="0"/>
          <c:showPercent val="0"/>
          <c:showBubbleSize val="0"/>
        </c:dLbls>
        <c:smooth val="0"/>
        <c:axId val="1636941920"/>
        <c:axId val="1764037552"/>
      </c:lineChart>
      <c:catAx>
        <c:axId val="163694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037552"/>
        <c:crosses val="autoZero"/>
        <c:auto val="1"/>
        <c:lblAlgn val="ctr"/>
        <c:lblOffset val="100"/>
        <c:noMultiLvlLbl val="0"/>
      </c:catAx>
      <c:valAx>
        <c:axId val="176403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94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175260</xdr:colOff>
      <xdr:row>1</xdr:row>
      <xdr:rowOff>118110</xdr:rowOff>
    </xdr:from>
    <xdr:to>
      <xdr:col>10</xdr:col>
      <xdr:colOff>480060</xdr:colOff>
      <xdr:row>16</xdr:row>
      <xdr:rowOff>118110</xdr:rowOff>
    </xdr:to>
    <xdr:graphicFrame macro="">
      <xdr:nvGraphicFramePr>
        <xdr:cNvPr id="2" name="Average Rating by Product">
          <a:extLst>
            <a:ext uri="{FF2B5EF4-FFF2-40B4-BE49-F238E27FC236}">
              <a16:creationId xmlns:a16="http://schemas.microsoft.com/office/drawing/2014/main" id="{7F68CFF1-4A8F-679C-955F-81B61E5983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883920</xdr:colOff>
      <xdr:row>18</xdr:row>
      <xdr:rowOff>125730</xdr:rowOff>
    </xdr:from>
    <xdr:to>
      <xdr:col>10</xdr:col>
      <xdr:colOff>167640</xdr:colOff>
      <xdr:row>33</xdr:row>
      <xdr:rowOff>125730</xdr:rowOff>
    </xdr:to>
    <xdr:graphicFrame macro="">
      <xdr:nvGraphicFramePr>
        <xdr:cNvPr id="3" name="Chart 2">
          <a:extLst>
            <a:ext uri="{FF2B5EF4-FFF2-40B4-BE49-F238E27FC236}">
              <a16:creationId xmlns:a16="http://schemas.microsoft.com/office/drawing/2014/main" id="{E006B5AD-4F9C-BA9D-2C17-37750963C9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434340</xdr:colOff>
      <xdr:row>40</xdr:row>
      <xdr:rowOff>41910</xdr:rowOff>
    </xdr:from>
    <xdr:to>
      <xdr:col>11</xdr:col>
      <xdr:colOff>129540</xdr:colOff>
      <xdr:row>55</xdr:row>
      <xdr:rowOff>41910</xdr:rowOff>
    </xdr:to>
    <xdr:graphicFrame macro="">
      <xdr:nvGraphicFramePr>
        <xdr:cNvPr id="4" name="Most Revenue City">
          <a:extLst>
            <a:ext uri="{FF2B5EF4-FFF2-40B4-BE49-F238E27FC236}">
              <a16:creationId xmlns:a16="http://schemas.microsoft.com/office/drawing/2014/main" id="{257E4E64-7ACA-AB5E-8403-CB147C4BB2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952500</xdr:colOff>
      <xdr:row>53</xdr:row>
      <xdr:rowOff>41910</xdr:rowOff>
    </xdr:from>
    <xdr:to>
      <xdr:col>10</xdr:col>
      <xdr:colOff>129540</xdr:colOff>
      <xdr:row>68</xdr:row>
      <xdr:rowOff>41910</xdr:rowOff>
    </xdr:to>
    <xdr:graphicFrame macro="">
      <xdr:nvGraphicFramePr>
        <xdr:cNvPr id="5" name="Most used Payment Method">
          <a:extLst>
            <a:ext uri="{FF2B5EF4-FFF2-40B4-BE49-F238E27FC236}">
              <a16:creationId xmlns:a16="http://schemas.microsoft.com/office/drawing/2014/main" id="{4F29BBC2-F1E1-5CC1-F878-CA0E1F8FFE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350520</xdr:colOff>
      <xdr:row>64</xdr:row>
      <xdr:rowOff>41910</xdr:rowOff>
    </xdr:from>
    <xdr:to>
      <xdr:col>8</xdr:col>
      <xdr:colOff>594360</xdr:colOff>
      <xdr:row>79</xdr:row>
      <xdr:rowOff>41910</xdr:rowOff>
    </xdr:to>
    <xdr:graphicFrame macro="">
      <xdr:nvGraphicFramePr>
        <xdr:cNvPr id="6" name="Product with most Gross Income">
          <a:extLst>
            <a:ext uri="{FF2B5EF4-FFF2-40B4-BE49-F238E27FC236}">
              <a16:creationId xmlns:a16="http://schemas.microsoft.com/office/drawing/2014/main" id="{60F41BB0-A06D-A278-24C6-EF54876593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77</xdr:row>
      <xdr:rowOff>41910</xdr:rowOff>
    </xdr:from>
    <xdr:to>
      <xdr:col>10</xdr:col>
      <xdr:colOff>304800</xdr:colOff>
      <xdr:row>92</xdr:row>
      <xdr:rowOff>41910</xdr:rowOff>
    </xdr:to>
    <xdr:graphicFrame macro="">
      <xdr:nvGraphicFramePr>
        <xdr:cNvPr id="7" name="Trend by Sales">
          <a:extLst>
            <a:ext uri="{FF2B5EF4-FFF2-40B4-BE49-F238E27FC236}">
              <a16:creationId xmlns:a16="http://schemas.microsoft.com/office/drawing/2014/main" id="{AAD12BBB-B077-268C-71E8-A8A739465F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258535</xdr:colOff>
      <xdr:row>4</xdr:row>
      <xdr:rowOff>69668</xdr:rowOff>
    </xdr:from>
    <xdr:to>
      <xdr:col>10</xdr:col>
      <xdr:colOff>574487</xdr:colOff>
      <xdr:row>19</xdr:row>
      <xdr:rowOff>54428</xdr:rowOff>
    </xdr:to>
    <xdr:graphicFrame macro="">
      <xdr:nvGraphicFramePr>
        <xdr:cNvPr id="2" name="Average Rating by Product">
          <a:extLst>
            <a:ext uri="{FF2B5EF4-FFF2-40B4-BE49-F238E27FC236}">
              <a16:creationId xmlns:a16="http://schemas.microsoft.com/office/drawing/2014/main" id="{FA5683AC-D579-4F40-9D79-0FB82256E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203443</xdr:colOff>
      <xdr:row>4</xdr:row>
      <xdr:rowOff>34834</xdr:rowOff>
    </xdr:from>
    <xdr:to>
      <xdr:col>20</xdr:col>
      <xdr:colOff>447283</xdr:colOff>
      <xdr:row>19</xdr:row>
      <xdr:rowOff>34834</xdr:rowOff>
    </xdr:to>
    <xdr:graphicFrame macro="">
      <xdr:nvGraphicFramePr>
        <xdr:cNvPr id="3" name="Chart 2">
          <a:extLst>
            <a:ext uri="{FF2B5EF4-FFF2-40B4-BE49-F238E27FC236}">
              <a16:creationId xmlns:a16="http://schemas.microsoft.com/office/drawing/2014/main" id="{F7032DDD-96E0-4711-8D72-CF317930B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222693</xdr:colOff>
      <xdr:row>19</xdr:row>
      <xdr:rowOff>101874</xdr:rowOff>
    </xdr:from>
    <xdr:to>
      <xdr:col>11</xdr:col>
      <xdr:colOff>93591</xdr:colOff>
      <xdr:row>34</xdr:row>
      <xdr:rowOff>101873</xdr:rowOff>
    </xdr:to>
    <xdr:graphicFrame macro="">
      <xdr:nvGraphicFramePr>
        <xdr:cNvPr id="4" name="Most Revenue City">
          <a:extLst>
            <a:ext uri="{FF2B5EF4-FFF2-40B4-BE49-F238E27FC236}">
              <a16:creationId xmlns:a16="http://schemas.microsoft.com/office/drawing/2014/main" id="{F6564C7F-3132-408D-B043-3B1F3C5E5F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281754</xdr:colOff>
      <xdr:row>19</xdr:row>
      <xdr:rowOff>93246</xdr:rowOff>
    </xdr:from>
    <xdr:to>
      <xdr:col>20</xdr:col>
      <xdr:colOff>418914</xdr:colOff>
      <xdr:row>34</xdr:row>
      <xdr:rowOff>93245</xdr:rowOff>
    </xdr:to>
    <xdr:graphicFrame macro="">
      <xdr:nvGraphicFramePr>
        <xdr:cNvPr id="5" name="Most used Payment Method">
          <a:extLst>
            <a:ext uri="{FF2B5EF4-FFF2-40B4-BE49-F238E27FC236}">
              <a16:creationId xmlns:a16="http://schemas.microsoft.com/office/drawing/2014/main" id="{7BE55368-63A2-4274-9B91-552DAA752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209085</xdr:colOff>
      <xdr:row>35</xdr:row>
      <xdr:rowOff>22860</xdr:rowOff>
    </xdr:from>
    <xdr:to>
      <xdr:col>11</xdr:col>
      <xdr:colOff>79984</xdr:colOff>
      <xdr:row>50</xdr:row>
      <xdr:rowOff>0</xdr:rowOff>
    </xdr:to>
    <xdr:graphicFrame macro="">
      <xdr:nvGraphicFramePr>
        <xdr:cNvPr id="6" name="Product with most Gross Income">
          <a:extLst>
            <a:ext uri="{FF2B5EF4-FFF2-40B4-BE49-F238E27FC236}">
              <a16:creationId xmlns:a16="http://schemas.microsoft.com/office/drawing/2014/main" id="{D0432EFD-5D60-4DBC-B98A-2F8C7294F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342169</xdr:colOff>
      <xdr:row>35</xdr:row>
      <xdr:rowOff>9266</xdr:rowOff>
    </xdr:from>
    <xdr:to>
      <xdr:col>20</xdr:col>
      <xdr:colOff>508813</xdr:colOff>
      <xdr:row>50</xdr:row>
      <xdr:rowOff>9266</xdr:rowOff>
    </xdr:to>
    <xdr:graphicFrame macro="">
      <xdr:nvGraphicFramePr>
        <xdr:cNvPr id="7" name="Trend by Sales">
          <a:extLst>
            <a:ext uri="{FF2B5EF4-FFF2-40B4-BE49-F238E27FC236}">
              <a16:creationId xmlns:a16="http://schemas.microsoft.com/office/drawing/2014/main" id="{E6AC01FF-1332-4AF5-BEB3-DEEC6481D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489351</xdr:colOff>
      <xdr:row>18</xdr:row>
      <xdr:rowOff>140504</xdr:rowOff>
    </xdr:from>
    <xdr:to>
      <xdr:col>23</xdr:col>
      <xdr:colOff>1101672</xdr:colOff>
      <xdr:row>26</xdr:row>
      <xdr:rowOff>18586</xdr:rowOff>
    </xdr:to>
    <mc:AlternateContent xmlns:mc="http://schemas.openxmlformats.org/markup-compatibility/2006">
      <mc:Choice xmlns:a14="http://schemas.microsoft.com/office/drawing/2010/main" Requires="a14">
        <xdr:graphicFrame macro="">
          <xdr:nvGraphicFramePr>
            <xdr:cNvPr id="8" name="City">
              <a:extLst>
                <a:ext uri="{FF2B5EF4-FFF2-40B4-BE49-F238E27FC236}">
                  <a16:creationId xmlns:a16="http://schemas.microsoft.com/office/drawing/2014/main" id="{B931690A-981E-3932-13D9-340C0B8E60A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3369010" y="3857577"/>
              <a:ext cx="1838955" cy="1364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523549</xdr:colOff>
      <xdr:row>27</xdr:row>
      <xdr:rowOff>60032</xdr:rowOff>
    </xdr:from>
    <xdr:to>
      <xdr:col>23</xdr:col>
      <xdr:colOff>1135870</xdr:colOff>
      <xdr:row>33</xdr:row>
      <xdr:rowOff>111513</xdr:rowOff>
    </xdr:to>
    <mc:AlternateContent xmlns:mc="http://schemas.openxmlformats.org/markup-compatibility/2006">
      <mc:Choice xmlns:a14="http://schemas.microsoft.com/office/drawing/2010/main" Requires="a14">
        <xdr:graphicFrame macro="">
          <xdr:nvGraphicFramePr>
            <xdr:cNvPr id="9" name="Customer type">
              <a:extLst>
                <a:ext uri="{FF2B5EF4-FFF2-40B4-BE49-F238E27FC236}">
                  <a16:creationId xmlns:a16="http://schemas.microsoft.com/office/drawing/2014/main" id="{CB8FEEB3-1246-23A1-E90F-1D6AC5AE8E7A}"/>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13403208" y="5449788"/>
              <a:ext cx="1838955" cy="11666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505336</xdr:colOff>
      <xdr:row>34</xdr:row>
      <xdr:rowOff>126194</xdr:rowOff>
    </xdr:from>
    <xdr:to>
      <xdr:col>23</xdr:col>
      <xdr:colOff>1117657</xdr:colOff>
      <xdr:row>40</xdr:row>
      <xdr:rowOff>64716</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5C1DF7EB-74B6-E16B-5EDA-F5ACB0E482F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3384995" y="6816926"/>
              <a:ext cx="1838955" cy="10536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543064</xdr:colOff>
      <xdr:row>4</xdr:row>
      <xdr:rowOff>81404</xdr:rowOff>
    </xdr:from>
    <xdr:to>
      <xdr:col>24</xdr:col>
      <xdr:colOff>4090</xdr:colOff>
      <xdr:row>18</xdr:row>
      <xdr:rowOff>18586</xdr:rowOff>
    </xdr:to>
    <mc:AlternateContent xmlns:mc="http://schemas.openxmlformats.org/markup-compatibility/2006">
      <mc:Choice xmlns:a14="http://schemas.microsoft.com/office/drawing/2010/main" Requires="a14">
        <xdr:graphicFrame macro="">
          <xdr:nvGraphicFramePr>
            <xdr:cNvPr id="11" name="Product line">
              <a:extLst>
                <a:ext uri="{FF2B5EF4-FFF2-40B4-BE49-F238E27FC236}">
                  <a16:creationId xmlns:a16="http://schemas.microsoft.com/office/drawing/2014/main" id="{A04C3115-7075-E4C7-A914-558B427ADD7C}"/>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13422723" y="1196526"/>
              <a:ext cx="1839952" cy="2539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511097</xdr:colOff>
      <xdr:row>41</xdr:row>
      <xdr:rowOff>55198</xdr:rowOff>
    </xdr:from>
    <xdr:to>
      <xdr:col>23</xdr:col>
      <xdr:colOff>1123418</xdr:colOff>
      <xdr:row>49</xdr:row>
      <xdr:rowOff>-1</xdr:rowOff>
    </xdr:to>
    <mc:AlternateContent xmlns:mc="http://schemas.openxmlformats.org/markup-compatibility/2006">
      <mc:Choice xmlns:a14="http://schemas.microsoft.com/office/drawing/2010/main" Requires="a14">
        <xdr:graphicFrame macro="">
          <xdr:nvGraphicFramePr>
            <xdr:cNvPr id="12" name="Payment">
              <a:extLst>
                <a:ext uri="{FF2B5EF4-FFF2-40B4-BE49-F238E27FC236}">
                  <a16:creationId xmlns:a16="http://schemas.microsoft.com/office/drawing/2014/main" id="{7F53E7B8-77D1-E731-3AB4-89B4B974DCAF}"/>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dr:sp macro="" textlink="">
          <xdr:nvSpPr>
            <xdr:cNvPr id="0" name=""/>
            <xdr:cNvSpPr>
              <a:spLocks noTextEdit="1"/>
            </xdr:cNvSpPr>
          </xdr:nvSpPr>
          <xdr:spPr>
            <a:xfrm>
              <a:off x="13390756" y="8046905"/>
              <a:ext cx="1838955" cy="1431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vana p nair" refreshedDate="46212.470169560183" createdVersion="8" refreshedVersion="8" minRefreshableVersion="3" recordCount="1000" xr:uid="{1453B13F-DCD2-4EAE-9687-D96F427842F0}">
  <cacheSource type="worksheet">
    <worksheetSource ref="A1:Q1001" sheet="1"/>
  </cacheSource>
  <cacheFields count="18">
    <cacheField name="Invoice ID" numFmtId="0">
      <sharedItems/>
    </cacheField>
    <cacheField name="Branch" numFmtId="0">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7"/>
    </cacheField>
    <cacheField name="Time" numFmtId="20">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Months (Date)" numFmtId="0" databaseField="0">
      <fieldGroup base="10">
        <rangePr groupBy="months" startDate="2019-01-01T00:00:00" endDate="2019-03-31T00:00:00"/>
        <groupItems count="14">
          <s v="&lt;01-01-2019"/>
          <s v="Jan"/>
          <s v="Feb"/>
          <s v="Mar"/>
          <s v="Apr"/>
          <s v="May"/>
          <s v="Jun"/>
          <s v="Jul"/>
          <s v="Aug"/>
          <s v="Sep"/>
          <s v="Oct"/>
          <s v="Nov"/>
          <s v="Dec"/>
          <s v="&gt;31-03-2019"/>
        </groupItems>
      </fieldGroup>
    </cacheField>
  </cacheFields>
  <extLst>
    <ext xmlns:x14="http://schemas.microsoft.com/office/spreadsheetml/2009/9/main" uri="{725AE2AE-9491-48be-B2B4-4EB974FC3084}">
      <x14:pivotCacheDefinition pivotCacheId="14105256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s v="A"/>
    <x v="0"/>
    <x v="0"/>
    <x v="0"/>
    <x v="0"/>
    <n v="74.69"/>
    <n v="7"/>
    <n v="26.141500000000001"/>
    <n v="548.97149999999999"/>
    <x v="0"/>
    <d v="1899-12-30T13:08:00"/>
    <x v="0"/>
    <n v="522.83000000000004"/>
    <n v="4.7619047620000003"/>
    <n v="26.141500000000001"/>
    <n v="9.1"/>
  </r>
  <r>
    <s v="226-31-3081"/>
    <s v="C"/>
    <x v="1"/>
    <x v="1"/>
    <x v="0"/>
    <x v="1"/>
    <n v="15.28"/>
    <n v="5"/>
    <n v="3.82"/>
    <n v="80.22"/>
    <x v="1"/>
    <d v="1899-12-30T10:29:00"/>
    <x v="1"/>
    <n v="76.400000000000006"/>
    <n v="4.7619047620000003"/>
    <n v="3.82"/>
    <n v="9.6"/>
  </r>
  <r>
    <s v="631-41-3108"/>
    <s v="A"/>
    <x v="0"/>
    <x v="1"/>
    <x v="1"/>
    <x v="2"/>
    <n v="46.33"/>
    <n v="7"/>
    <n v="16.215499999999999"/>
    <n v="340.52550000000002"/>
    <x v="2"/>
    <d v="1899-12-30T13:23:00"/>
    <x v="2"/>
    <n v="324.31"/>
    <n v="4.7619047620000003"/>
    <n v="16.215499999999999"/>
    <n v="7.4"/>
  </r>
  <r>
    <s v="123-19-1176"/>
    <s v="A"/>
    <x v="0"/>
    <x v="0"/>
    <x v="1"/>
    <x v="0"/>
    <n v="58.22"/>
    <n v="8"/>
    <n v="23.288"/>
    <n v="489.048"/>
    <x v="3"/>
    <d v="1899-12-30T20:33:00"/>
    <x v="0"/>
    <n v="465.76"/>
    <n v="4.7619047620000003"/>
    <n v="23.288"/>
    <n v="8.4"/>
  </r>
  <r>
    <s v="373-73-7910"/>
    <s v="A"/>
    <x v="0"/>
    <x v="1"/>
    <x v="1"/>
    <x v="3"/>
    <n v="86.31"/>
    <n v="7"/>
    <n v="30.208500000000001"/>
    <n v="634.37850000000003"/>
    <x v="4"/>
    <d v="1899-12-30T10:37:00"/>
    <x v="0"/>
    <n v="604.16999999999996"/>
    <n v="4.7619047620000003"/>
    <n v="30.208500000000001"/>
    <n v="5.3"/>
  </r>
  <r>
    <s v="699-14-3026"/>
    <s v="C"/>
    <x v="1"/>
    <x v="1"/>
    <x v="1"/>
    <x v="1"/>
    <n v="85.39"/>
    <n v="7"/>
    <n v="29.886500000000002"/>
    <n v="627.61649999999997"/>
    <x v="5"/>
    <d v="1899-12-30T18:30:00"/>
    <x v="0"/>
    <n v="597.73"/>
    <n v="4.7619047620000003"/>
    <n v="29.886500000000002"/>
    <n v="4.0999999999999996"/>
  </r>
  <r>
    <s v="355-53-5943"/>
    <s v="A"/>
    <x v="0"/>
    <x v="0"/>
    <x v="0"/>
    <x v="1"/>
    <n v="68.84"/>
    <n v="6"/>
    <n v="20.652000000000001"/>
    <n v="433.69200000000001"/>
    <x v="6"/>
    <d v="1899-12-30T14:36:00"/>
    <x v="0"/>
    <n v="413.04"/>
    <n v="4.7619047620000003"/>
    <n v="20.652000000000001"/>
    <n v="5.8"/>
  </r>
  <r>
    <s v="315-22-5665"/>
    <s v="C"/>
    <x v="1"/>
    <x v="1"/>
    <x v="0"/>
    <x v="2"/>
    <n v="73.56"/>
    <n v="10"/>
    <n v="36.78"/>
    <n v="772.38"/>
    <x v="7"/>
    <d v="1899-12-30T11:38:00"/>
    <x v="0"/>
    <n v="735.6"/>
    <n v="4.7619047620000003"/>
    <n v="36.78"/>
    <n v="8"/>
  </r>
  <r>
    <s v="665-32-9167"/>
    <s v="A"/>
    <x v="0"/>
    <x v="0"/>
    <x v="0"/>
    <x v="0"/>
    <n v="36.26"/>
    <n v="2"/>
    <n v="3.6259999999999999"/>
    <n v="76.146000000000001"/>
    <x v="8"/>
    <d v="1899-12-30T17:15:00"/>
    <x v="2"/>
    <n v="72.52"/>
    <n v="4.7619047620000003"/>
    <n v="3.6259999999999999"/>
    <n v="7.2"/>
  </r>
  <r>
    <s v="692-92-5582"/>
    <s v="B"/>
    <x v="2"/>
    <x v="0"/>
    <x v="0"/>
    <x v="4"/>
    <n v="54.84"/>
    <n v="3"/>
    <n v="8.2260000000000009"/>
    <n v="172.74600000000001"/>
    <x v="9"/>
    <d v="1899-12-30T13:27:00"/>
    <x v="2"/>
    <n v="164.52"/>
    <n v="4.7619047620000003"/>
    <n v="8.2260000000000009"/>
    <n v="5.9"/>
  </r>
  <r>
    <s v="351-62-0822"/>
    <s v="B"/>
    <x v="2"/>
    <x v="0"/>
    <x v="0"/>
    <x v="5"/>
    <n v="14.48"/>
    <n v="4"/>
    <n v="2.8959999999999999"/>
    <n v="60.816000000000003"/>
    <x v="10"/>
    <d v="1899-12-30T18:07:00"/>
    <x v="0"/>
    <n v="57.92"/>
    <n v="4.7619047620000003"/>
    <n v="2.8959999999999999"/>
    <n v="4.5"/>
  </r>
  <r>
    <s v="529-56-3974"/>
    <s v="B"/>
    <x v="2"/>
    <x v="0"/>
    <x v="1"/>
    <x v="1"/>
    <n v="25.51"/>
    <n v="4"/>
    <n v="5.1020000000000003"/>
    <n v="107.142"/>
    <x v="11"/>
    <d v="1899-12-30T17:03:00"/>
    <x v="1"/>
    <n v="102.04"/>
    <n v="4.7619047620000003"/>
    <n v="5.1020000000000003"/>
    <n v="6.8"/>
  </r>
  <r>
    <s v="365-64-0515"/>
    <s v="A"/>
    <x v="0"/>
    <x v="1"/>
    <x v="0"/>
    <x v="1"/>
    <n v="46.95"/>
    <n v="5"/>
    <n v="11.737500000000001"/>
    <n v="246.48750000000001"/>
    <x v="12"/>
    <d v="1899-12-30T10:25:00"/>
    <x v="0"/>
    <n v="234.75"/>
    <n v="4.7619047620000003"/>
    <n v="11.737500000000001"/>
    <n v="7.1"/>
  </r>
  <r>
    <s v="252-56-2699"/>
    <s v="A"/>
    <x v="0"/>
    <x v="1"/>
    <x v="1"/>
    <x v="4"/>
    <n v="43.19"/>
    <n v="10"/>
    <n v="21.594999999999999"/>
    <n v="453.495"/>
    <x v="13"/>
    <d v="1899-12-30T16:48:00"/>
    <x v="0"/>
    <n v="431.9"/>
    <n v="4.7619047620000003"/>
    <n v="21.594999999999999"/>
    <n v="8.1999999999999993"/>
  </r>
  <r>
    <s v="829-34-3910"/>
    <s v="A"/>
    <x v="0"/>
    <x v="1"/>
    <x v="0"/>
    <x v="0"/>
    <n v="71.38"/>
    <n v="10"/>
    <n v="35.69"/>
    <n v="749.49"/>
    <x v="14"/>
    <d v="1899-12-30T19:21:00"/>
    <x v="1"/>
    <n v="713.8"/>
    <n v="4.7619047620000003"/>
    <n v="35.69"/>
    <n v="5.7"/>
  </r>
  <r>
    <s v="299-46-1805"/>
    <s v="B"/>
    <x v="2"/>
    <x v="0"/>
    <x v="0"/>
    <x v="3"/>
    <n v="93.72"/>
    <n v="6"/>
    <n v="28.116"/>
    <n v="590.43600000000004"/>
    <x v="15"/>
    <d v="1899-12-30T16:19:00"/>
    <x v="1"/>
    <n v="562.32000000000005"/>
    <n v="4.7619047620000003"/>
    <n v="28.116"/>
    <n v="4.5"/>
  </r>
  <r>
    <s v="656-95-9349"/>
    <s v="A"/>
    <x v="0"/>
    <x v="0"/>
    <x v="0"/>
    <x v="0"/>
    <n v="68.930000000000007"/>
    <n v="7"/>
    <n v="24.125499999999999"/>
    <n v="506.63549999999998"/>
    <x v="16"/>
    <d v="1899-12-30T11:03:00"/>
    <x v="2"/>
    <n v="482.51"/>
    <n v="4.7619047620000003"/>
    <n v="24.125499999999999"/>
    <n v="4.5999999999999996"/>
  </r>
  <r>
    <s v="765-26-6951"/>
    <s v="A"/>
    <x v="0"/>
    <x v="1"/>
    <x v="1"/>
    <x v="3"/>
    <n v="72.61"/>
    <n v="6"/>
    <n v="21.783000000000001"/>
    <n v="457.44299999999998"/>
    <x v="17"/>
    <d v="1899-12-30T10:39:00"/>
    <x v="2"/>
    <n v="435.66"/>
    <n v="4.7619047620000003"/>
    <n v="21.783000000000001"/>
    <n v="6.9"/>
  </r>
  <r>
    <s v="329-62-1586"/>
    <s v="A"/>
    <x v="0"/>
    <x v="1"/>
    <x v="1"/>
    <x v="4"/>
    <n v="54.67"/>
    <n v="3"/>
    <n v="8.2004999999999999"/>
    <n v="172.2105"/>
    <x v="18"/>
    <d v="1899-12-30T18:00:00"/>
    <x v="2"/>
    <n v="164.01"/>
    <n v="4.7619047620000003"/>
    <n v="8.2004999999999999"/>
    <n v="8.6"/>
  </r>
  <r>
    <s v="319-50-3348"/>
    <s v="B"/>
    <x v="2"/>
    <x v="1"/>
    <x v="0"/>
    <x v="2"/>
    <n v="40.299999999999997"/>
    <n v="2"/>
    <n v="4.03"/>
    <n v="84.63"/>
    <x v="16"/>
    <d v="1899-12-30T15:30:00"/>
    <x v="0"/>
    <n v="80.599999999999994"/>
    <n v="4.7619047620000003"/>
    <n v="4.03"/>
    <n v="4.4000000000000004"/>
  </r>
  <r>
    <s v="300-71-4605"/>
    <s v="C"/>
    <x v="1"/>
    <x v="0"/>
    <x v="1"/>
    <x v="1"/>
    <n v="86.04"/>
    <n v="5"/>
    <n v="21.51"/>
    <n v="451.71"/>
    <x v="6"/>
    <d v="1899-12-30T11:24:00"/>
    <x v="0"/>
    <n v="430.2"/>
    <n v="4.7619047620000003"/>
    <n v="21.51"/>
    <n v="4.8"/>
  </r>
  <r>
    <s v="371-85-5789"/>
    <s v="B"/>
    <x v="2"/>
    <x v="1"/>
    <x v="1"/>
    <x v="0"/>
    <n v="87.98"/>
    <n v="3"/>
    <n v="13.196999999999999"/>
    <n v="277.137"/>
    <x v="19"/>
    <d v="1899-12-30T10:40:00"/>
    <x v="0"/>
    <n v="263.94"/>
    <n v="4.7619047620000003"/>
    <n v="13.196999999999999"/>
    <n v="5.0999999999999996"/>
  </r>
  <r>
    <s v="273-16-6619"/>
    <s v="B"/>
    <x v="2"/>
    <x v="1"/>
    <x v="1"/>
    <x v="2"/>
    <n v="33.200000000000003"/>
    <n v="2"/>
    <n v="3.32"/>
    <n v="69.72"/>
    <x v="20"/>
    <d v="1899-12-30T12:20:00"/>
    <x v="2"/>
    <n v="66.400000000000006"/>
    <n v="4.7619047620000003"/>
    <n v="3.32"/>
    <n v="4.4000000000000004"/>
  </r>
  <r>
    <s v="636-48-8204"/>
    <s v="A"/>
    <x v="0"/>
    <x v="1"/>
    <x v="1"/>
    <x v="1"/>
    <n v="34.56"/>
    <n v="5"/>
    <n v="8.64"/>
    <n v="181.44"/>
    <x v="21"/>
    <d v="1899-12-30T11:15:00"/>
    <x v="0"/>
    <n v="172.8"/>
    <n v="4.7619047620000003"/>
    <n v="8.64"/>
    <n v="9.9"/>
  </r>
  <r>
    <s v="549-59-1358"/>
    <s v="A"/>
    <x v="0"/>
    <x v="0"/>
    <x v="1"/>
    <x v="3"/>
    <n v="88.63"/>
    <n v="3"/>
    <n v="13.294499999999999"/>
    <n v="279.18450000000001"/>
    <x v="22"/>
    <d v="1899-12-30T17:36:00"/>
    <x v="0"/>
    <n v="265.89"/>
    <n v="4.7619047620000003"/>
    <n v="13.294499999999999"/>
    <n v="6"/>
  </r>
  <r>
    <s v="227-03-5010"/>
    <s v="A"/>
    <x v="0"/>
    <x v="0"/>
    <x v="0"/>
    <x v="2"/>
    <n v="52.59"/>
    <n v="8"/>
    <n v="21.036000000000001"/>
    <n v="441.75599999999997"/>
    <x v="23"/>
    <d v="1899-12-30T19:20:00"/>
    <x v="2"/>
    <n v="420.72"/>
    <n v="4.7619047620000003"/>
    <n v="21.036000000000001"/>
    <n v="8.5"/>
  </r>
  <r>
    <s v="649-29-6775"/>
    <s v="B"/>
    <x v="2"/>
    <x v="1"/>
    <x v="1"/>
    <x v="5"/>
    <n v="33.520000000000003"/>
    <n v="1"/>
    <n v="1.6759999999999999"/>
    <n v="35.195999999999998"/>
    <x v="4"/>
    <d v="1899-12-30T15:31:00"/>
    <x v="1"/>
    <n v="33.520000000000003"/>
    <n v="4.7619047620000003"/>
    <n v="1.6759999999999999"/>
    <n v="6.7"/>
  </r>
  <r>
    <s v="189-17-4241"/>
    <s v="A"/>
    <x v="0"/>
    <x v="1"/>
    <x v="0"/>
    <x v="5"/>
    <n v="87.67"/>
    <n v="2"/>
    <n v="8.7669999999999995"/>
    <n v="184.107"/>
    <x v="24"/>
    <d v="1899-12-30T12:17:00"/>
    <x v="2"/>
    <n v="175.34"/>
    <n v="4.7619047620000003"/>
    <n v="8.7669999999999995"/>
    <n v="7.7"/>
  </r>
  <r>
    <s v="145-94-9061"/>
    <s v="B"/>
    <x v="2"/>
    <x v="1"/>
    <x v="0"/>
    <x v="4"/>
    <n v="88.36"/>
    <n v="5"/>
    <n v="22.09"/>
    <n v="463.89"/>
    <x v="25"/>
    <d v="1899-12-30T19:48:00"/>
    <x v="1"/>
    <n v="441.8"/>
    <n v="4.7619047620000003"/>
    <n v="22.09"/>
    <n v="9.6"/>
  </r>
  <r>
    <s v="848-62-7243"/>
    <s v="A"/>
    <x v="0"/>
    <x v="1"/>
    <x v="1"/>
    <x v="0"/>
    <n v="24.89"/>
    <n v="9"/>
    <n v="11.2005"/>
    <n v="235.2105"/>
    <x v="20"/>
    <d v="1899-12-30T15:36:00"/>
    <x v="1"/>
    <n v="224.01"/>
    <n v="4.7619047620000003"/>
    <n v="11.2005"/>
    <n v="7.4"/>
  </r>
  <r>
    <s v="871-79-8483"/>
    <s v="B"/>
    <x v="2"/>
    <x v="1"/>
    <x v="1"/>
    <x v="5"/>
    <n v="94.13"/>
    <n v="5"/>
    <n v="23.532499999999999"/>
    <n v="494.1825"/>
    <x v="6"/>
    <d v="1899-12-30T19:39:00"/>
    <x v="2"/>
    <n v="470.65"/>
    <n v="4.7619047620000003"/>
    <n v="23.532499999999999"/>
    <n v="4.8"/>
  </r>
  <r>
    <s v="149-71-6266"/>
    <s v="B"/>
    <x v="2"/>
    <x v="0"/>
    <x v="1"/>
    <x v="3"/>
    <n v="78.069999999999993"/>
    <n v="9"/>
    <n v="35.131500000000003"/>
    <n v="737.76149999999996"/>
    <x v="26"/>
    <d v="1899-12-30T12:43:00"/>
    <x v="1"/>
    <n v="702.63"/>
    <n v="4.7619047620000003"/>
    <n v="35.131500000000003"/>
    <n v="4.5"/>
  </r>
  <r>
    <s v="640-49-2076"/>
    <s v="B"/>
    <x v="2"/>
    <x v="1"/>
    <x v="1"/>
    <x v="3"/>
    <n v="83.78"/>
    <n v="8"/>
    <n v="33.512"/>
    <n v="703.75199999999995"/>
    <x v="8"/>
    <d v="1899-12-30T14:49:00"/>
    <x v="1"/>
    <n v="670.24"/>
    <n v="4.7619047620000003"/>
    <n v="33.512"/>
    <n v="5.0999999999999996"/>
  </r>
  <r>
    <s v="595-11-5460"/>
    <s v="A"/>
    <x v="0"/>
    <x v="1"/>
    <x v="1"/>
    <x v="0"/>
    <n v="96.58"/>
    <n v="2"/>
    <n v="9.6579999999999995"/>
    <n v="202.81800000000001"/>
    <x v="20"/>
    <d v="1899-12-30T10:12:00"/>
    <x v="2"/>
    <n v="193.16"/>
    <n v="4.7619047620000003"/>
    <n v="9.6579999999999995"/>
    <n v="5.0999999999999996"/>
  </r>
  <r>
    <s v="183-56-6882"/>
    <s v="C"/>
    <x v="1"/>
    <x v="0"/>
    <x v="0"/>
    <x v="4"/>
    <n v="99.42"/>
    <n v="4"/>
    <n v="19.884"/>
    <n v="417.56400000000002"/>
    <x v="10"/>
    <d v="1899-12-30T10:42:00"/>
    <x v="0"/>
    <n v="397.68"/>
    <n v="4.7619047620000003"/>
    <n v="19.884"/>
    <n v="7.5"/>
  </r>
  <r>
    <s v="232-16-2483"/>
    <s v="C"/>
    <x v="1"/>
    <x v="0"/>
    <x v="0"/>
    <x v="3"/>
    <n v="68.12"/>
    <n v="1"/>
    <n v="3.4060000000000001"/>
    <n v="71.525999999999996"/>
    <x v="27"/>
    <d v="1899-12-30T12:28:00"/>
    <x v="0"/>
    <n v="68.12"/>
    <n v="4.7619047620000003"/>
    <n v="3.4060000000000001"/>
    <n v="6.8"/>
  </r>
  <r>
    <s v="129-29-8530"/>
    <s v="A"/>
    <x v="0"/>
    <x v="0"/>
    <x v="1"/>
    <x v="3"/>
    <n v="62.62"/>
    <n v="5"/>
    <n v="15.654999999999999"/>
    <n v="328.755"/>
    <x v="24"/>
    <d v="1899-12-30T19:15:00"/>
    <x v="0"/>
    <n v="313.10000000000002"/>
    <n v="4.7619047620000003"/>
    <n v="15.654999999999999"/>
    <n v="7"/>
  </r>
  <r>
    <s v="272-65-1806"/>
    <s v="A"/>
    <x v="0"/>
    <x v="1"/>
    <x v="0"/>
    <x v="1"/>
    <n v="60.88"/>
    <n v="9"/>
    <n v="27.396000000000001"/>
    <n v="575.31600000000003"/>
    <x v="15"/>
    <d v="1899-12-30T17:17:00"/>
    <x v="0"/>
    <n v="547.91999999999996"/>
    <n v="4.7619047620000003"/>
    <n v="27.396000000000001"/>
    <n v="4.7"/>
  </r>
  <r>
    <s v="333-73-7901"/>
    <s v="C"/>
    <x v="1"/>
    <x v="1"/>
    <x v="0"/>
    <x v="0"/>
    <n v="54.92"/>
    <n v="8"/>
    <n v="21.968"/>
    <n v="461.32799999999997"/>
    <x v="28"/>
    <d v="1899-12-30T13:24:00"/>
    <x v="0"/>
    <n v="439.36"/>
    <n v="4.7619047620000003"/>
    <n v="21.968"/>
    <n v="7.6"/>
  </r>
  <r>
    <s v="777-82-7220"/>
    <s v="B"/>
    <x v="2"/>
    <x v="0"/>
    <x v="1"/>
    <x v="2"/>
    <n v="30.12"/>
    <n v="8"/>
    <n v="12.048"/>
    <n v="253.00800000000001"/>
    <x v="2"/>
    <d v="1899-12-30T13:01:00"/>
    <x v="1"/>
    <n v="240.96"/>
    <n v="4.7619047620000003"/>
    <n v="12.048"/>
    <n v="7.7"/>
  </r>
  <r>
    <s v="280-35-5823"/>
    <s v="B"/>
    <x v="2"/>
    <x v="0"/>
    <x v="0"/>
    <x v="2"/>
    <n v="86.72"/>
    <n v="1"/>
    <n v="4.3360000000000003"/>
    <n v="91.055999999999997"/>
    <x v="29"/>
    <d v="1899-12-30T18:45:00"/>
    <x v="0"/>
    <n v="86.72"/>
    <n v="4.7619047620000003"/>
    <n v="4.3360000000000003"/>
    <n v="7.9"/>
  </r>
  <r>
    <s v="554-53-8700"/>
    <s v="C"/>
    <x v="1"/>
    <x v="0"/>
    <x v="1"/>
    <x v="2"/>
    <n v="56.11"/>
    <n v="2"/>
    <n v="5.6109999999999998"/>
    <n v="117.831"/>
    <x v="30"/>
    <d v="1899-12-30T10:11:00"/>
    <x v="1"/>
    <n v="112.22"/>
    <n v="4.7619047620000003"/>
    <n v="5.6109999999999998"/>
    <n v="6.3"/>
  </r>
  <r>
    <s v="354-25-5821"/>
    <s v="B"/>
    <x v="2"/>
    <x v="0"/>
    <x v="0"/>
    <x v="3"/>
    <n v="69.12"/>
    <n v="6"/>
    <n v="20.736000000000001"/>
    <n v="435.45600000000002"/>
    <x v="4"/>
    <d v="1899-12-30T13:03:00"/>
    <x v="1"/>
    <n v="414.72"/>
    <n v="4.7619047620000003"/>
    <n v="20.736000000000001"/>
    <n v="5.6"/>
  </r>
  <r>
    <s v="228-96-1411"/>
    <s v="C"/>
    <x v="1"/>
    <x v="0"/>
    <x v="0"/>
    <x v="4"/>
    <n v="98.7"/>
    <n v="8"/>
    <n v="39.479999999999997"/>
    <n v="829.08"/>
    <x v="31"/>
    <d v="1899-12-30T20:39:00"/>
    <x v="1"/>
    <n v="789.6"/>
    <n v="4.7619047620000003"/>
    <n v="39.479999999999997"/>
    <n v="7.6"/>
  </r>
  <r>
    <s v="617-15-4209"/>
    <s v="C"/>
    <x v="1"/>
    <x v="0"/>
    <x v="1"/>
    <x v="0"/>
    <n v="15.37"/>
    <n v="2"/>
    <n v="1.5369999999999999"/>
    <n v="32.277000000000001"/>
    <x v="32"/>
    <d v="1899-12-30T19:47:00"/>
    <x v="1"/>
    <n v="30.74"/>
    <n v="4.7619047620000003"/>
    <n v="1.5369999999999999"/>
    <n v="7.2"/>
  </r>
  <r>
    <s v="132-32-9879"/>
    <s v="B"/>
    <x v="2"/>
    <x v="0"/>
    <x v="0"/>
    <x v="1"/>
    <n v="93.96"/>
    <n v="4"/>
    <n v="18.792000000000002"/>
    <n v="394.63200000000001"/>
    <x v="11"/>
    <d v="1899-12-30T18:00:00"/>
    <x v="1"/>
    <n v="375.84"/>
    <n v="4.7619047620000003"/>
    <n v="18.792000000000002"/>
    <n v="9.5"/>
  </r>
  <r>
    <s v="370-41-7321"/>
    <s v="B"/>
    <x v="2"/>
    <x v="0"/>
    <x v="1"/>
    <x v="0"/>
    <n v="56.69"/>
    <n v="9"/>
    <n v="25.5105"/>
    <n v="535.72050000000002"/>
    <x v="33"/>
    <d v="1899-12-30T17:24:00"/>
    <x v="2"/>
    <n v="510.21"/>
    <n v="4.7619047620000003"/>
    <n v="25.5105"/>
    <n v="8.4"/>
  </r>
  <r>
    <s v="727-46-3608"/>
    <s v="B"/>
    <x v="2"/>
    <x v="0"/>
    <x v="0"/>
    <x v="4"/>
    <n v="20.010000000000002"/>
    <n v="9"/>
    <n v="9.0045000000000002"/>
    <n v="189.09450000000001"/>
    <x v="10"/>
    <d v="1899-12-30T15:47:00"/>
    <x v="0"/>
    <n v="180.09"/>
    <n v="4.7619047620000003"/>
    <n v="9.0045000000000002"/>
    <n v="4.0999999999999996"/>
  </r>
  <r>
    <s v="669-54-1719"/>
    <s v="B"/>
    <x v="2"/>
    <x v="0"/>
    <x v="1"/>
    <x v="1"/>
    <n v="18.93"/>
    <n v="6"/>
    <n v="5.6790000000000003"/>
    <n v="119.259"/>
    <x v="34"/>
    <d v="1899-12-30T12:45:00"/>
    <x v="2"/>
    <n v="113.58"/>
    <n v="4.7619047620000003"/>
    <n v="5.6790000000000003"/>
    <n v="8.1"/>
  </r>
  <r>
    <s v="574-22-5561"/>
    <s v="C"/>
    <x v="1"/>
    <x v="0"/>
    <x v="0"/>
    <x v="5"/>
    <n v="82.63"/>
    <n v="10"/>
    <n v="41.314999999999998"/>
    <n v="867.61500000000001"/>
    <x v="35"/>
    <d v="1899-12-30T17:08:00"/>
    <x v="0"/>
    <n v="826.3"/>
    <n v="4.7619047620000003"/>
    <n v="41.314999999999998"/>
    <n v="7.9"/>
  </r>
  <r>
    <s v="326-78-5178"/>
    <s v="C"/>
    <x v="1"/>
    <x v="0"/>
    <x v="1"/>
    <x v="4"/>
    <n v="91.4"/>
    <n v="7"/>
    <n v="31.99"/>
    <n v="671.79"/>
    <x v="36"/>
    <d v="1899-12-30T10:19:00"/>
    <x v="1"/>
    <n v="639.79999999999995"/>
    <n v="4.7619047620000003"/>
    <n v="31.99"/>
    <n v="9.5"/>
  </r>
  <r>
    <s v="162-48-8011"/>
    <s v="A"/>
    <x v="0"/>
    <x v="0"/>
    <x v="0"/>
    <x v="4"/>
    <n v="44.59"/>
    <n v="5"/>
    <n v="11.147500000000001"/>
    <n v="234.0975"/>
    <x v="34"/>
    <d v="1899-12-30T15:10:00"/>
    <x v="1"/>
    <n v="222.95"/>
    <n v="4.7619047620000003"/>
    <n v="11.147500000000001"/>
    <n v="8.5"/>
  </r>
  <r>
    <s v="616-24-2851"/>
    <s v="B"/>
    <x v="2"/>
    <x v="0"/>
    <x v="0"/>
    <x v="5"/>
    <n v="17.87"/>
    <n v="4"/>
    <n v="3.5739999999999998"/>
    <n v="75.054000000000002"/>
    <x v="23"/>
    <d v="1899-12-30T14:42:00"/>
    <x v="0"/>
    <n v="71.48"/>
    <n v="4.7619047620000003"/>
    <n v="3.5739999999999998"/>
    <n v="6.5"/>
  </r>
  <r>
    <s v="778-71-5554"/>
    <s v="C"/>
    <x v="1"/>
    <x v="0"/>
    <x v="1"/>
    <x v="5"/>
    <n v="15.43"/>
    <n v="1"/>
    <n v="0.77149999999999996"/>
    <n v="16.201499999999999"/>
    <x v="25"/>
    <d v="1899-12-30T15:46:00"/>
    <x v="2"/>
    <n v="15.43"/>
    <n v="4.7619047620000003"/>
    <n v="0.77149999999999996"/>
    <n v="6.1"/>
  </r>
  <r>
    <s v="242-55-6721"/>
    <s v="B"/>
    <x v="2"/>
    <x v="1"/>
    <x v="1"/>
    <x v="2"/>
    <n v="16.16"/>
    <n v="2"/>
    <n v="1.6160000000000001"/>
    <n v="33.936"/>
    <x v="37"/>
    <d v="1899-12-30T11:49:00"/>
    <x v="0"/>
    <n v="32.32"/>
    <n v="4.7619047620000003"/>
    <n v="1.6160000000000001"/>
    <n v="6.5"/>
  </r>
  <r>
    <s v="399-46-5918"/>
    <s v="C"/>
    <x v="1"/>
    <x v="1"/>
    <x v="0"/>
    <x v="1"/>
    <n v="85.98"/>
    <n v="8"/>
    <n v="34.392000000000003"/>
    <n v="722.23199999999997"/>
    <x v="38"/>
    <d v="1899-12-30T19:01:00"/>
    <x v="1"/>
    <n v="687.84"/>
    <n v="4.7619047620000003"/>
    <n v="34.392000000000003"/>
    <n v="8.1999999999999993"/>
  </r>
  <r>
    <s v="106-35-6779"/>
    <s v="A"/>
    <x v="0"/>
    <x v="0"/>
    <x v="1"/>
    <x v="2"/>
    <n v="44.34"/>
    <n v="2"/>
    <n v="4.4340000000000002"/>
    <n v="93.114000000000004"/>
    <x v="39"/>
    <d v="1899-12-30T11:26:00"/>
    <x v="1"/>
    <n v="88.68"/>
    <n v="4.7619047620000003"/>
    <n v="4.4340000000000002"/>
    <n v="5.8"/>
  </r>
  <r>
    <s v="635-40-6220"/>
    <s v="A"/>
    <x v="0"/>
    <x v="1"/>
    <x v="1"/>
    <x v="0"/>
    <n v="89.6"/>
    <n v="8"/>
    <n v="35.840000000000003"/>
    <n v="752.64"/>
    <x v="13"/>
    <d v="1899-12-30T11:28:00"/>
    <x v="0"/>
    <n v="716.8"/>
    <n v="4.7619047620000003"/>
    <n v="35.840000000000003"/>
    <n v="6.6"/>
  </r>
  <r>
    <s v="817-48-8732"/>
    <s v="A"/>
    <x v="0"/>
    <x v="0"/>
    <x v="0"/>
    <x v="2"/>
    <n v="72.349999999999994"/>
    <n v="10"/>
    <n v="36.174999999999997"/>
    <n v="759.67499999999995"/>
    <x v="40"/>
    <d v="1899-12-30T15:55:00"/>
    <x v="1"/>
    <n v="723.5"/>
    <n v="4.7619047620000003"/>
    <n v="36.174999999999997"/>
    <n v="5.4"/>
  </r>
  <r>
    <s v="120-06-4233"/>
    <s v="C"/>
    <x v="1"/>
    <x v="1"/>
    <x v="1"/>
    <x v="1"/>
    <n v="30.61"/>
    <n v="6"/>
    <n v="9.1829999999999998"/>
    <n v="192.84299999999999"/>
    <x v="41"/>
    <d v="1899-12-30T20:36:00"/>
    <x v="1"/>
    <n v="183.66"/>
    <n v="4.7619047620000003"/>
    <n v="9.1829999999999998"/>
    <n v="9.3000000000000007"/>
  </r>
  <r>
    <s v="285-68-5083"/>
    <s v="C"/>
    <x v="1"/>
    <x v="0"/>
    <x v="0"/>
    <x v="3"/>
    <n v="24.74"/>
    <n v="3"/>
    <n v="3.7109999999999999"/>
    <n v="77.930999999999997"/>
    <x v="42"/>
    <d v="1899-12-30T17:47:00"/>
    <x v="2"/>
    <n v="74.22"/>
    <n v="4.7619047620000003"/>
    <n v="3.7109999999999999"/>
    <n v="10"/>
  </r>
  <r>
    <s v="803-83-5989"/>
    <s v="C"/>
    <x v="1"/>
    <x v="1"/>
    <x v="1"/>
    <x v="2"/>
    <n v="55.73"/>
    <n v="6"/>
    <n v="16.719000000000001"/>
    <n v="351.09899999999999"/>
    <x v="7"/>
    <d v="1899-12-30T10:55:00"/>
    <x v="0"/>
    <n v="334.38"/>
    <n v="4.7619047620000003"/>
    <n v="16.719000000000001"/>
    <n v="7"/>
  </r>
  <r>
    <s v="347-34-2234"/>
    <s v="B"/>
    <x v="2"/>
    <x v="0"/>
    <x v="0"/>
    <x v="3"/>
    <n v="55.07"/>
    <n v="9"/>
    <n v="24.781500000000001"/>
    <n v="520.41150000000005"/>
    <x v="36"/>
    <d v="1899-12-30T13:40:00"/>
    <x v="0"/>
    <n v="495.63"/>
    <n v="4.7619047620000003"/>
    <n v="24.781500000000001"/>
    <n v="10"/>
  </r>
  <r>
    <s v="199-75-8169"/>
    <s v="A"/>
    <x v="0"/>
    <x v="0"/>
    <x v="1"/>
    <x v="3"/>
    <n v="15.81"/>
    <n v="10"/>
    <n v="7.9050000000000002"/>
    <n v="166.005"/>
    <x v="43"/>
    <d v="1899-12-30T12:27:00"/>
    <x v="2"/>
    <n v="158.1"/>
    <n v="4.7619047620000003"/>
    <n v="7.9050000000000002"/>
    <n v="8.6"/>
  </r>
  <r>
    <s v="853-23-2453"/>
    <s v="B"/>
    <x v="2"/>
    <x v="0"/>
    <x v="1"/>
    <x v="0"/>
    <n v="75.739999999999995"/>
    <n v="4"/>
    <n v="15.148"/>
    <n v="318.108"/>
    <x v="44"/>
    <d v="1899-12-30T14:35:00"/>
    <x v="1"/>
    <n v="302.95999999999998"/>
    <n v="4.7619047620000003"/>
    <n v="15.148"/>
    <n v="7.6"/>
  </r>
  <r>
    <s v="877-22-3308"/>
    <s v="A"/>
    <x v="0"/>
    <x v="0"/>
    <x v="1"/>
    <x v="0"/>
    <n v="15.87"/>
    <n v="10"/>
    <n v="7.9349999999999996"/>
    <n v="166.63499999999999"/>
    <x v="45"/>
    <d v="1899-12-30T16:40:00"/>
    <x v="1"/>
    <n v="158.69999999999999"/>
    <n v="4.7619047620000003"/>
    <n v="7.9349999999999996"/>
    <n v="5.8"/>
  </r>
  <r>
    <s v="838-78-4295"/>
    <s v="C"/>
    <x v="1"/>
    <x v="1"/>
    <x v="0"/>
    <x v="0"/>
    <n v="33.47"/>
    <n v="2"/>
    <n v="3.347"/>
    <n v="70.287000000000006"/>
    <x v="34"/>
    <d v="1899-12-30T15:43:00"/>
    <x v="0"/>
    <n v="66.94"/>
    <n v="4.7619047620000003"/>
    <n v="3.347"/>
    <n v="6.7"/>
  </r>
  <r>
    <s v="109-28-2512"/>
    <s v="B"/>
    <x v="2"/>
    <x v="0"/>
    <x v="0"/>
    <x v="5"/>
    <n v="97.61"/>
    <n v="6"/>
    <n v="29.283000000000001"/>
    <n v="614.94299999999998"/>
    <x v="27"/>
    <d v="1899-12-30T15:01:00"/>
    <x v="0"/>
    <n v="585.66"/>
    <n v="4.7619047620000003"/>
    <n v="29.283000000000001"/>
    <n v="9.9"/>
  </r>
  <r>
    <s v="232-11-3025"/>
    <s v="A"/>
    <x v="0"/>
    <x v="1"/>
    <x v="1"/>
    <x v="3"/>
    <n v="78.77"/>
    <n v="10"/>
    <n v="39.384999999999998"/>
    <n v="827.08500000000004"/>
    <x v="46"/>
    <d v="1899-12-30T10:04:00"/>
    <x v="1"/>
    <n v="787.7"/>
    <n v="4.7619047620000003"/>
    <n v="39.384999999999998"/>
    <n v="6.4"/>
  </r>
  <r>
    <s v="382-03-4532"/>
    <s v="A"/>
    <x v="0"/>
    <x v="0"/>
    <x v="0"/>
    <x v="0"/>
    <n v="18.329999999999998"/>
    <n v="1"/>
    <n v="0.91649999999999998"/>
    <n v="19.246500000000001"/>
    <x v="30"/>
    <d v="1899-12-30T18:50:00"/>
    <x v="1"/>
    <n v="18.329999999999998"/>
    <n v="4.7619047620000003"/>
    <n v="0.91649999999999998"/>
    <n v="4.3"/>
  </r>
  <r>
    <s v="393-65-2792"/>
    <s v="C"/>
    <x v="1"/>
    <x v="1"/>
    <x v="1"/>
    <x v="4"/>
    <n v="89.48"/>
    <n v="10"/>
    <n v="44.74"/>
    <n v="939.54"/>
    <x v="47"/>
    <d v="1899-12-30T12:46:00"/>
    <x v="2"/>
    <n v="894.8"/>
    <n v="4.7619047620000003"/>
    <n v="44.74"/>
    <n v="9.6"/>
  </r>
  <r>
    <s v="796-12-2025"/>
    <s v="C"/>
    <x v="1"/>
    <x v="1"/>
    <x v="1"/>
    <x v="5"/>
    <n v="62.12"/>
    <n v="10"/>
    <n v="31.06"/>
    <n v="652.26"/>
    <x v="48"/>
    <d v="1899-12-30T16:19:00"/>
    <x v="1"/>
    <n v="621.20000000000005"/>
    <n v="4.7619047620000003"/>
    <n v="31.06"/>
    <n v="5.9"/>
  </r>
  <r>
    <s v="510-95-6347"/>
    <s v="B"/>
    <x v="2"/>
    <x v="0"/>
    <x v="0"/>
    <x v="4"/>
    <n v="48.52"/>
    <n v="3"/>
    <n v="7.2779999999999996"/>
    <n v="152.83799999999999"/>
    <x v="19"/>
    <d v="1899-12-30T18:17:00"/>
    <x v="0"/>
    <n v="145.56"/>
    <n v="4.7619047620000003"/>
    <n v="7.2779999999999996"/>
    <n v="4"/>
  </r>
  <r>
    <s v="841-35-6630"/>
    <s v="C"/>
    <x v="1"/>
    <x v="1"/>
    <x v="0"/>
    <x v="1"/>
    <n v="75.91"/>
    <n v="6"/>
    <n v="22.773"/>
    <n v="478.233"/>
    <x v="11"/>
    <d v="1899-12-30T18:21:00"/>
    <x v="1"/>
    <n v="455.46"/>
    <n v="4.7619047620000003"/>
    <n v="22.773"/>
    <n v="8.6999999999999993"/>
  </r>
  <r>
    <s v="287-21-9091"/>
    <s v="A"/>
    <x v="0"/>
    <x v="1"/>
    <x v="1"/>
    <x v="2"/>
    <n v="74.67"/>
    <n v="9"/>
    <n v="33.601500000000001"/>
    <n v="705.63149999999996"/>
    <x v="49"/>
    <d v="1899-12-30T10:55:00"/>
    <x v="0"/>
    <n v="672.03"/>
    <n v="4.7619047620000003"/>
    <n v="33.601500000000001"/>
    <n v="9.4"/>
  </r>
  <r>
    <s v="732-94-0499"/>
    <s v="C"/>
    <x v="1"/>
    <x v="1"/>
    <x v="0"/>
    <x v="1"/>
    <n v="41.65"/>
    <n v="10"/>
    <n v="20.824999999999999"/>
    <n v="437.32499999999999"/>
    <x v="50"/>
    <d v="1899-12-30T17:04:00"/>
    <x v="2"/>
    <n v="416.5"/>
    <n v="4.7619047620000003"/>
    <n v="20.824999999999999"/>
    <n v="5.4"/>
  </r>
  <r>
    <s v="263-10-3913"/>
    <s v="C"/>
    <x v="1"/>
    <x v="0"/>
    <x v="1"/>
    <x v="5"/>
    <n v="49.04"/>
    <n v="9"/>
    <n v="22.068000000000001"/>
    <n v="463.428"/>
    <x v="51"/>
    <d v="1899-12-30T14:20:00"/>
    <x v="2"/>
    <n v="441.36"/>
    <n v="4.7619047620000003"/>
    <n v="22.068000000000001"/>
    <n v="8.6"/>
  </r>
  <r>
    <s v="381-20-0914"/>
    <s v="A"/>
    <x v="0"/>
    <x v="0"/>
    <x v="0"/>
    <x v="5"/>
    <n v="20.010000000000002"/>
    <n v="9"/>
    <n v="9.0045000000000002"/>
    <n v="189.09450000000001"/>
    <x v="52"/>
    <d v="1899-12-30T15:48:00"/>
    <x v="2"/>
    <n v="180.09"/>
    <n v="4.7619047620000003"/>
    <n v="9.0045000000000002"/>
    <n v="5.7"/>
  </r>
  <r>
    <s v="829-49-1914"/>
    <s v="C"/>
    <x v="1"/>
    <x v="0"/>
    <x v="0"/>
    <x v="4"/>
    <n v="78.31"/>
    <n v="10"/>
    <n v="39.155000000000001"/>
    <n v="822.255"/>
    <x v="19"/>
    <d v="1899-12-30T16:24:00"/>
    <x v="0"/>
    <n v="783.1"/>
    <n v="4.7619047620000003"/>
    <n v="39.155000000000001"/>
    <n v="6.6"/>
  </r>
  <r>
    <s v="756-01-7507"/>
    <s v="C"/>
    <x v="1"/>
    <x v="1"/>
    <x v="0"/>
    <x v="0"/>
    <n v="20.38"/>
    <n v="5"/>
    <n v="5.0949999999999998"/>
    <n v="106.995"/>
    <x v="49"/>
    <d v="1899-12-30T18:56:00"/>
    <x v="1"/>
    <n v="101.9"/>
    <n v="4.7619047620000003"/>
    <n v="5.0949999999999998"/>
    <n v="6"/>
  </r>
  <r>
    <s v="870-72-4431"/>
    <s v="C"/>
    <x v="1"/>
    <x v="1"/>
    <x v="0"/>
    <x v="0"/>
    <n v="99.19"/>
    <n v="6"/>
    <n v="29.757000000000001"/>
    <n v="624.89700000000005"/>
    <x v="18"/>
    <d v="1899-12-30T14:42:00"/>
    <x v="2"/>
    <n v="595.14"/>
    <n v="4.7619047620000003"/>
    <n v="29.757000000000001"/>
    <n v="5.5"/>
  </r>
  <r>
    <s v="847-38-7188"/>
    <s v="B"/>
    <x v="2"/>
    <x v="1"/>
    <x v="0"/>
    <x v="4"/>
    <n v="96.68"/>
    <n v="3"/>
    <n v="14.502000000000001"/>
    <n v="304.54199999999997"/>
    <x v="53"/>
    <d v="1899-12-30T19:56:00"/>
    <x v="0"/>
    <n v="290.04000000000002"/>
    <n v="4.7619047620000003"/>
    <n v="14.502000000000001"/>
    <n v="6.4"/>
  </r>
  <r>
    <s v="480-63-2856"/>
    <s v="C"/>
    <x v="1"/>
    <x v="1"/>
    <x v="1"/>
    <x v="4"/>
    <n v="19.25"/>
    <n v="8"/>
    <n v="7.7"/>
    <n v="161.69999999999999"/>
    <x v="54"/>
    <d v="1899-12-30T18:37:00"/>
    <x v="0"/>
    <n v="154"/>
    <n v="4.7619047620000003"/>
    <n v="7.7"/>
    <n v="6.6"/>
  </r>
  <r>
    <s v="787-56-0757"/>
    <s v="C"/>
    <x v="1"/>
    <x v="0"/>
    <x v="0"/>
    <x v="4"/>
    <n v="80.36"/>
    <n v="4"/>
    <n v="16.071999999999999"/>
    <n v="337.512"/>
    <x v="55"/>
    <d v="1899-12-30T18:45:00"/>
    <x v="2"/>
    <n v="321.44"/>
    <n v="4.7619047620000003"/>
    <n v="16.071999999999999"/>
    <n v="8.3000000000000007"/>
  </r>
  <r>
    <s v="360-39-5055"/>
    <s v="C"/>
    <x v="1"/>
    <x v="0"/>
    <x v="1"/>
    <x v="3"/>
    <n v="48.91"/>
    <n v="5"/>
    <n v="12.227499999999999"/>
    <n v="256.77749999999997"/>
    <x v="11"/>
    <d v="1899-12-30T10:17:00"/>
    <x v="1"/>
    <n v="244.55"/>
    <n v="4.7619047620000003"/>
    <n v="12.227499999999999"/>
    <n v="6.6"/>
  </r>
  <r>
    <s v="730-50-9884"/>
    <s v="C"/>
    <x v="1"/>
    <x v="1"/>
    <x v="0"/>
    <x v="3"/>
    <n v="83.06"/>
    <n v="7"/>
    <n v="29.071000000000002"/>
    <n v="610.49099999999999"/>
    <x v="19"/>
    <d v="1899-12-30T14:31:00"/>
    <x v="0"/>
    <n v="581.41999999999996"/>
    <n v="4.7619047620000003"/>
    <n v="29.071000000000002"/>
    <n v="4"/>
  </r>
  <r>
    <s v="362-58-8315"/>
    <s v="C"/>
    <x v="1"/>
    <x v="1"/>
    <x v="1"/>
    <x v="5"/>
    <n v="76.52"/>
    <n v="5"/>
    <n v="19.13"/>
    <n v="401.73"/>
    <x v="5"/>
    <d v="1899-12-30T10:23:00"/>
    <x v="1"/>
    <n v="382.6"/>
    <n v="4.7619047620000003"/>
    <n v="19.13"/>
    <n v="9.9"/>
  </r>
  <r>
    <s v="633-44-8566"/>
    <s v="A"/>
    <x v="0"/>
    <x v="0"/>
    <x v="1"/>
    <x v="4"/>
    <n v="49.38"/>
    <n v="7"/>
    <n v="17.283000000000001"/>
    <n v="362.94299999999998"/>
    <x v="39"/>
    <d v="1899-12-30T20:35:00"/>
    <x v="2"/>
    <n v="345.66"/>
    <n v="4.7619047620000003"/>
    <n v="17.283000000000001"/>
    <n v="7.3"/>
  </r>
  <r>
    <s v="504-35-8843"/>
    <s v="A"/>
    <x v="0"/>
    <x v="1"/>
    <x v="1"/>
    <x v="3"/>
    <n v="42.47"/>
    <n v="1"/>
    <n v="2.1234999999999999"/>
    <n v="44.593499999999999"/>
    <x v="56"/>
    <d v="1899-12-30T16:57:00"/>
    <x v="1"/>
    <n v="42.47"/>
    <n v="4.7619047620000003"/>
    <n v="2.1234999999999999"/>
    <n v="5.7"/>
  </r>
  <r>
    <s v="318-68-5053"/>
    <s v="B"/>
    <x v="2"/>
    <x v="1"/>
    <x v="0"/>
    <x v="0"/>
    <n v="76.989999999999995"/>
    <n v="6"/>
    <n v="23.097000000000001"/>
    <n v="485.03699999999998"/>
    <x v="33"/>
    <d v="1899-12-30T17:55:00"/>
    <x v="1"/>
    <n v="461.94"/>
    <n v="4.7619047620000003"/>
    <n v="23.097000000000001"/>
    <n v="6.1"/>
  </r>
  <r>
    <s v="565-80-5980"/>
    <s v="C"/>
    <x v="1"/>
    <x v="0"/>
    <x v="0"/>
    <x v="2"/>
    <n v="47.38"/>
    <n v="4"/>
    <n v="9.4760000000000009"/>
    <n v="198.99600000000001"/>
    <x v="54"/>
    <d v="1899-12-30T10:25:00"/>
    <x v="1"/>
    <n v="189.52"/>
    <n v="4.7619047620000003"/>
    <n v="9.4760000000000009"/>
    <n v="7.1"/>
  </r>
  <r>
    <s v="225-32-0908"/>
    <s v="C"/>
    <x v="1"/>
    <x v="1"/>
    <x v="0"/>
    <x v="3"/>
    <n v="44.86"/>
    <n v="10"/>
    <n v="22.43"/>
    <n v="471.03"/>
    <x v="53"/>
    <d v="1899-12-30T19:54:00"/>
    <x v="0"/>
    <n v="448.6"/>
    <n v="4.7619047620000003"/>
    <n v="22.43"/>
    <n v="8.1999999999999993"/>
  </r>
  <r>
    <s v="873-51-0671"/>
    <s v="A"/>
    <x v="0"/>
    <x v="0"/>
    <x v="0"/>
    <x v="3"/>
    <n v="21.98"/>
    <n v="7"/>
    <n v="7.6929999999999996"/>
    <n v="161.553"/>
    <x v="8"/>
    <d v="1899-12-30T16:42:00"/>
    <x v="0"/>
    <n v="153.86000000000001"/>
    <n v="4.7619047620000003"/>
    <n v="7.6929999999999996"/>
    <n v="5.0999999999999996"/>
  </r>
  <r>
    <s v="152-08-9985"/>
    <s v="B"/>
    <x v="2"/>
    <x v="0"/>
    <x v="1"/>
    <x v="0"/>
    <n v="64.36"/>
    <n v="9"/>
    <n v="28.962"/>
    <n v="608.202"/>
    <x v="41"/>
    <d v="1899-12-30T12:09:00"/>
    <x v="2"/>
    <n v="579.24"/>
    <n v="4.7619047620000003"/>
    <n v="28.962"/>
    <n v="8.6"/>
  </r>
  <r>
    <s v="512-91-0811"/>
    <s v="C"/>
    <x v="1"/>
    <x v="1"/>
    <x v="1"/>
    <x v="0"/>
    <n v="89.75"/>
    <n v="1"/>
    <n v="4.4874999999999998"/>
    <n v="94.237499999999997"/>
    <x v="10"/>
    <d v="1899-12-30T20:05:00"/>
    <x v="2"/>
    <n v="89.75"/>
    <n v="4.7619047620000003"/>
    <n v="4.4874999999999998"/>
    <n v="6.6"/>
  </r>
  <r>
    <s v="594-34-4444"/>
    <s v="A"/>
    <x v="0"/>
    <x v="1"/>
    <x v="1"/>
    <x v="1"/>
    <n v="97.16"/>
    <n v="1"/>
    <n v="4.8579999999999997"/>
    <n v="102.018"/>
    <x v="1"/>
    <d v="1899-12-30T20:38:00"/>
    <x v="0"/>
    <n v="97.16"/>
    <n v="4.7619047620000003"/>
    <n v="4.8579999999999997"/>
    <n v="7.2"/>
  </r>
  <r>
    <s v="766-85-7061"/>
    <s v="B"/>
    <x v="2"/>
    <x v="1"/>
    <x v="1"/>
    <x v="0"/>
    <n v="87.87"/>
    <n v="10"/>
    <n v="43.935000000000002"/>
    <n v="922.63499999999999"/>
    <x v="14"/>
    <d v="1899-12-30T10:25:00"/>
    <x v="0"/>
    <n v="878.7"/>
    <n v="4.7619047620000003"/>
    <n v="43.935000000000002"/>
    <n v="5.0999999999999996"/>
  </r>
  <r>
    <s v="871-39-9221"/>
    <s v="C"/>
    <x v="1"/>
    <x v="1"/>
    <x v="0"/>
    <x v="1"/>
    <n v="12.45"/>
    <n v="6"/>
    <n v="3.7349999999999999"/>
    <n v="78.435000000000002"/>
    <x v="57"/>
    <d v="1899-12-30T13:11:00"/>
    <x v="1"/>
    <n v="74.7"/>
    <n v="4.7619047620000003"/>
    <n v="3.7349999999999999"/>
    <n v="4.0999999999999996"/>
  </r>
  <r>
    <s v="865-92-6136"/>
    <s v="A"/>
    <x v="0"/>
    <x v="1"/>
    <x v="1"/>
    <x v="4"/>
    <n v="52.75"/>
    <n v="3"/>
    <n v="7.9124999999999996"/>
    <n v="166.16249999999999"/>
    <x v="28"/>
    <d v="1899-12-30T10:16:00"/>
    <x v="0"/>
    <n v="158.25"/>
    <n v="4.7619047620000003"/>
    <n v="7.9124999999999996"/>
    <n v="9.3000000000000007"/>
  </r>
  <r>
    <s v="733-01-9107"/>
    <s v="B"/>
    <x v="2"/>
    <x v="1"/>
    <x v="1"/>
    <x v="2"/>
    <n v="82.7"/>
    <n v="6"/>
    <n v="24.81"/>
    <n v="521.01"/>
    <x v="19"/>
    <d v="1899-12-30T18:14:00"/>
    <x v="1"/>
    <n v="496.2"/>
    <n v="4.7619047620000003"/>
    <n v="24.81"/>
    <n v="7.4"/>
  </r>
  <r>
    <s v="163-56-7055"/>
    <s v="C"/>
    <x v="1"/>
    <x v="0"/>
    <x v="1"/>
    <x v="5"/>
    <n v="48.71"/>
    <n v="1"/>
    <n v="2.4355000000000002"/>
    <n v="51.145499999999998"/>
    <x v="58"/>
    <d v="1899-12-30T19:20:00"/>
    <x v="1"/>
    <n v="48.71"/>
    <n v="4.7619047620000003"/>
    <n v="2.4355000000000002"/>
    <n v="4.0999999999999996"/>
  </r>
  <r>
    <s v="189-98-2939"/>
    <s v="C"/>
    <x v="1"/>
    <x v="1"/>
    <x v="1"/>
    <x v="5"/>
    <n v="78.55"/>
    <n v="9"/>
    <n v="35.347499999999997"/>
    <n v="742.29750000000001"/>
    <x v="59"/>
    <d v="1899-12-30T13:22:00"/>
    <x v="1"/>
    <n v="706.95"/>
    <n v="4.7619047620000003"/>
    <n v="35.347499999999997"/>
    <n v="7.2"/>
  </r>
  <r>
    <s v="551-21-3069"/>
    <s v="C"/>
    <x v="1"/>
    <x v="1"/>
    <x v="0"/>
    <x v="1"/>
    <n v="23.07"/>
    <n v="9"/>
    <n v="10.381500000000001"/>
    <n v="218.01150000000001"/>
    <x v="60"/>
    <d v="1899-12-30T11:27:00"/>
    <x v="1"/>
    <n v="207.63"/>
    <n v="4.7619047620000003"/>
    <n v="10.381500000000001"/>
    <n v="4.9000000000000004"/>
  </r>
  <r>
    <s v="212-62-1842"/>
    <s v="A"/>
    <x v="0"/>
    <x v="1"/>
    <x v="1"/>
    <x v="4"/>
    <n v="58.26"/>
    <n v="6"/>
    <n v="17.478000000000002"/>
    <n v="367.03800000000001"/>
    <x v="61"/>
    <d v="1899-12-30T16:44:00"/>
    <x v="1"/>
    <n v="349.56"/>
    <n v="4.7619047620000003"/>
    <n v="17.478000000000002"/>
    <n v="9.9"/>
  </r>
  <r>
    <s v="716-39-1409"/>
    <s v="B"/>
    <x v="2"/>
    <x v="1"/>
    <x v="1"/>
    <x v="0"/>
    <n v="30.35"/>
    <n v="7"/>
    <n v="10.6225"/>
    <n v="223.07249999999999"/>
    <x v="35"/>
    <d v="1899-12-30T18:19:00"/>
    <x v="1"/>
    <n v="212.45"/>
    <n v="4.7619047620000003"/>
    <n v="10.6225"/>
    <n v="8"/>
  </r>
  <r>
    <s v="704-48-3927"/>
    <s v="A"/>
    <x v="0"/>
    <x v="0"/>
    <x v="1"/>
    <x v="1"/>
    <n v="88.67"/>
    <n v="10"/>
    <n v="44.335000000000001"/>
    <n v="931.03499999999997"/>
    <x v="52"/>
    <d v="1899-12-30T14:50:00"/>
    <x v="0"/>
    <n v="886.7"/>
    <n v="4.7619047620000003"/>
    <n v="44.335000000000001"/>
    <n v="7.3"/>
  </r>
  <r>
    <s v="628-34-3388"/>
    <s v="C"/>
    <x v="1"/>
    <x v="1"/>
    <x v="1"/>
    <x v="5"/>
    <n v="27.38"/>
    <n v="6"/>
    <n v="8.2140000000000004"/>
    <n v="172.494"/>
    <x v="0"/>
    <d v="1899-12-30T20:54:00"/>
    <x v="2"/>
    <n v="164.28"/>
    <n v="4.7619047620000003"/>
    <n v="8.2140000000000004"/>
    <n v="7.9"/>
  </r>
  <r>
    <s v="630-74-5166"/>
    <s v="A"/>
    <x v="0"/>
    <x v="1"/>
    <x v="1"/>
    <x v="3"/>
    <n v="62.13"/>
    <n v="6"/>
    <n v="18.638999999999999"/>
    <n v="391.41899999999998"/>
    <x v="23"/>
    <d v="1899-12-30T20:19:00"/>
    <x v="1"/>
    <n v="372.78"/>
    <n v="4.7619047620000003"/>
    <n v="18.638999999999999"/>
    <n v="7.4"/>
  </r>
  <r>
    <s v="588-01-7461"/>
    <s v="C"/>
    <x v="1"/>
    <x v="1"/>
    <x v="0"/>
    <x v="4"/>
    <n v="33.979999999999997"/>
    <n v="9"/>
    <n v="15.291"/>
    <n v="321.11099999999999"/>
    <x v="62"/>
    <d v="1899-12-30T10:43:00"/>
    <x v="1"/>
    <n v="305.82"/>
    <n v="4.7619047620000003"/>
    <n v="15.291"/>
    <n v="4.2"/>
  </r>
  <r>
    <s v="861-77-0145"/>
    <s v="C"/>
    <x v="1"/>
    <x v="0"/>
    <x v="1"/>
    <x v="1"/>
    <n v="81.97"/>
    <n v="10"/>
    <n v="40.984999999999999"/>
    <n v="860.68499999999995"/>
    <x v="2"/>
    <d v="1899-12-30T14:30:00"/>
    <x v="1"/>
    <n v="819.7"/>
    <n v="4.7619047620000003"/>
    <n v="40.984999999999999"/>
    <n v="9.1999999999999993"/>
  </r>
  <r>
    <s v="479-26-8945"/>
    <s v="B"/>
    <x v="2"/>
    <x v="0"/>
    <x v="0"/>
    <x v="3"/>
    <n v="16.489999999999998"/>
    <n v="2"/>
    <n v="1.649"/>
    <n v="34.628999999999998"/>
    <x v="63"/>
    <d v="1899-12-30T11:32:00"/>
    <x v="0"/>
    <n v="32.979999999999997"/>
    <n v="4.7619047620000003"/>
    <n v="1.649"/>
    <n v="4.5999999999999996"/>
  </r>
  <r>
    <s v="210-67-5886"/>
    <s v="C"/>
    <x v="1"/>
    <x v="0"/>
    <x v="0"/>
    <x v="0"/>
    <n v="98.21"/>
    <n v="3"/>
    <n v="14.7315"/>
    <n v="309.36149999999998"/>
    <x v="63"/>
    <d v="1899-12-30T10:41:00"/>
    <x v="2"/>
    <n v="294.63"/>
    <n v="4.7619047620000003"/>
    <n v="14.7315"/>
    <n v="7.8"/>
  </r>
  <r>
    <s v="227-78-1148"/>
    <s v="B"/>
    <x v="2"/>
    <x v="1"/>
    <x v="0"/>
    <x v="5"/>
    <n v="72.84"/>
    <n v="7"/>
    <n v="25.494"/>
    <n v="535.37400000000002"/>
    <x v="42"/>
    <d v="1899-12-30T12:44:00"/>
    <x v="1"/>
    <n v="509.88"/>
    <n v="4.7619047620000003"/>
    <n v="25.494"/>
    <n v="8.4"/>
  </r>
  <r>
    <s v="645-44-1170"/>
    <s v="A"/>
    <x v="0"/>
    <x v="0"/>
    <x v="1"/>
    <x v="2"/>
    <n v="58.07"/>
    <n v="9"/>
    <n v="26.131499999999999"/>
    <n v="548.76149999999996"/>
    <x v="64"/>
    <d v="1899-12-30T20:07:00"/>
    <x v="0"/>
    <n v="522.63"/>
    <n v="4.7619047620000003"/>
    <n v="26.131499999999999"/>
    <n v="4.3"/>
  </r>
  <r>
    <s v="237-01-6122"/>
    <s v="C"/>
    <x v="1"/>
    <x v="0"/>
    <x v="0"/>
    <x v="2"/>
    <n v="80.790000000000006"/>
    <n v="9"/>
    <n v="36.355499999999999"/>
    <n v="763.46550000000002"/>
    <x v="60"/>
    <d v="1899-12-30T20:31:00"/>
    <x v="2"/>
    <n v="727.11"/>
    <n v="4.7619047620000003"/>
    <n v="36.355499999999999"/>
    <n v="9.5"/>
  </r>
  <r>
    <s v="225-98-1496"/>
    <s v="C"/>
    <x v="1"/>
    <x v="1"/>
    <x v="0"/>
    <x v="5"/>
    <n v="27.02"/>
    <n v="3"/>
    <n v="4.0529999999999999"/>
    <n v="85.113"/>
    <x v="22"/>
    <d v="1899-12-30T13:01:00"/>
    <x v="2"/>
    <n v="81.06"/>
    <n v="4.7619047620000003"/>
    <n v="4.0529999999999999"/>
    <n v="7.1"/>
  </r>
  <r>
    <s v="291-32-1427"/>
    <s v="B"/>
    <x v="2"/>
    <x v="0"/>
    <x v="1"/>
    <x v="5"/>
    <n v="21.94"/>
    <n v="5"/>
    <n v="5.4850000000000003"/>
    <n v="115.185"/>
    <x v="19"/>
    <d v="1899-12-30T12:29:00"/>
    <x v="0"/>
    <n v="109.7"/>
    <n v="4.7619047620000003"/>
    <n v="5.4850000000000003"/>
    <n v="5.3"/>
  </r>
  <r>
    <s v="659-65-8956"/>
    <s v="B"/>
    <x v="2"/>
    <x v="0"/>
    <x v="1"/>
    <x v="5"/>
    <n v="51.36"/>
    <n v="1"/>
    <n v="2.5680000000000001"/>
    <n v="53.927999999999997"/>
    <x v="65"/>
    <d v="1899-12-30T15:26:00"/>
    <x v="0"/>
    <n v="51.36"/>
    <n v="4.7619047620000003"/>
    <n v="2.5680000000000001"/>
    <n v="5.2"/>
  </r>
  <r>
    <s v="642-32-2990"/>
    <s v="A"/>
    <x v="0"/>
    <x v="1"/>
    <x v="0"/>
    <x v="4"/>
    <n v="10.96"/>
    <n v="10"/>
    <n v="5.48"/>
    <n v="115.08"/>
    <x v="30"/>
    <d v="1899-12-30T20:48:00"/>
    <x v="0"/>
    <n v="109.6"/>
    <n v="4.7619047620000003"/>
    <n v="5.48"/>
    <n v="6"/>
  </r>
  <r>
    <s v="378-24-2715"/>
    <s v="B"/>
    <x v="2"/>
    <x v="1"/>
    <x v="1"/>
    <x v="2"/>
    <n v="53.44"/>
    <n v="2"/>
    <n v="5.3440000000000003"/>
    <n v="112.224"/>
    <x v="40"/>
    <d v="1899-12-30T20:38:00"/>
    <x v="0"/>
    <n v="106.88"/>
    <n v="4.7619047620000003"/>
    <n v="5.3440000000000003"/>
    <n v="4.0999999999999996"/>
  </r>
  <r>
    <s v="638-60-7125"/>
    <s v="A"/>
    <x v="0"/>
    <x v="1"/>
    <x v="0"/>
    <x v="1"/>
    <n v="99.56"/>
    <n v="8"/>
    <n v="39.823999999999998"/>
    <n v="836.30399999999997"/>
    <x v="44"/>
    <d v="1899-12-30T17:03:00"/>
    <x v="2"/>
    <n v="796.48"/>
    <n v="4.7619047620000003"/>
    <n v="39.823999999999998"/>
    <n v="5.2"/>
  </r>
  <r>
    <s v="659-36-1684"/>
    <s v="C"/>
    <x v="1"/>
    <x v="0"/>
    <x v="1"/>
    <x v="3"/>
    <n v="57.12"/>
    <n v="7"/>
    <n v="19.992000000000001"/>
    <n v="419.83199999999999"/>
    <x v="52"/>
    <d v="1899-12-30T12:02:00"/>
    <x v="2"/>
    <n v="399.84"/>
    <n v="4.7619047620000003"/>
    <n v="19.992000000000001"/>
    <n v="6.5"/>
  </r>
  <r>
    <s v="219-22-9386"/>
    <s v="B"/>
    <x v="2"/>
    <x v="0"/>
    <x v="1"/>
    <x v="3"/>
    <n v="99.96"/>
    <n v="9"/>
    <n v="44.981999999999999"/>
    <n v="944.62199999999996"/>
    <x v="11"/>
    <d v="1899-12-30T17:26:00"/>
    <x v="2"/>
    <n v="899.64"/>
    <n v="4.7619047620000003"/>
    <n v="44.981999999999999"/>
    <n v="4.2"/>
  </r>
  <r>
    <s v="336-78-2147"/>
    <s v="C"/>
    <x v="1"/>
    <x v="0"/>
    <x v="1"/>
    <x v="2"/>
    <n v="63.91"/>
    <n v="8"/>
    <n v="25.564"/>
    <n v="536.84400000000005"/>
    <x v="45"/>
    <d v="1899-12-30T19:52:00"/>
    <x v="2"/>
    <n v="511.28"/>
    <n v="4.7619047620000003"/>
    <n v="25.564"/>
    <n v="4.5999999999999996"/>
  </r>
  <r>
    <s v="268-27-6179"/>
    <s v="B"/>
    <x v="2"/>
    <x v="0"/>
    <x v="0"/>
    <x v="5"/>
    <n v="56.47"/>
    <n v="8"/>
    <n v="22.588000000000001"/>
    <n v="474.34800000000001"/>
    <x v="11"/>
    <d v="1899-12-30T14:57:00"/>
    <x v="0"/>
    <n v="451.76"/>
    <n v="4.7619047620000003"/>
    <n v="22.588000000000001"/>
    <n v="7.3"/>
  </r>
  <r>
    <s v="668-90-8900"/>
    <s v="A"/>
    <x v="0"/>
    <x v="1"/>
    <x v="0"/>
    <x v="2"/>
    <n v="93.69"/>
    <n v="7"/>
    <n v="32.791499999999999"/>
    <n v="688.62149999999997"/>
    <x v="24"/>
    <d v="1899-12-30T18:44:00"/>
    <x v="2"/>
    <n v="655.83"/>
    <n v="4.7619047620000003"/>
    <n v="32.791499999999999"/>
    <n v="4.5"/>
  </r>
  <r>
    <s v="870-54-3162"/>
    <s v="A"/>
    <x v="0"/>
    <x v="1"/>
    <x v="0"/>
    <x v="3"/>
    <n v="32.25"/>
    <n v="5"/>
    <n v="8.0625"/>
    <n v="169.3125"/>
    <x v="3"/>
    <d v="1899-12-30T13:26:00"/>
    <x v="1"/>
    <n v="161.25"/>
    <n v="4.7619047620000003"/>
    <n v="8.0625"/>
    <n v="9"/>
  </r>
  <r>
    <s v="189-08-9157"/>
    <s v="C"/>
    <x v="1"/>
    <x v="1"/>
    <x v="0"/>
    <x v="5"/>
    <n v="31.73"/>
    <n v="9"/>
    <n v="14.278499999999999"/>
    <n v="299.8485"/>
    <x v="66"/>
    <d v="1899-12-30T16:17:00"/>
    <x v="2"/>
    <n v="285.57"/>
    <n v="4.7619047620000003"/>
    <n v="14.278499999999999"/>
    <n v="5.9"/>
  </r>
  <r>
    <s v="663-86-9076"/>
    <s v="C"/>
    <x v="1"/>
    <x v="0"/>
    <x v="0"/>
    <x v="4"/>
    <n v="68.540000000000006"/>
    <n v="8"/>
    <n v="27.416"/>
    <n v="575.73599999999999"/>
    <x v="66"/>
    <d v="1899-12-30T15:57:00"/>
    <x v="0"/>
    <n v="548.32000000000005"/>
    <n v="4.7619047620000003"/>
    <n v="27.416"/>
    <n v="8.5"/>
  </r>
  <r>
    <s v="549-84-7482"/>
    <s v="B"/>
    <x v="2"/>
    <x v="1"/>
    <x v="0"/>
    <x v="3"/>
    <n v="90.28"/>
    <n v="9"/>
    <n v="40.625999999999998"/>
    <n v="853.14599999999996"/>
    <x v="4"/>
    <d v="1899-12-30T11:15:00"/>
    <x v="0"/>
    <n v="812.52"/>
    <n v="4.7619047620000003"/>
    <n v="40.625999999999998"/>
    <n v="7.2"/>
  </r>
  <r>
    <s v="191-10-6171"/>
    <s v="B"/>
    <x v="2"/>
    <x v="1"/>
    <x v="0"/>
    <x v="5"/>
    <n v="39.619999999999997"/>
    <n v="7"/>
    <n v="13.867000000000001"/>
    <n v="291.20699999999999"/>
    <x v="25"/>
    <d v="1899-12-30T13:18:00"/>
    <x v="1"/>
    <n v="277.33999999999997"/>
    <n v="4.7619047620000003"/>
    <n v="13.867000000000001"/>
    <n v="7.5"/>
  </r>
  <r>
    <s v="802-70-5316"/>
    <s v="A"/>
    <x v="0"/>
    <x v="0"/>
    <x v="0"/>
    <x v="3"/>
    <n v="92.13"/>
    <n v="6"/>
    <n v="27.638999999999999"/>
    <n v="580.41899999999998"/>
    <x v="43"/>
    <d v="1899-12-30T20:34:00"/>
    <x v="1"/>
    <n v="552.78"/>
    <n v="4.7619047620000003"/>
    <n v="27.638999999999999"/>
    <n v="8.3000000000000007"/>
  </r>
  <r>
    <s v="695-51-0018"/>
    <s v="B"/>
    <x v="2"/>
    <x v="1"/>
    <x v="0"/>
    <x v="3"/>
    <n v="34.840000000000003"/>
    <n v="4"/>
    <n v="6.968"/>
    <n v="146.328"/>
    <x v="34"/>
    <d v="1899-12-30T18:36:00"/>
    <x v="1"/>
    <n v="139.36000000000001"/>
    <n v="4.7619047620000003"/>
    <n v="6.968"/>
    <n v="7.4"/>
  </r>
  <r>
    <s v="590-83-4591"/>
    <s v="B"/>
    <x v="2"/>
    <x v="0"/>
    <x v="1"/>
    <x v="1"/>
    <n v="87.45"/>
    <n v="6"/>
    <n v="26.234999999999999"/>
    <n v="550.93499999999995"/>
    <x v="21"/>
    <d v="1899-12-30T14:40:00"/>
    <x v="2"/>
    <n v="524.70000000000005"/>
    <n v="4.7619047620000003"/>
    <n v="26.234999999999999"/>
    <n v="8.8000000000000007"/>
  </r>
  <r>
    <s v="483-71-1164"/>
    <s v="C"/>
    <x v="1"/>
    <x v="1"/>
    <x v="0"/>
    <x v="0"/>
    <n v="81.3"/>
    <n v="6"/>
    <n v="24.39"/>
    <n v="512.19000000000005"/>
    <x v="1"/>
    <d v="1899-12-30T16:43:00"/>
    <x v="0"/>
    <n v="487.8"/>
    <n v="4.7619047620000003"/>
    <n v="24.39"/>
    <n v="5.3"/>
  </r>
  <r>
    <s v="597-78-7908"/>
    <s v="C"/>
    <x v="1"/>
    <x v="1"/>
    <x v="1"/>
    <x v="5"/>
    <n v="90.22"/>
    <n v="3"/>
    <n v="13.532999999999999"/>
    <n v="284.19299999999998"/>
    <x v="67"/>
    <d v="1899-12-30T19:39:00"/>
    <x v="1"/>
    <n v="270.66000000000003"/>
    <n v="4.7619047620000003"/>
    <n v="13.532999999999999"/>
    <n v="6.2"/>
  </r>
  <r>
    <s v="700-81-1757"/>
    <s v="A"/>
    <x v="0"/>
    <x v="1"/>
    <x v="0"/>
    <x v="1"/>
    <n v="26.31"/>
    <n v="5"/>
    <n v="6.5774999999999997"/>
    <n v="138.1275"/>
    <x v="68"/>
    <d v="1899-12-30T20:59:00"/>
    <x v="2"/>
    <n v="131.55000000000001"/>
    <n v="4.7619047620000003"/>
    <n v="6.5774999999999997"/>
    <n v="8.8000000000000007"/>
  </r>
  <r>
    <s v="354-39-5160"/>
    <s v="A"/>
    <x v="0"/>
    <x v="0"/>
    <x v="0"/>
    <x v="2"/>
    <n v="34.42"/>
    <n v="6"/>
    <n v="10.326000000000001"/>
    <n v="216.846"/>
    <x v="67"/>
    <d v="1899-12-30T15:39:00"/>
    <x v="1"/>
    <n v="206.52"/>
    <n v="4.7619047620000003"/>
    <n v="10.326000000000001"/>
    <n v="9.8000000000000007"/>
  </r>
  <r>
    <s v="241-72-9525"/>
    <s v="B"/>
    <x v="2"/>
    <x v="1"/>
    <x v="1"/>
    <x v="3"/>
    <n v="51.91"/>
    <n v="10"/>
    <n v="25.954999999999998"/>
    <n v="545.05499999999995"/>
    <x v="69"/>
    <d v="1899-12-30T12:21:00"/>
    <x v="1"/>
    <n v="519.1"/>
    <n v="4.7619047620000003"/>
    <n v="25.954999999999998"/>
    <n v="8.1999999999999993"/>
  </r>
  <r>
    <s v="575-30-8091"/>
    <s v="A"/>
    <x v="0"/>
    <x v="1"/>
    <x v="1"/>
    <x v="3"/>
    <n v="72.5"/>
    <n v="8"/>
    <n v="29"/>
    <n v="609"/>
    <x v="32"/>
    <d v="1899-12-30T19:25:00"/>
    <x v="0"/>
    <n v="580"/>
    <n v="4.7619047620000003"/>
    <n v="29"/>
    <n v="9.1999999999999993"/>
  </r>
  <r>
    <s v="731-81-9469"/>
    <s v="C"/>
    <x v="1"/>
    <x v="0"/>
    <x v="0"/>
    <x v="3"/>
    <n v="89.8"/>
    <n v="10"/>
    <n v="44.9"/>
    <n v="942.9"/>
    <x v="54"/>
    <d v="1899-12-30T13:00:00"/>
    <x v="2"/>
    <n v="898"/>
    <n v="4.7619047620000003"/>
    <n v="44.9"/>
    <n v="5.4"/>
  </r>
  <r>
    <s v="280-17-4359"/>
    <s v="C"/>
    <x v="1"/>
    <x v="0"/>
    <x v="1"/>
    <x v="0"/>
    <n v="90.5"/>
    <n v="10"/>
    <n v="45.25"/>
    <n v="950.25"/>
    <x v="25"/>
    <d v="1899-12-30T13:48:00"/>
    <x v="1"/>
    <n v="905"/>
    <n v="4.7619047620000003"/>
    <n v="45.25"/>
    <n v="8.1"/>
  </r>
  <r>
    <s v="338-65-2210"/>
    <s v="C"/>
    <x v="1"/>
    <x v="0"/>
    <x v="0"/>
    <x v="0"/>
    <n v="68.599999999999994"/>
    <n v="10"/>
    <n v="34.299999999999997"/>
    <n v="720.3"/>
    <x v="63"/>
    <d v="1899-12-30T19:57:00"/>
    <x v="1"/>
    <n v="686"/>
    <n v="4.7619047620000003"/>
    <n v="34.299999999999997"/>
    <n v="9.1"/>
  </r>
  <r>
    <s v="488-25-4221"/>
    <s v="C"/>
    <x v="1"/>
    <x v="0"/>
    <x v="0"/>
    <x v="4"/>
    <n v="30.41"/>
    <n v="1"/>
    <n v="1.5205"/>
    <n v="31.930499999999999"/>
    <x v="70"/>
    <d v="1899-12-30T10:36:00"/>
    <x v="2"/>
    <n v="30.41"/>
    <n v="4.7619047620000003"/>
    <n v="1.5205"/>
    <n v="8.4"/>
  </r>
  <r>
    <s v="239-10-7476"/>
    <s v="A"/>
    <x v="0"/>
    <x v="1"/>
    <x v="0"/>
    <x v="2"/>
    <n v="77.95"/>
    <n v="6"/>
    <n v="23.385000000000002"/>
    <n v="491.08499999999998"/>
    <x v="18"/>
    <d v="1899-12-30T16:37:00"/>
    <x v="0"/>
    <n v="467.7"/>
    <n v="4.7619047620000003"/>
    <n v="23.385000000000002"/>
    <n v="8"/>
  </r>
  <r>
    <s v="458-41-1477"/>
    <s v="C"/>
    <x v="1"/>
    <x v="1"/>
    <x v="0"/>
    <x v="0"/>
    <n v="46.26"/>
    <n v="6"/>
    <n v="13.878"/>
    <n v="291.43799999999999"/>
    <x v="1"/>
    <d v="1899-12-30T17:11:00"/>
    <x v="2"/>
    <n v="277.56"/>
    <n v="4.7619047620000003"/>
    <n v="13.878"/>
    <n v="9.5"/>
  </r>
  <r>
    <s v="685-64-1609"/>
    <s v="A"/>
    <x v="0"/>
    <x v="0"/>
    <x v="0"/>
    <x v="5"/>
    <n v="30.14"/>
    <n v="10"/>
    <n v="15.07"/>
    <n v="316.47000000000003"/>
    <x v="34"/>
    <d v="1899-12-30T12:28:00"/>
    <x v="0"/>
    <n v="301.39999999999998"/>
    <n v="4.7619047620000003"/>
    <n v="15.07"/>
    <n v="9.1999999999999993"/>
  </r>
  <r>
    <s v="568-90-5112"/>
    <s v="C"/>
    <x v="1"/>
    <x v="1"/>
    <x v="1"/>
    <x v="0"/>
    <n v="66.14"/>
    <n v="4"/>
    <n v="13.228"/>
    <n v="277.78800000000001"/>
    <x v="35"/>
    <d v="1899-12-30T12:46:00"/>
    <x v="2"/>
    <n v="264.56"/>
    <n v="4.7619047620000003"/>
    <n v="13.228"/>
    <n v="5.6"/>
  </r>
  <r>
    <s v="262-47-2794"/>
    <s v="B"/>
    <x v="2"/>
    <x v="0"/>
    <x v="1"/>
    <x v="2"/>
    <n v="71.86"/>
    <n v="8"/>
    <n v="28.744"/>
    <n v="603.62400000000002"/>
    <x v="43"/>
    <d v="1899-12-30T15:07:00"/>
    <x v="2"/>
    <n v="574.88"/>
    <n v="4.7619047620000003"/>
    <n v="28.744"/>
    <n v="6.2"/>
  </r>
  <r>
    <s v="238-49-0436"/>
    <s v="A"/>
    <x v="0"/>
    <x v="1"/>
    <x v="1"/>
    <x v="0"/>
    <n v="32.46"/>
    <n v="8"/>
    <n v="12.984"/>
    <n v="272.66399999999999"/>
    <x v="39"/>
    <d v="1899-12-30T13:48:00"/>
    <x v="2"/>
    <n v="259.68"/>
    <n v="4.7619047620000003"/>
    <n v="12.984"/>
    <n v="4.9000000000000004"/>
  </r>
  <r>
    <s v="608-96-3517"/>
    <s v="B"/>
    <x v="2"/>
    <x v="0"/>
    <x v="0"/>
    <x v="5"/>
    <n v="91.54"/>
    <n v="4"/>
    <n v="18.308"/>
    <n v="384.46800000000002"/>
    <x v="28"/>
    <d v="1899-12-30T19:20:00"/>
    <x v="2"/>
    <n v="366.16"/>
    <n v="4.7619047620000003"/>
    <n v="18.308"/>
    <n v="4.8"/>
  </r>
  <r>
    <s v="584-86-7256"/>
    <s v="C"/>
    <x v="1"/>
    <x v="0"/>
    <x v="1"/>
    <x v="3"/>
    <n v="34.56"/>
    <n v="7"/>
    <n v="12.096"/>
    <n v="254.01599999999999"/>
    <x v="16"/>
    <d v="1899-12-30T16:07:00"/>
    <x v="2"/>
    <n v="241.92"/>
    <n v="4.7619047620000003"/>
    <n v="12.096"/>
    <n v="7.3"/>
  </r>
  <r>
    <s v="746-94-0204"/>
    <s v="A"/>
    <x v="0"/>
    <x v="1"/>
    <x v="1"/>
    <x v="5"/>
    <n v="83.24"/>
    <n v="9"/>
    <n v="37.457999999999998"/>
    <n v="786.61800000000005"/>
    <x v="71"/>
    <d v="1899-12-30T11:56:00"/>
    <x v="2"/>
    <n v="749.16"/>
    <n v="4.7619047620000003"/>
    <n v="37.457999999999998"/>
    <n v="7.4"/>
  </r>
  <r>
    <s v="214-17-6927"/>
    <s v="C"/>
    <x v="1"/>
    <x v="1"/>
    <x v="0"/>
    <x v="4"/>
    <n v="16.48"/>
    <n v="6"/>
    <n v="4.944"/>
    <n v="103.824"/>
    <x v="13"/>
    <d v="1899-12-30T18:23:00"/>
    <x v="0"/>
    <n v="98.88"/>
    <n v="4.7619047620000003"/>
    <n v="4.944"/>
    <n v="9.9"/>
  </r>
  <r>
    <s v="400-89-4171"/>
    <s v="C"/>
    <x v="1"/>
    <x v="1"/>
    <x v="0"/>
    <x v="3"/>
    <n v="80.97"/>
    <n v="8"/>
    <n v="32.387999999999998"/>
    <n v="680.14800000000002"/>
    <x v="26"/>
    <d v="1899-12-30T13:05:00"/>
    <x v="1"/>
    <n v="647.76"/>
    <n v="4.7619047620000003"/>
    <n v="32.387999999999998"/>
    <n v="9.3000000000000007"/>
  </r>
  <r>
    <s v="782-95-9291"/>
    <s v="A"/>
    <x v="0"/>
    <x v="0"/>
    <x v="1"/>
    <x v="4"/>
    <n v="92.29"/>
    <n v="5"/>
    <n v="23.072500000000002"/>
    <n v="484.52249999999998"/>
    <x v="9"/>
    <d v="1899-12-30T15:55:00"/>
    <x v="2"/>
    <n v="461.45"/>
    <n v="4.7619047620000003"/>
    <n v="23.072500000000002"/>
    <n v="9"/>
  </r>
  <r>
    <s v="279-74-2924"/>
    <s v="B"/>
    <x v="2"/>
    <x v="0"/>
    <x v="1"/>
    <x v="1"/>
    <n v="72.17"/>
    <n v="1"/>
    <n v="3.6084999999999998"/>
    <n v="75.778499999999994"/>
    <x v="72"/>
    <d v="1899-12-30T19:40:00"/>
    <x v="1"/>
    <n v="72.17"/>
    <n v="4.7619047620000003"/>
    <n v="3.6084999999999998"/>
    <n v="6.1"/>
  </r>
  <r>
    <s v="307-85-2293"/>
    <s v="B"/>
    <x v="2"/>
    <x v="1"/>
    <x v="1"/>
    <x v="2"/>
    <n v="50.28"/>
    <n v="5"/>
    <n v="12.57"/>
    <n v="263.97000000000003"/>
    <x v="37"/>
    <d v="1899-12-30T13:58:00"/>
    <x v="0"/>
    <n v="251.4"/>
    <n v="4.7619047620000003"/>
    <n v="12.57"/>
    <n v="9.6999999999999993"/>
  </r>
  <r>
    <s v="743-04-1105"/>
    <s v="B"/>
    <x v="2"/>
    <x v="0"/>
    <x v="1"/>
    <x v="0"/>
    <n v="97.22"/>
    <n v="9"/>
    <n v="43.749000000000002"/>
    <n v="918.72900000000004"/>
    <x v="73"/>
    <d v="1899-12-30T14:43:00"/>
    <x v="0"/>
    <n v="874.98"/>
    <n v="4.7619047620000003"/>
    <n v="43.749000000000002"/>
    <n v="6"/>
  </r>
  <r>
    <s v="423-57-2993"/>
    <s v="B"/>
    <x v="2"/>
    <x v="1"/>
    <x v="1"/>
    <x v="3"/>
    <n v="93.39"/>
    <n v="6"/>
    <n v="28.016999999999999"/>
    <n v="588.35699999999997"/>
    <x v="39"/>
    <d v="1899-12-30T19:18:00"/>
    <x v="0"/>
    <n v="560.34"/>
    <n v="4.7619047620000003"/>
    <n v="28.016999999999999"/>
    <n v="10"/>
  </r>
  <r>
    <s v="894-41-5205"/>
    <s v="C"/>
    <x v="1"/>
    <x v="1"/>
    <x v="0"/>
    <x v="4"/>
    <n v="43.18"/>
    <n v="8"/>
    <n v="17.271999999999998"/>
    <n v="362.71199999999999"/>
    <x v="64"/>
    <d v="1899-12-30T19:39:00"/>
    <x v="2"/>
    <n v="345.44"/>
    <n v="4.7619047620000003"/>
    <n v="17.271999999999998"/>
    <n v="8.3000000000000007"/>
  </r>
  <r>
    <s v="275-28-0149"/>
    <s v="A"/>
    <x v="0"/>
    <x v="1"/>
    <x v="1"/>
    <x v="3"/>
    <n v="63.69"/>
    <n v="1"/>
    <n v="3.1844999999999999"/>
    <n v="66.874499999999998"/>
    <x v="6"/>
    <d v="1899-12-30T16:21:00"/>
    <x v="1"/>
    <n v="63.69"/>
    <n v="4.7619047620000003"/>
    <n v="3.1844999999999999"/>
    <n v="6"/>
  </r>
  <r>
    <s v="101-17-6199"/>
    <s v="A"/>
    <x v="0"/>
    <x v="1"/>
    <x v="1"/>
    <x v="4"/>
    <n v="45.79"/>
    <n v="7"/>
    <n v="16.026499999999999"/>
    <n v="336.55650000000003"/>
    <x v="45"/>
    <d v="1899-12-30T19:44:00"/>
    <x v="2"/>
    <n v="320.52999999999997"/>
    <n v="4.7619047620000003"/>
    <n v="16.026499999999999"/>
    <n v="7"/>
  </r>
  <r>
    <s v="423-80-0988"/>
    <s v="C"/>
    <x v="1"/>
    <x v="1"/>
    <x v="1"/>
    <x v="3"/>
    <n v="76.400000000000006"/>
    <n v="2"/>
    <n v="7.64"/>
    <n v="160.44"/>
    <x v="74"/>
    <d v="1899-12-30T19:42:00"/>
    <x v="0"/>
    <n v="152.80000000000001"/>
    <n v="4.7619047620000003"/>
    <n v="7.64"/>
    <n v="6.5"/>
  </r>
  <r>
    <s v="548-46-9322"/>
    <s v="B"/>
    <x v="2"/>
    <x v="1"/>
    <x v="1"/>
    <x v="4"/>
    <n v="39.9"/>
    <n v="10"/>
    <n v="19.95"/>
    <n v="418.95"/>
    <x v="9"/>
    <d v="1899-12-30T15:24:00"/>
    <x v="2"/>
    <n v="399"/>
    <n v="4.7619047620000003"/>
    <n v="19.95"/>
    <n v="5.9"/>
  </r>
  <r>
    <s v="505-02-0892"/>
    <s v="B"/>
    <x v="2"/>
    <x v="0"/>
    <x v="1"/>
    <x v="0"/>
    <n v="42.57"/>
    <n v="8"/>
    <n v="17.027999999999999"/>
    <n v="357.58800000000002"/>
    <x v="6"/>
    <d v="1899-12-30T14:12:00"/>
    <x v="0"/>
    <n v="340.56"/>
    <n v="4.7619047620000003"/>
    <n v="17.027999999999999"/>
    <n v="5.6"/>
  </r>
  <r>
    <s v="234-65-2137"/>
    <s v="C"/>
    <x v="1"/>
    <x v="1"/>
    <x v="1"/>
    <x v="2"/>
    <n v="95.58"/>
    <n v="10"/>
    <n v="47.79"/>
    <n v="1003.59"/>
    <x v="65"/>
    <d v="1899-12-30T13:32:00"/>
    <x v="1"/>
    <n v="955.8"/>
    <n v="4.7619047620000003"/>
    <n v="47.79"/>
    <n v="4.8"/>
  </r>
  <r>
    <s v="687-47-8271"/>
    <s v="A"/>
    <x v="0"/>
    <x v="1"/>
    <x v="1"/>
    <x v="5"/>
    <n v="98.98"/>
    <n v="10"/>
    <n v="49.49"/>
    <n v="1039.29"/>
    <x v="4"/>
    <d v="1899-12-30T16:20:00"/>
    <x v="2"/>
    <n v="989.8"/>
    <n v="4.7619047620000003"/>
    <n v="49.49"/>
    <n v="8.6999999999999993"/>
  </r>
  <r>
    <s v="796-32-9050"/>
    <s v="A"/>
    <x v="0"/>
    <x v="1"/>
    <x v="1"/>
    <x v="4"/>
    <n v="51.28"/>
    <n v="6"/>
    <n v="15.384"/>
    <n v="323.06400000000002"/>
    <x v="64"/>
    <d v="1899-12-30T16:31:00"/>
    <x v="1"/>
    <n v="307.68"/>
    <n v="4.7619047620000003"/>
    <n v="15.384"/>
    <n v="6.5"/>
  </r>
  <r>
    <s v="105-31-1824"/>
    <s v="A"/>
    <x v="0"/>
    <x v="0"/>
    <x v="1"/>
    <x v="3"/>
    <n v="69.52"/>
    <n v="7"/>
    <n v="24.332000000000001"/>
    <n v="510.97199999999998"/>
    <x v="60"/>
    <d v="1899-12-30T15:10:00"/>
    <x v="2"/>
    <n v="486.64"/>
    <n v="4.7619047620000003"/>
    <n v="24.332000000000001"/>
    <n v="8.5"/>
  </r>
  <r>
    <s v="249-42-3782"/>
    <s v="A"/>
    <x v="0"/>
    <x v="1"/>
    <x v="1"/>
    <x v="0"/>
    <n v="70.010000000000005"/>
    <n v="5"/>
    <n v="17.502500000000001"/>
    <n v="367.55250000000001"/>
    <x v="75"/>
    <d v="1899-12-30T11:36:00"/>
    <x v="0"/>
    <n v="350.05"/>
    <n v="4.7619047620000003"/>
    <n v="17.502500000000001"/>
    <n v="5.5"/>
  </r>
  <r>
    <s v="316-55-4634"/>
    <s v="B"/>
    <x v="2"/>
    <x v="0"/>
    <x v="1"/>
    <x v="4"/>
    <n v="80.05"/>
    <n v="5"/>
    <n v="20.012499999999999"/>
    <n v="420.26249999999999"/>
    <x v="53"/>
    <d v="1899-12-30T12:45:00"/>
    <x v="2"/>
    <n v="400.25"/>
    <n v="4.7619047620000003"/>
    <n v="20.012499999999999"/>
    <n v="9.4"/>
  </r>
  <r>
    <s v="733-33-4967"/>
    <s v="C"/>
    <x v="1"/>
    <x v="1"/>
    <x v="1"/>
    <x v="1"/>
    <n v="20.85"/>
    <n v="8"/>
    <n v="8.34"/>
    <n v="175.14"/>
    <x v="2"/>
    <d v="1899-12-30T19:17:00"/>
    <x v="1"/>
    <n v="166.8"/>
    <n v="4.7619047620000003"/>
    <n v="8.34"/>
    <n v="6.3"/>
  </r>
  <r>
    <s v="608-27-6295"/>
    <s v="B"/>
    <x v="2"/>
    <x v="0"/>
    <x v="1"/>
    <x v="1"/>
    <n v="52.89"/>
    <n v="6"/>
    <n v="15.867000000000001"/>
    <n v="333.20699999999999"/>
    <x v="64"/>
    <d v="1899-12-30T17:34:00"/>
    <x v="2"/>
    <n v="317.33999999999997"/>
    <n v="4.7619047620000003"/>
    <n v="15.867000000000001"/>
    <n v="9.8000000000000007"/>
  </r>
  <r>
    <s v="414-12-7047"/>
    <s v="B"/>
    <x v="2"/>
    <x v="1"/>
    <x v="1"/>
    <x v="4"/>
    <n v="19.79"/>
    <n v="8"/>
    <n v="7.9160000000000004"/>
    <n v="166.23599999999999"/>
    <x v="68"/>
    <d v="1899-12-30T12:04:00"/>
    <x v="0"/>
    <n v="158.32"/>
    <n v="4.7619047620000003"/>
    <n v="7.9160000000000004"/>
    <n v="8.6999999999999993"/>
  </r>
  <r>
    <s v="827-26-2100"/>
    <s v="A"/>
    <x v="0"/>
    <x v="0"/>
    <x v="1"/>
    <x v="2"/>
    <n v="33.840000000000003"/>
    <n v="9"/>
    <n v="15.228"/>
    <n v="319.78800000000001"/>
    <x v="76"/>
    <d v="1899-12-30T16:21:00"/>
    <x v="0"/>
    <n v="304.56"/>
    <n v="4.7619047620000003"/>
    <n v="15.228"/>
    <n v="8.8000000000000007"/>
  </r>
  <r>
    <s v="175-54-2529"/>
    <s v="A"/>
    <x v="0"/>
    <x v="0"/>
    <x v="1"/>
    <x v="4"/>
    <n v="22.17"/>
    <n v="8"/>
    <n v="8.8680000000000003"/>
    <n v="186.22800000000001"/>
    <x v="2"/>
    <d v="1899-12-30T17:01:00"/>
    <x v="2"/>
    <n v="177.36"/>
    <n v="4.7619047620000003"/>
    <n v="8.8680000000000003"/>
    <n v="9.6"/>
  </r>
  <r>
    <s v="139-52-2867"/>
    <s v="C"/>
    <x v="1"/>
    <x v="1"/>
    <x v="0"/>
    <x v="5"/>
    <n v="22.51"/>
    <n v="7"/>
    <n v="7.8784999999999998"/>
    <n v="165.4485"/>
    <x v="77"/>
    <d v="1899-12-30T10:50:00"/>
    <x v="2"/>
    <n v="157.57"/>
    <n v="4.7619047620000003"/>
    <n v="7.8784999999999998"/>
    <n v="4.8"/>
  </r>
  <r>
    <s v="407-63-8975"/>
    <s v="A"/>
    <x v="0"/>
    <x v="1"/>
    <x v="1"/>
    <x v="4"/>
    <n v="73.88"/>
    <n v="6"/>
    <n v="22.164000000000001"/>
    <n v="465.44400000000002"/>
    <x v="28"/>
    <d v="1899-12-30T19:16:00"/>
    <x v="0"/>
    <n v="443.28"/>
    <n v="4.7619047620000003"/>
    <n v="22.164000000000001"/>
    <n v="4.4000000000000004"/>
  </r>
  <r>
    <s v="342-65-4817"/>
    <s v="C"/>
    <x v="1"/>
    <x v="0"/>
    <x v="1"/>
    <x v="0"/>
    <n v="86.8"/>
    <n v="3"/>
    <n v="13.02"/>
    <n v="273.42"/>
    <x v="26"/>
    <d v="1899-12-30T16:47:00"/>
    <x v="0"/>
    <n v="260.39999999999998"/>
    <n v="4.7619047620000003"/>
    <n v="13.02"/>
    <n v="9.9"/>
  </r>
  <r>
    <s v="130-98-8941"/>
    <s v="C"/>
    <x v="1"/>
    <x v="1"/>
    <x v="1"/>
    <x v="5"/>
    <n v="64.260000000000005"/>
    <n v="7"/>
    <n v="22.491"/>
    <n v="472.31099999999998"/>
    <x v="57"/>
    <d v="1899-12-30T10:00:00"/>
    <x v="1"/>
    <n v="449.82"/>
    <n v="4.7619047620000003"/>
    <n v="22.491"/>
    <n v="5.7"/>
  </r>
  <r>
    <s v="434-83-9547"/>
    <s v="C"/>
    <x v="1"/>
    <x v="0"/>
    <x v="1"/>
    <x v="4"/>
    <n v="38.47"/>
    <n v="8"/>
    <n v="15.388"/>
    <n v="323.14800000000002"/>
    <x v="54"/>
    <d v="1899-12-30T11:51:00"/>
    <x v="1"/>
    <n v="307.76"/>
    <n v="4.7619047620000003"/>
    <n v="15.388"/>
    <n v="7.7"/>
  </r>
  <r>
    <s v="851-28-6367"/>
    <s v="A"/>
    <x v="0"/>
    <x v="0"/>
    <x v="1"/>
    <x v="3"/>
    <n v="15.5"/>
    <n v="10"/>
    <n v="7.75"/>
    <n v="162.75"/>
    <x v="28"/>
    <d v="1899-12-30T10:55:00"/>
    <x v="0"/>
    <n v="155"/>
    <n v="4.7619047620000003"/>
    <n v="7.75"/>
    <n v="8"/>
  </r>
  <r>
    <s v="824-88-3614"/>
    <s v="C"/>
    <x v="1"/>
    <x v="1"/>
    <x v="1"/>
    <x v="0"/>
    <n v="34.31"/>
    <n v="8"/>
    <n v="13.724"/>
    <n v="288.20400000000001"/>
    <x v="25"/>
    <d v="1899-12-30T15:00:00"/>
    <x v="0"/>
    <n v="274.48"/>
    <n v="4.7619047620000003"/>
    <n v="13.724"/>
    <n v="5.7"/>
  </r>
  <r>
    <s v="586-25-0848"/>
    <s v="A"/>
    <x v="0"/>
    <x v="1"/>
    <x v="0"/>
    <x v="3"/>
    <n v="12.34"/>
    <n v="7"/>
    <n v="4.319"/>
    <n v="90.698999999999998"/>
    <x v="31"/>
    <d v="1899-12-30T11:19:00"/>
    <x v="2"/>
    <n v="86.38"/>
    <n v="4.7619047620000003"/>
    <n v="4.319"/>
    <n v="6.7"/>
  </r>
  <r>
    <s v="895-66-0685"/>
    <s v="B"/>
    <x v="2"/>
    <x v="0"/>
    <x v="1"/>
    <x v="4"/>
    <n v="18.079999999999998"/>
    <n v="3"/>
    <n v="2.7120000000000002"/>
    <n v="56.951999999999998"/>
    <x v="19"/>
    <d v="1899-12-30T19:46:00"/>
    <x v="0"/>
    <n v="54.24"/>
    <n v="4.7619047620000003"/>
    <n v="2.7120000000000002"/>
    <n v="8"/>
  </r>
  <r>
    <s v="305-14-0245"/>
    <s v="B"/>
    <x v="2"/>
    <x v="0"/>
    <x v="0"/>
    <x v="2"/>
    <n v="94.49"/>
    <n v="8"/>
    <n v="37.795999999999999"/>
    <n v="793.71600000000001"/>
    <x v="2"/>
    <d v="1899-12-30T19:00:00"/>
    <x v="0"/>
    <n v="755.92"/>
    <n v="4.7619047620000003"/>
    <n v="37.795999999999999"/>
    <n v="7.5"/>
  </r>
  <r>
    <s v="732-04-5373"/>
    <s v="B"/>
    <x v="2"/>
    <x v="0"/>
    <x v="1"/>
    <x v="2"/>
    <n v="46.47"/>
    <n v="4"/>
    <n v="9.2940000000000005"/>
    <n v="195.17400000000001"/>
    <x v="4"/>
    <d v="1899-12-30T10:53:00"/>
    <x v="1"/>
    <n v="185.88"/>
    <n v="4.7619047620000003"/>
    <n v="9.2940000000000005"/>
    <n v="7"/>
  </r>
  <r>
    <s v="400-60-7251"/>
    <s v="A"/>
    <x v="0"/>
    <x v="1"/>
    <x v="1"/>
    <x v="2"/>
    <n v="74.069999999999993"/>
    <n v="1"/>
    <n v="3.7035"/>
    <n v="77.773499999999999"/>
    <x v="34"/>
    <d v="1899-12-30T12:50:00"/>
    <x v="0"/>
    <n v="74.069999999999993"/>
    <n v="4.7619047620000003"/>
    <n v="3.7035"/>
    <n v="9.9"/>
  </r>
  <r>
    <s v="593-65-1552"/>
    <s v="C"/>
    <x v="1"/>
    <x v="1"/>
    <x v="0"/>
    <x v="2"/>
    <n v="69.81"/>
    <n v="4"/>
    <n v="13.962"/>
    <n v="293.202"/>
    <x v="26"/>
    <d v="1899-12-30T20:50:00"/>
    <x v="2"/>
    <n v="279.24"/>
    <n v="4.7619047620000003"/>
    <n v="13.962"/>
    <n v="5.9"/>
  </r>
  <r>
    <s v="284-34-9626"/>
    <s v="B"/>
    <x v="2"/>
    <x v="1"/>
    <x v="0"/>
    <x v="2"/>
    <n v="77.040000000000006"/>
    <n v="3"/>
    <n v="11.555999999999999"/>
    <n v="242.67599999999999"/>
    <x v="48"/>
    <d v="1899-12-30T10:39:00"/>
    <x v="2"/>
    <n v="231.12"/>
    <n v="4.7619047620000003"/>
    <n v="11.555999999999999"/>
    <n v="7.2"/>
  </r>
  <r>
    <s v="437-58-8131"/>
    <s v="B"/>
    <x v="2"/>
    <x v="1"/>
    <x v="0"/>
    <x v="5"/>
    <n v="73.52"/>
    <n v="2"/>
    <n v="7.3520000000000003"/>
    <n v="154.392"/>
    <x v="15"/>
    <d v="1899-12-30T13:41:00"/>
    <x v="0"/>
    <n v="147.04"/>
    <n v="4.7619047620000003"/>
    <n v="7.3520000000000003"/>
    <n v="4.5999999999999996"/>
  </r>
  <r>
    <s v="286-43-6208"/>
    <s v="C"/>
    <x v="1"/>
    <x v="1"/>
    <x v="0"/>
    <x v="4"/>
    <n v="87.8"/>
    <n v="9"/>
    <n v="39.51"/>
    <n v="829.71"/>
    <x v="32"/>
    <d v="1899-12-30T19:08:00"/>
    <x v="1"/>
    <n v="790.2"/>
    <n v="4.7619047620000003"/>
    <n v="39.51"/>
    <n v="9.1999999999999993"/>
  </r>
  <r>
    <s v="641-43-2399"/>
    <s v="B"/>
    <x v="2"/>
    <x v="1"/>
    <x v="1"/>
    <x v="2"/>
    <n v="25.55"/>
    <n v="4"/>
    <n v="5.1100000000000003"/>
    <n v="107.31"/>
    <x v="53"/>
    <d v="1899-12-30T20:23:00"/>
    <x v="0"/>
    <n v="102.2"/>
    <n v="4.7619047620000003"/>
    <n v="5.1100000000000003"/>
    <n v="5.7"/>
  </r>
  <r>
    <s v="831-07-6050"/>
    <s v="A"/>
    <x v="0"/>
    <x v="1"/>
    <x v="1"/>
    <x v="1"/>
    <n v="32.71"/>
    <n v="5"/>
    <n v="8.1775000000000002"/>
    <n v="171.72749999999999"/>
    <x v="35"/>
    <d v="1899-12-30T11:30:00"/>
    <x v="2"/>
    <n v="163.55000000000001"/>
    <n v="4.7619047620000003"/>
    <n v="8.1775000000000002"/>
    <n v="9.9"/>
  </r>
  <r>
    <s v="556-86-3144"/>
    <s v="C"/>
    <x v="1"/>
    <x v="0"/>
    <x v="0"/>
    <x v="5"/>
    <n v="74.290000000000006"/>
    <n v="1"/>
    <n v="3.7145000000000001"/>
    <n v="78.004499999999993"/>
    <x v="50"/>
    <d v="1899-12-30T19:30:00"/>
    <x v="1"/>
    <n v="74.290000000000006"/>
    <n v="4.7619047620000003"/>
    <n v="3.7145000000000001"/>
    <n v="5"/>
  </r>
  <r>
    <s v="848-24-9445"/>
    <s v="C"/>
    <x v="1"/>
    <x v="0"/>
    <x v="1"/>
    <x v="0"/>
    <n v="43.7"/>
    <n v="2"/>
    <n v="4.37"/>
    <n v="91.77"/>
    <x v="58"/>
    <d v="1899-12-30T18:03:00"/>
    <x v="1"/>
    <n v="87.4"/>
    <n v="4.7619047620000003"/>
    <n v="4.37"/>
    <n v="4.9000000000000004"/>
  </r>
  <r>
    <s v="856-22-8149"/>
    <s v="A"/>
    <x v="0"/>
    <x v="1"/>
    <x v="0"/>
    <x v="2"/>
    <n v="25.29"/>
    <n v="1"/>
    <n v="1.2645"/>
    <n v="26.554500000000001"/>
    <x v="28"/>
    <d v="1899-12-30T10:13:00"/>
    <x v="0"/>
    <n v="25.29"/>
    <n v="4.7619047620000003"/>
    <n v="1.2645"/>
    <n v="6.1"/>
  </r>
  <r>
    <s v="699-01-4164"/>
    <s v="C"/>
    <x v="1"/>
    <x v="1"/>
    <x v="1"/>
    <x v="0"/>
    <n v="41.5"/>
    <n v="4"/>
    <n v="8.3000000000000007"/>
    <n v="174.3"/>
    <x v="41"/>
    <d v="1899-12-30T19:58:00"/>
    <x v="2"/>
    <n v="166"/>
    <n v="4.7619047620000003"/>
    <n v="8.3000000000000007"/>
    <n v="8.1999999999999993"/>
  </r>
  <r>
    <s v="420-11-4919"/>
    <s v="C"/>
    <x v="1"/>
    <x v="0"/>
    <x v="0"/>
    <x v="4"/>
    <n v="71.39"/>
    <n v="5"/>
    <n v="17.8475"/>
    <n v="374.79750000000001"/>
    <x v="21"/>
    <d v="1899-12-30T19:57:00"/>
    <x v="2"/>
    <n v="356.95"/>
    <n v="4.7619047620000003"/>
    <n v="17.8475"/>
    <n v="5.5"/>
  </r>
  <r>
    <s v="606-80-4905"/>
    <s v="C"/>
    <x v="1"/>
    <x v="0"/>
    <x v="0"/>
    <x v="3"/>
    <n v="19.149999999999999"/>
    <n v="6"/>
    <n v="5.7450000000000001"/>
    <n v="120.645"/>
    <x v="71"/>
    <d v="1899-12-30T10:01:00"/>
    <x v="2"/>
    <n v="114.9"/>
    <n v="4.7619047620000003"/>
    <n v="5.7450000000000001"/>
    <n v="6.8"/>
  </r>
  <r>
    <s v="542-41-0513"/>
    <s v="B"/>
    <x v="2"/>
    <x v="0"/>
    <x v="0"/>
    <x v="1"/>
    <n v="57.49"/>
    <n v="4"/>
    <n v="11.497999999999999"/>
    <n v="241.458"/>
    <x v="20"/>
    <d v="1899-12-30T11:57:00"/>
    <x v="1"/>
    <n v="229.96"/>
    <n v="4.7619047620000003"/>
    <n v="11.497999999999999"/>
    <n v="6.6"/>
  </r>
  <r>
    <s v="426-39-2418"/>
    <s v="C"/>
    <x v="1"/>
    <x v="1"/>
    <x v="1"/>
    <x v="1"/>
    <n v="61.41"/>
    <n v="7"/>
    <n v="21.493500000000001"/>
    <n v="451.36349999999999"/>
    <x v="78"/>
    <d v="1899-12-30T10:02:00"/>
    <x v="1"/>
    <n v="429.87"/>
    <n v="4.7619047620000003"/>
    <n v="21.493500000000001"/>
    <n v="9.8000000000000007"/>
  </r>
  <r>
    <s v="875-46-5808"/>
    <s v="B"/>
    <x v="2"/>
    <x v="0"/>
    <x v="1"/>
    <x v="0"/>
    <n v="25.9"/>
    <n v="10"/>
    <n v="12.95"/>
    <n v="271.95"/>
    <x v="10"/>
    <d v="1899-12-30T14:51:00"/>
    <x v="0"/>
    <n v="259"/>
    <n v="4.7619047620000003"/>
    <n v="12.95"/>
    <n v="8.6999999999999993"/>
  </r>
  <r>
    <s v="394-43-4238"/>
    <s v="B"/>
    <x v="2"/>
    <x v="0"/>
    <x v="1"/>
    <x v="2"/>
    <n v="17.77"/>
    <n v="5"/>
    <n v="4.4424999999999999"/>
    <n v="93.292500000000004"/>
    <x v="42"/>
    <d v="1899-12-30T12:42:00"/>
    <x v="2"/>
    <n v="88.85"/>
    <n v="4.7619047620000003"/>
    <n v="4.4424999999999999"/>
    <n v="5.4"/>
  </r>
  <r>
    <s v="749-24-1565"/>
    <s v="A"/>
    <x v="0"/>
    <x v="1"/>
    <x v="0"/>
    <x v="0"/>
    <n v="23.03"/>
    <n v="9"/>
    <n v="10.3635"/>
    <n v="217.6335"/>
    <x v="75"/>
    <d v="1899-12-30T12:02:00"/>
    <x v="0"/>
    <n v="207.27"/>
    <n v="4.7619047620000003"/>
    <n v="10.3635"/>
    <n v="7.9"/>
  </r>
  <r>
    <s v="672-51-8681"/>
    <s v="C"/>
    <x v="1"/>
    <x v="0"/>
    <x v="0"/>
    <x v="1"/>
    <n v="66.650000000000006"/>
    <n v="9"/>
    <n v="29.9925"/>
    <n v="629.84249999999997"/>
    <x v="72"/>
    <d v="1899-12-30T18:19:00"/>
    <x v="2"/>
    <n v="599.85"/>
    <n v="4.7619047620000003"/>
    <n v="29.9925"/>
    <n v="9.6999999999999993"/>
  </r>
  <r>
    <s v="263-87-5680"/>
    <s v="C"/>
    <x v="1"/>
    <x v="0"/>
    <x v="0"/>
    <x v="2"/>
    <n v="28.53"/>
    <n v="10"/>
    <n v="14.265000000000001"/>
    <n v="299.565"/>
    <x v="79"/>
    <d v="1899-12-30T17:38:00"/>
    <x v="0"/>
    <n v="285.3"/>
    <n v="4.7619047620000003"/>
    <n v="14.265000000000001"/>
    <n v="7.8"/>
  </r>
  <r>
    <s v="573-58-9734"/>
    <s v="B"/>
    <x v="2"/>
    <x v="1"/>
    <x v="0"/>
    <x v="5"/>
    <n v="30.37"/>
    <n v="3"/>
    <n v="4.5555000000000003"/>
    <n v="95.665499999999994"/>
    <x v="61"/>
    <d v="1899-12-30T13:41:00"/>
    <x v="0"/>
    <n v="91.11"/>
    <n v="4.7619047620000003"/>
    <n v="4.5555000000000003"/>
    <n v="5.0999999999999996"/>
  </r>
  <r>
    <s v="817-69-8206"/>
    <s v="B"/>
    <x v="2"/>
    <x v="1"/>
    <x v="0"/>
    <x v="1"/>
    <n v="99.73"/>
    <n v="9"/>
    <n v="44.878500000000003"/>
    <n v="942.44849999999997"/>
    <x v="22"/>
    <d v="1899-12-30T19:42:00"/>
    <x v="2"/>
    <n v="897.57"/>
    <n v="4.7619047620000003"/>
    <n v="44.878500000000003"/>
    <n v="6.5"/>
  </r>
  <r>
    <s v="888-02-0338"/>
    <s v="A"/>
    <x v="0"/>
    <x v="1"/>
    <x v="1"/>
    <x v="1"/>
    <n v="26.23"/>
    <n v="9"/>
    <n v="11.8035"/>
    <n v="247.87350000000001"/>
    <x v="25"/>
    <d v="1899-12-30T20:24:00"/>
    <x v="0"/>
    <n v="236.07"/>
    <n v="4.7619047620000003"/>
    <n v="11.8035"/>
    <n v="5.9"/>
  </r>
  <r>
    <s v="677-11-0152"/>
    <s v="C"/>
    <x v="1"/>
    <x v="1"/>
    <x v="0"/>
    <x v="4"/>
    <n v="93.26"/>
    <n v="9"/>
    <n v="41.966999999999999"/>
    <n v="881.30700000000002"/>
    <x v="65"/>
    <d v="1899-12-30T18:08:00"/>
    <x v="1"/>
    <n v="839.34"/>
    <n v="4.7619047620000003"/>
    <n v="41.966999999999999"/>
    <n v="8.8000000000000007"/>
  </r>
  <r>
    <s v="142-63-6033"/>
    <s v="B"/>
    <x v="2"/>
    <x v="1"/>
    <x v="1"/>
    <x v="2"/>
    <n v="92.36"/>
    <n v="5"/>
    <n v="23.09"/>
    <n v="484.89"/>
    <x v="80"/>
    <d v="1899-12-30T19:17:00"/>
    <x v="0"/>
    <n v="461.8"/>
    <n v="4.7619047620000003"/>
    <n v="23.09"/>
    <n v="4.9000000000000004"/>
  </r>
  <r>
    <s v="656-16-1063"/>
    <s v="B"/>
    <x v="2"/>
    <x v="1"/>
    <x v="1"/>
    <x v="3"/>
    <n v="46.42"/>
    <n v="3"/>
    <n v="6.9630000000000001"/>
    <n v="146.22300000000001"/>
    <x v="72"/>
    <d v="1899-12-30T13:24:00"/>
    <x v="2"/>
    <n v="139.26"/>
    <n v="4.7619047620000003"/>
    <n v="6.9630000000000001"/>
    <n v="4.4000000000000004"/>
  </r>
  <r>
    <s v="891-58-8335"/>
    <s v="B"/>
    <x v="2"/>
    <x v="0"/>
    <x v="0"/>
    <x v="3"/>
    <n v="29.61"/>
    <n v="7"/>
    <n v="10.3635"/>
    <n v="217.6335"/>
    <x v="16"/>
    <d v="1899-12-30T15:53:00"/>
    <x v="1"/>
    <n v="207.27"/>
    <n v="4.7619047620000003"/>
    <n v="10.3635"/>
    <n v="6.5"/>
  </r>
  <r>
    <s v="802-43-8934"/>
    <s v="A"/>
    <x v="0"/>
    <x v="1"/>
    <x v="1"/>
    <x v="2"/>
    <n v="18.28"/>
    <n v="1"/>
    <n v="0.91400000000000003"/>
    <n v="19.193999999999999"/>
    <x v="23"/>
    <d v="1899-12-30T15:05:00"/>
    <x v="2"/>
    <n v="18.28"/>
    <n v="4.7619047620000003"/>
    <n v="0.91400000000000003"/>
    <n v="8.3000000000000007"/>
  </r>
  <r>
    <s v="560-30-5617"/>
    <s v="B"/>
    <x v="2"/>
    <x v="1"/>
    <x v="0"/>
    <x v="3"/>
    <n v="24.77"/>
    <n v="5"/>
    <n v="6.1924999999999999"/>
    <n v="130.04249999999999"/>
    <x v="62"/>
    <d v="1899-12-30T18:27:00"/>
    <x v="1"/>
    <n v="123.85"/>
    <n v="4.7619047620000003"/>
    <n v="6.1924999999999999"/>
    <n v="8.5"/>
  </r>
  <r>
    <s v="319-74-2561"/>
    <s v="A"/>
    <x v="0"/>
    <x v="0"/>
    <x v="0"/>
    <x v="1"/>
    <n v="94.64"/>
    <n v="3"/>
    <n v="14.196"/>
    <n v="298.11599999999999"/>
    <x v="81"/>
    <d v="1899-12-30T16:55:00"/>
    <x v="1"/>
    <n v="283.92"/>
    <n v="4.7619047620000003"/>
    <n v="14.196"/>
    <n v="5.5"/>
  </r>
  <r>
    <s v="549-03-9315"/>
    <s v="B"/>
    <x v="2"/>
    <x v="1"/>
    <x v="1"/>
    <x v="5"/>
    <n v="94.87"/>
    <n v="8"/>
    <n v="37.948"/>
    <n v="796.90800000000002"/>
    <x v="12"/>
    <d v="1899-12-30T12:58:00"/>
    <x v="0"/>
    <n v="758.96"/>
    <n v="4.7619047620000003"/>
    <n v="37.948"/>
    <n v="8.6999999999999993"/>
  </r>
  <r>
    <s v="790-29-1172"/>
    <s v="B"/>
    <x v="2"/>
    <x v="1"/>
    <x v="0"/>
    <x v="4"/>
    <n v="57.34"/>
    <n v="3"/>
    <n v="8.6010000000000009"/>
    <n v="180.62100000000001"/>
    <x v="24"/>
    <d v="1899-12-30T18:59:00"/>
    <x v="2"/>
    <n v="172.02"/>
    <n v="4.7619047620000003"/>
    <n v="8.6010000000000009"/>
    <n v="7.9"/>
  </r>
  <r>
    <s v="239-36-3640"/>
    <s v="B"/>
    <x v="2"/>
    <x v="1"/>
    <x v="1"/>
    <x v="1"/>
    <n v="45.35"/>
    <n v="6"/>
    <n v="13.605"/>
    <n v="285.70499999999998"/>
    <x v="82"/>
    <d v="1899-12-30T13:44:00"/>
    <x v="0"/>
    <n v="272.10000000000002"/>
    <n v="4.7619047620000003"/>
    <n v="13.605"/>
    <n v="6.1"/>
  </r>
  <r>
    <s v="468-01-2051"/>
    <s v="B"/>
    <x v="2"/>
    <x v="1"/>
    <x v="1"/>
    <x v="4"/>
    <n v="62.08"/>
    <n v="7"/>
    <n v="21.728000000000002"/>
    <n v="456.28800000000001"/>
    <x v="43"/>
    <d v="1899-12-30T13:46:00"/>
    <x v="0"/>
    <n v="434.56"/>
    <n v="4.7619047620000003"/>
    <n v="21.728000000000002"/>
    <n v="5.4"/>
  </r>
  <r>
    <s v="389-25-3394"/>
    <s v="C"/>
    <x v="1"/>
    <x v="1"/>
    <x v="1"/>
    <x v="1"/>
    <n v="11.81"/>
    <n v="5"/>
    <n v="2.9525000000000001"/>
    <n v="62.002499999999998"/>
    <x v="21"/>
    <d v="1899-12-30T18:06:00"/>
    <x v="1"/>
    <n v="59.05"/>
    <n v="4.7619047620000003"/>
    <n v="2.9525000000000001"/>
    <n v="9.4"/>
  </r>
  <r>
    <s v="279-62-1445"/>
    <s v="C"/>
    <x v="1"/>
    <x v="0"/>
    <x v="0"/>
    <x v="5"/>
    <n v="12.54"/>
    <n v="1"/>
    <n v="0.627"/>
    <n v="13.167"/>
    <x v="81"/>
    <d v="1899-12-30T12:38:00"/>
    <x v="1"/>
    <n v="12.54"/>
    <n v="4.7619047620000003"/>
    <n v="0.627"/>
    <n v="8.1999999999999993"/>
  </r>
  <r>
    <s v="213-72-6612"/>
    <s v="A"/>
    <x v="0"/>
    <x v="1"/>
    <x v="1"/>
    <x v="4"/>
    <n v="43.25"/>
    <n v="2"/>
    <n v="4.3250000000000002"/>
    <n v="90.825000000000003"/>
    <x v="80"/>
    <d v="1899-12-30T15:56:00"/>
    <x v="1"/>
    <n v="86.5"/>
    <n v="4.7619047620000003"/>
    <n v="4.3250000000000002"/>
    <n v="6.2"/>
  </r>
  <r>
    <s v="746-68-6593"/>
    <s v="C"/>
    <x v="1"/>
    <x v="0"/>
    <x v="0"/>
    <x v="3"/>
    <n v="87.16"/>
    <n v="2"/>
    <n v="8.7159999999999993"/>
    <n v="183.036"/>
    <x v="83"/>
    <d v="1899-12-30T14:29:00"/>
    <x v="2"/>
    <n v="174.32"/>
    <n v="4.7619047620000003"/>
    <n v="8.7159999999999993"/>
    <n v="9.6999999999999993"/>
  </r>
  <r>
    <s v="836-82-5858"/>
    <s v="B"/>
    <x v="2"/>
    <x v="0"/>
    <x v="1"/>
    <x v="0"/>
    <n v="69.37"/>
    <n v="9"/>
    <n v="31.2165"/>
    <n v="655.54650000000004"/>
    <x v="53"/>
    <d v="1899-12-30T19:14:00"/>
    <x v="0"/>
    <n v="624.33000000000004"/>
    <n v="4.7619047620000003"/>
    <n v="31.2165"/>
    <n v="4"/>
  </r>
  <r>
    <s v="583-72-1480"/>
    <s v="C"/>
    <x v="1"/>
    <x v="0"/>
    <x v="1"/>
    <x v="1"/>
    <n v="37.06"/>
    <n v="4"/>
    <n v="7.4119999999999999"/>
    <n v="155.65199999999999"/>
    <x v="82"/>
    <d v="1899-12-30T16:24:00"/>
    <x v="0"/>
    <n v="148.24"/>
    <n v="4.7619047620000003"/>
    <n v="7.4119999999999999"/>
    <n v="9.6999999999999993"/>
  </r>
  <r>
    <s v="466-61-5506"/>
    <s v="B"/>
    <x v="2"/>
    <x v="0"/>
    <x v="0"/>
    <x v="1"/>
    <n v="90.7"/>
    <n v="6"/>
    <n v="27.21"/>
    <n v="571.41"/>
    <x v="84"/>
    <d v="1899-12-30T10:52:00"/>
    <x v="1"/>
    <n v="544.20000000000005"/>
    <n v="4.7619047620000003"/>
    <n v="27.21"/>
    <n v="5.3"/>
  </r>
  <r>
    <s v="721-86-6247"/>
    <s v="A"/>
    <x v="0"/>
    <x v="1"/>
    <x v="0"/>
    <x v="2"/>
    <n v="63.42"/>
    <n v="8"/>
    <n v="25.367999999999999"/>
    <n v="532.72799999999995"/>
    <x v="16"/>
    <d v="1899-12-30T12:55:00"/>
    <x v="0"/>
    <n v="507.36"/>
    <n v="4.7619047620000003"/>
    <n v="25.367999999999999"/>
    <n v="7.4"/>
  </r>
  <r>
    <s v="289-65-5721"/>
    <s v="B"/>
    <x v="2"/>
    <x v="1"/>
    <x v="0"/>
    <x v="5"/>
    <n v="81.37"/>
    <n v="2"/>
    <n v="8.1370000000000005"/>
    <n v="170.87700000000001"/>
    <x v="53"/>
    <d v="1899-12-30T19:28:00"/>
    <x v="1"/>
    <n v="162.74"/>
    <n v="4.7619047620000003"/>
    <n v="8.1370000000000005"/>
    <n v="6.5"/>
  </r>
  <r>
    <s v="545-46-3100"/>
    <s v="B"/>
    <x v="2"/>
    <x v="0"/>
    <x v="0"/>
    <x v="1"/>
    <n v="10.59"/>
    <n v="3"/>
    <n v="1.5885"/>
    <n v="33.358499999999999"/>
    <x v="41"/>
    <d v="1899-12-30T13:52:00"/>
    <x v="2"/>
    <n v="31.77"/>
    <n v="4.7619047620000003"/>
    <n v="1.5885"/>
    <n v="8.6999999999999993"/>
  </r>
  <r>
    <s v="418-02-5978"/>
    <s v="B"/>
    <x v="2"/>
    <x v="1"/>
    <x v="0"/>
    <x v="0"/>
    <n v="84.09"/>
    <n v="9"/>
    <n v="37.840499999999999"/>
    <n v="794.65049999999997"/>
    <x v="48"/>
    <d v="1899-12-30T10:54:00"/>
    <x v="1"/>
    <n v="756.81"/>
    <n v="4.7619047620000003"/>
    <n v="37.840499999999999"/>
    <n v="8"/>
  </r>
  <r>
    <s v="269-04-5750"/>
    <s v="B"/>
    <x v="2"/>
    <x v="0"/>
    <x v="1"/>
    <x v="5"/>
    <n v="73.819999999999993"/>
    <n v="4"/>
    <n v="14.763999999999999"/>
    <n v="310.04399999999998"/>
    <x v="81"/>
    <d v="1899-12-30T18:31:00"/>
    <x v="1"/>
    <n v="295.27999999999997"/>
    <n v="4.7619047620000003"/>
    <n v="14.763999999999999"/>
    <n v="6.7"/>
  </r>
  <r>
    <s v="157-13-5295"/>
    <s v="A"/>
    <x v="0"/>
    <x v="0"/>
    <x v="1"/>
    <x v="0"/>
    <n v="51.94"/>
    <n v="10"/>
    <n v="25.97"/>
    <n v="545.37"/>
    <x v="11"/>
    <d v="1899-12-30T18:24:00"/>
    <x v="0"/>
    <n v="519.4"/>
    <n v="4.7619047620000003"/>
    <n v="25.97"/>
    <n v="6.5"/>
  </r>
  <r>
    <s v="645-78-8093"/>
    <s v="A"/>
    <x v="0"/>
    <x v="1"/>
    <x v="0"/>
    <x v="3"/>
    <n v="93.14"/>
    <n v="2"/>
    <n v="9.3140000000000001"/>
    <n v="195.59399999999999"/>
    <x v="40"/>
    <d v="1899-12-30T18:09:00"/>
    <x v="0"/>
    <n v="186.28"/>
    <n v="4.7619047620000003"/>
    <n v="9.3140000000000001"/>
    <n v="4.0999999999999996"/>
  </r>
  <r>
    <s v="211-30-9270"/>
    <s v="C"/>
    <x v="1"/>
    <x v="1"/>
    <x v="1"/>
    <x v="0"/>
    <n v="17.41"/>
    <n v="5"/>
    <n v="4.3525"/>
    <n v="91.402500000000003"/>
    <x v="26"/>
    <d v="1899-12-30T15:16:00"/>
    <x v="2"/>
    <n v="87.05"/>
    <n v="4.7619047620000003"/>
    <n v="4.3525"/>
    <n v="4.9000000000000004"/>
  </r>
  <r>
    <s v="755-12-3214"/>
    <s v="C"/>
    <x v="1"/>
    <x v="0"/>
    <x v="0"/>
    <x v="5"/>
    <n v="44.22"/>
    <n v="5"/>
    <n v="11.055"/>
    <n v="232.155"/>
    <x v="19"/>
    <d v="1899-12-30T17:07:00"/>
    <x v="2"/>
    <n v="221.1"/>
    <n v="4.7619047620000003"/>
    <n v="11.055"/>
    <n v="8.6"/>
  </r>
  <r>
    <s v="346-84-3103"/>
    <s v="B"/>
    <x v="2"/>
    <x v="0"/>
    <x v="0"/>
    <x v="1"/>
    <n v="13.22"/>
    <n v="5"/>
    <n v="3.3050000000000002"/>
    <n v="69.405000000000001"/>
    <x v="22"/>
    <d v="1899-12-30T19:26:00"/>
    <x v="1"/>
    <n v="66.099999999999994"/>
    <n v="4.7619047620000003"/>
    <n v="3.3050000000000002"/>
    <n v="4.3"/>
  </r>
  <r>
    <s v="478-06-7835"/>
    <s v="A"/>
    <x v="0"/>
    <x v="1"/>
    <x v="1"/>
    <x v="5"/>
    <n v="89.69"/>
    <n v="1"/>
    <n v="4.4844999999999997"/>
    <n v="94.174499999999995"/>
    <x v="83"/>
    <d v="1899-12-30T11:20:00"/>
    <x v="0"/>
    <n v="89.69"/>
    <n v="4.7619047620000003"/>
    <n v="4.4844999999999997"/>
    <n v="4.9000000000000004"/>
  </r>
  <r>
    <s v="540-11-4336"/>
    <s v="A"/>
    <x v="0"/>
    <x v="1"/>
    <x v="1"/>
    <x v="4"/>
    <n v="24.94"/>
    <n v="9"/>
    <n v="11.223000000000001"/>
    <n v="235.68299999999999"/>
    <x v="83"/>
    <d v="1899-12-30T16:49:00"/>
    <x v="2"/>
    <n v="224.46"/>
    <n v="4.7619047620000003"/>
    <n v="11.223000000000001"/>
    <n v="5.6"/>
  </r>
  <r>
    <s v="448-81-5016"/>
    <s v="A"/>
    <x v="0"/>
    <x v="1"/>
    <x v="1"/>
    <x v="0"/>
    <n v="59.77"/>
    <n v="2"/>
    <n v="5.9770000000000003"/>
    <n v="125.517"/>
    <x v="16"/>
    <d v="1899-12-30T12:01:00"/>
    <x v="2"/>
    <n v="119.54"/>
    <n v="4.7619047620000003"/>
    <n v="5.9770000000000003"/>
    <n v="5.8"/>
  </r>
  <r>
    <s v="142-72-4741"/>
    <s v="C"/>
    <x v="1"/>
    <x v="0"/>
    <x v="1"/>
    <x v="5"/>
    <n v="93.2"/>
    <n v="2"/>
    <n v="9.32"/>
    <n v="195.72"/>
    <x v="38"/>
    <d v="1899-12-30T18:37:00"/>
    <x v="2"/>
    <n v="186.4"/>
    <n v="4.7619047620000003"/>
    <n v="9.32"/>
    <n v="6"/>
  </r>
  <r>
    <s v="217-58-1179"/>
    <s v="A"/>
    <x v="0"/>
    <x v="0"/>
    <x v="1"/>
    <x v="2"/>
    <n v="62.65"/>
    <n v="4"/>
    <n v="12.53"/>
    <n v="263.13"/>
    <x v="0"/>
    <d v="1899-12-30T11:25:00"/>
    <x v="1"/>
    <n v="250.6"/>
    <n v="4.7619047620000003"/>
    <n v="12.53"/>
    <n v="4.2"/>
  </r>
  <r>
    <s v="376-02-8238"/>
    <s v="B"/>
    <x v="2"/>
    <x v="1"/>
    <x v="1"/>
    <x v="2"/>
    <n v="93.87"/>
    <n v="8"/>
    <n v="37.548000000000002"/>
    <n v="788.50800000000004"/>
    <x v="30"/>
    <d v="1899-12-30T18:42:00"/>
    <x v="2"/>
    <n v="750.96"/>
    <n v="4.7619047620000003"/>
    <n v="37.548000000000002"/>
    <n v="8.3000000000000007"/>
  </r>
  <r>
    <s v="530-90-9855"/>
    <s v="A"/>
    <x v="0"/>
    <x v="0"/>
    <x v="1"/>
    <x v="2"/>
    <n v="47.59"/>
    <n v="8"/>
    <n v="19.036000000000001"/>
    <n v="399.75599999999997"/>
    <x v="17"/>
    <d v="1899-12-30T14:47:00"/>
    <x v="1"/>
    <n v="380.72"/>
    <n v="4.7619047620000003"/>
    <n v="19.036000000000001"/>
    <n v="5.7"/>
  </r>
  <r>
    <s v="866-05-7563"/>
    <s v="B"/>
    <x v="2"/>
    <x v="0"/>
    <x v="0"/>
    <x v="1"/>
    <n v="81.400000000000006"/>
    <n v="3"/>
    <n v="12.21"/>
    <n v="256.41000000000003"/>
    <x v="57"/>
    <d v="1899-12-30T19:43:00"/>
    <x v="1"/>
    <n v="244.2"/>
    <n v="4.7619047620000003"/>
    <n v="12.21"/>
    <n v="4.8"/>
  </r>
  <r>
    <s v="604-70-6476"/>
    <s v="A"/>
    <x v="0"/>
    <x v="0"/>
    <x v="1"/>
    <x v="5"/>
    <n v="17.940000000000001"/>
    <n v="5"/>
    <n v="4.4850000000000003"/>
    <n v="94.185000000000002"/>
    <x v="54"/>
    <d v="1899-12-30T14:04:00"/>
    <x v="0"/>
    <n v="89.7"/>
    <n v="4.7619047620000003"/>
    <n v="4.4850000000000003"/>
    <n v="6.8"/>
  </r>
  <r>
    <s v="799-71-1548"/>
    <s v="A"/>
    <x v="0"/>
    <x v="0"/>
    <x v="1"/>
    <x v="1"/>
    <n v="77.72"/>
    <n v="4"/>
    <n v="15.544"/>
    <n v="326.42399999999998"/>
    <x v="27"/>
    <d v="1899-12-30T16:11:00"/>
    <x v="2"/>
    <n v="310.88"/>
    <n v="4.7619047620000003"/>
    <n v="15.544"/>
    <n v="8.8000000000000007"/>
  </r>
  <r>
    <s v="785-13-7708"/>
    <s v="B"/>
    <x v="2"/>
    <x v="1"/>
    <x v="1"/>
    <x v="4"/>
    <n v="73.06"/>
    <n v="7"/>
    <n v="25.571000000000002"/>
    <n v="536.99099999999999"/>
    <x v="78"/>
    <d v="1899-12-30T19:06:00"/>
    <x v="2"/>
    <n v="511.42"/>
    <n v="4.7619047620000003"/>
    <n v="25.571000000000002"/>
    <n v="4.2"/>
  </r>
  <r>
    <s v="845-51-0542"/>
    <s v="B"/>
    <x v="2"/>
    <x v="0"/>
    <x v="1"/>
    <x v="4"/>
    <n v="46.55"/>
    <n v="9"/>
    <n v="20.947500000000002"/>
    <n v="439.89749999999998"/>
    <x v="30"/>
    <d v="1899-12-30T15:34:00"/>
    <x v="0"/>
    <n v="418.95"/>
    <n v="4.7619047620000003"/>
    <n v="20.947500000000002"/>
    <n v="6.4"/>
  </r>
  <r>
    <s v="662-47-5456"/>
    <s v="C"/>
    <x v="1"/>
    <x v="0"/>
    <x v="1"/>
    <x v="5"/>
    <n v="35.19"/>
    <n v="10"/>
    <n v="17.594999999999999"/>
    <n v="369.495"/>
    <x v="85"/>
    <d v="1899-12-30T19:06:00"/>
    <x v="2"/>
    <n v="351.9"/>
    <n v="4.7619047620000003"/>
    <n v="17.594999999999999"/>
    <n v="8.4"/>
  </r>
  <r>
    <s v="883-17-4236"/>
    <s v="C"/>
    <x v="1"/>
    <x v="1"/>
    <x v="0"/>
    <x v="3"/>
    <n v="14.39"/>
    <n v="2"/>
    <n v="1.4390000000000001"/>
    <n v="30.219000000000001"/>
    <x v="22"/>
    <d v="1899-12-30T19:44:00"/>
    <x v="2"/>
    <n v="28.78"/>
    <n v="4.7619047620000003"/>
    <n v="1.4390000000000001"/>
    <n v="7.2"/>
  </r>
  <r>
    <s v="290-68-2984"/>
    <s v="A"/>
    <x v="0"/>
    <x v="1"/>
    <x v="1"/>
    <x v="2"/>
    <n v="23.75"/>
    <n v="4"/>
    <n v="4.75"/>
    <n v="99.75"/>
    <x v="32"/>
    <d v="1899-12-30T11:22:00"/>
    <x v="1"/>
    <n v="95"/>
    <n v="4.7619047620000003"/>
    <n v="4.75"/>
    <n v="5.2"/>
  </r>
  <r>
    <s v="704-11-6354"/>
    <s v="A"/>
    <x v="0"/>
    <x v="0"/>
    <x v="1"/>
    <x v="2"/>
    <n v="58.9"/>
    <n v="8"/>
    <n v="23.56"/>
    <n v="494.76"/>
    <x v="47"/>
    <d v="1899-12-30T11:23:00"/>
    <x v="1"/>
    <n v="471.2"/>
    <n v="4.7619047620000003"/>
    <n v="23.56"/>
    <n v="8.9"/>
  </r>
  <r>
    <s v="110-48-7033"/>
    <s v="B"/>
    <x v="2"/>
    <x v="0"/>
    <x v="1"/>
    <x v="5"/>
    <n v="32.619999999999997"/>
    <n v="4"/>
    <n v="6.524"/>
    <n v="137.00399999999999"/>
    <x v="71"/>
    <d v="1899-12-30T14:12:00"/>
    <x v="1"/>
    <n v="130.47999999999999"/>
    <n v="4.7619047620000003"/>
    <n v="6.524"/>
    <n v="9"/>
  </r>
  <r>
    <s v="366-93-0948"/>
    <s v="A"/>
    <x v="0"/>
    <x v="0"/>
    <x v="1"/>
    <x v="1"/>
    <n v="66.349999999999994"/>
    <n v="1"/>
    <n v="3.3174999999999999"/>
    <n v="69.667500000000004"/>
    <x v="82"/>
    <d v="1899-12-30T10:46:00"/>
    <x v="2"/>
    <n v="66.349999999999994"/>
    <n v="4.7619047620000003"/>
    <n v="3.3174999999999999"/>
    <n v="9.6999999999999993"/>
  </r>
  <r>
    <s v="729-09-9681"/>
    <s v="A"/>
    <x v="0"/>
    <x v="0"/>
    <x v="1"/>
    <x v="2"/>
    <n v="25.91"/>
    <n v="6"/>
    <n v="7.7729999999999997"/>
    <n v="163.233"/>
    <x v="63"/>
    <d v="1899-12-30T10:16:00"/>
    <x v="0"/>
    <n v="155.46"/>
    <n v="4.7619047620000003"/>
    <n v="7.7729999999999997"/>
    <n v="8.6999999999999993"/>
  </r>
  <r>
    <s v="151-16-1484"/>
    <s v="A"/>
    <x v="0"/>
    <x v="0"/>
    <x v="1"/>
    <x v="1"/>
    <n v="32.25"/>
    <n v="4"/>
    <n v="6.45"/>
    <n v="135.44999999999999"/>
    <x v="77"/>
    <d v="1899-12-30T12:38:00"/>
    <x v="0"/>
    <n v="129"/>
    <n v="4.7619047620000003"/>
    <n v="6.45"/>
    <n v="6.5"/>
  </r>
  <r>
    <s v="380-94-4661"/>
    <s v="C"/>
    <x v="1"/>
    <x v="0"/>
    <x v="1"/>
    <x v="1"/>
    <n v="65.94"/>
    <n v="4"/>
    <n v="13.188000000000001"/>
    <n v="276.94799999999998"/>
    <x v="13"/>
    <d v="1899-12-30T13:05:00"/>
    <x v="2"/>
    <n v="263.76"/>
    <n v="4.7619047620000003"/>
    <n v="13.188000000000001"/>
    <n v="6.9"/>
  </r>
  <r>
    <s v="850-41-9669"/>
    <s v="A"/>
    <x v="0"/>
    <x v="1"/>
    <x v="0"/>
    <x v="1"/>
    <n v="75.06"/>
    <n v="9"/>
    <n v="33.777000000000001"/>
    <n v="709.31700000000001"/>
    <x v="35"/>
    <d v="1899-12-30T13:25:00"/>
    <x v="0"/>
    <n v="675.54"/>
    <n v="4.7619047620000003"/>
    <n v="33.777000000000001"/>
    <n v="6.2"/>
  </r>
  <r>
    <s v="821-07-3596"/>
    <s v="C"/>
    <x v="1"/>
    <x v="1"/>
    <x v="0"/>
    <x v="5"/>
    <n v="16.45"/>
    <n v="4"/>
    <n v="3.29"/>
    <n v="69.09"/>
    <x v="37"/>
    <d v="1899-12-30T14:53:00"/>
    <x v="0"/>
    <n v="65.8"/>
    <n v="4.7619047620000003"/>
    <n v="3.29"/>
    <n v="5.6"/>
  </r>
  <r>
    <s v="655-85-5130"/>
    <s v="B"/>
    <x v="2"/>
    <x v="0"/>
    <x v="0"/>
    <x v="5"/>
    <n v="38.299999999999997"/>
    <n v="4"/>
    <n v="7.66"/>
    <n v="160.86000000000001"/>
    <x v="45"/>
    <d v="1899-12-30T19:22:00"/>
    <x v="1"/>
    <n v="153.19999999999999"/>
    <n v="4.7619047620000003"/>
    <n v="7.66"/>
    <n v="5.7"/>
  </r>
  <r>
    <s v="447-15-7839"/>
    <s v="A"/>
    <x v="0"/>
    <x v="0"/>
    <x v="0"/>
    <x v="3"/>
    <n v="22.24"/>
    <n v="10"/>
    <n v="11.12"/>
    <n v="233.52"/>
    <x v="57"/>
    <d v="1899-12-30T11:00:00"/>
    <x v="1"/>
    <n v="222.4"/>
    <n v="4.7619047620000003"/>
    <n v="11.12"/>
    <n v="4.2"/>
  </r>
  <r>
    <s v="154-74-7179"/>
    <s v="B"/>
    <x v="2"/>
    <x v="1"/>
    <x v="1"/>
    <x v="3"/>
    <n v="54.45"/>
    <n v="1"/>
    <n v="2.7225000000000001"/>
    <n v="57.172499999999999"/>
    <x v="84"/>
    <d v="1899-12-30T19:24:00"/>
    <x v="0"/>
    <n v="54.45"/>
    <n v="4.7619047620000003"/>
    <n v="2.7225000000000001"/>
    <n v="7.9"/>
  </r>
  <r>
    <s v="253-12-6086"/>
    <s v="A"/>
    <x v="0"/>
    <x v="0"/>
    <x v="0"/>
    <x v="3"/>
    <n v="98.4"/>
    <n v="7"/>
    <n v="34.44"/>
    <n v="723.24"/>
    <x v="41"/>
    <d v="1899-12-30T12:43:00"/>
    <x v="2"/>
    <n v="688.8"/>
    <n v="4.7619047620000003"/>
    <n v="34.44"/>
    <n v="8.6999999999999993"/>
  </r>
  <r>
    <s v="808-65-0703"/>
    <s v="C"/>
    <x v="1"/>
    <x v="1"/>
    <x v="1"/>
    <x v="2"/>
    <n v="35.47"/>
    <n v="4"/>
    <n v="7.0940000000000003"/>
    <n v="148.97399999999999"/>
    <x v="86"/>
    <d v="1899-12-30T17:22:00"/>
    <x v="2"/>
    <n v="141.88"/>
    <n v="4.7619047620000003"/>
    <n v="7.0940000000000003"/>
    <n v="6.9"/>
  </r>
  <r>
    <s v="571-94-0759"/>
    <s v="B"/>
    <x v="2"/>
    <x v="0"/>
    <x v="0"/>
    <x v="4"/>
    <n v="74.599999999999994"/>
    <n v="10"/>
    <n v="37.299999999999997"/>
    <n v="783.3"/>
    <x v="66"/>
    <d v="1899-12-30T20:55:00"/>
    <x v="1"/>
    <n v="746"/>
    <n v="4.7619047620000003"/>
    <n v="37.299999999999997"/>
    <n v="9.5"/>
  </r>
  <r>
    <s v="144-51-6085"/>
    <s v="A"/>
    <x v="0"/>
    <x v="0"/>
    <x v="1"/>
    <x v="2"/>
    <n v="70.739999999999995"/>
    <n v="4"/>
    <n v="14.148"/>
    <n v="297.108"/>
    <x v="0"/>
    <d v="1899-12-30T16:05:00"/>
    <x v="2"/>
    <n v="282.95999999999998"/>
    <n v="4.7619047620000003"/>
    <n v="14.148"/>
    <n v="4.4000000000000004"/>
  </r>
  <r>
    <s v="731-14-2199"/>
    <s v="A"/>
    <x v="0"/>
    <x v="0"/>
    <x v="0"/>
    <x v="2"/>
    <n v="35.54"/>
    <n v="10"/>
    <n v="17.77"/>
    <n v="373.17"/>
    <x v="72"/>
    <d v="1899-12-30T13:34:00"/>
    <x v="0"/>
    <n v="355.4"/>
    <n v="4.7619047620000003"/>
    <n v="17.77"/>
    <n v="7"/>
  </r>
  <r>
    <s v="783-09-1637"/>
    <s v="B"/>
    <x v="2"/>
    <x v="1"/>
    <x v="0"/>
    <x v="3"/>
    <n v="67.430000000000007"/>
    <n v="5"/>
    <n v="16.857500000000002"/>
    <n v="354.00749999999999"/>
    <x v="43"/>
    <d v="1899-12-30T18:13:00"/>
    <x v="0"/>
    <n v="337.15"/>
    <n v="4.7619047620000003"/>
    <n v="16.857500000000002"/>
    <n v="6.3"/>
  </r>
  <r>
    <s v="687-15-1097"/>
    <s v="C"/>
    <x v="1"/>
    <x v="0"/>
    <x v="0"/>
    <x v="0"/>
    <n v="21.12"/>
    <n v="2"/>
    <n v="2.1120000000000001"/>
    <n v="44.351999999999997"/>
    <x v="75"/>
    <d v="1899-12-30T19:17:00"/>
    <x v="1"/>
    <n v="42.24"/>
    <n v="4.7619047620000003"/>
    <n v="2.1120000000000001"/>
    <n v="9.6999999999999993"/>
  </r>
  <r>
    <s v="126-54-1082"/>
    <s v="A"/>
    <x v="0"/>
    <x v="0"/>
    <x v="0"/>
    <x v="2"/>
    <n v="21.54"/>
    <n v="9"/>
    <n v="9.6929999999999996"/>
    <n v="203.553"/>
    <x v="27"/>
    <d v="1899-12-30T11:44:00"/>
    <x v="2"/>
    <n v="193.86"/>
    <n v="4.7619047620000003"/>
    <n v="9.6929999999999996"/>
    <n v="8.8000000000000007"/>
  </r>
  <r>
    <s v="633-91-1052"/>
    <s v="A"/>
    <x v="0"/>
    <x v="1"/>
    <x v="0"/>
    <x v="2"/>
    <n v="12.03"/>
    <n v="2"/>
    <n v="1.2030000000000001"/>
    <n v="25.263000000000002"/>
    <x v="3"/>
    <d v="1899-12-30T15:51:00"/>
    <x v="1"/>
    <n v="24.06"/>
    <n v="4.7619047620000003"/>
    <n v="1.2030000000000001"/>
    <n v="5.0999999999999996"/>
  </r>
  <r>
    <s v="477-24-6490"/>
    <s v="B"/>
    <x v="2"/>
    <x v="1"/>
    <x v="0"/>
    <x v="0"/>
    <n v="99.71"/>
    <n v="6"/>
    <n v="29.913"/>
    <n v="628.173"/>
    <x v="84"/>
    <d v="1899-12-30T16:52:00"/>
    <x v="0"/>
    <n v="598.26"/>
    <n v="4.7619047620000003"/>
    <n v="29.913"/>
    <n v="7.9"/>
  </r>
  <r>
    <s v="566-19-5475"/>
    <s v="B"/>
    <x v="2"/>
    <x v="1"/>
    <x v="1"/>
    <x v="5"/>
    <n v="47.97"/>
    <n v="7"/>
    <n v="16.7895"/>
    <n v="352.5795"/>
    <x v="27"/>
    <d v="1899-12-30T20:52:00"/>
    <x v="1"/>
    <n v="335.79"/>
    <n v="4.7619047620000003"/>
    <n v="16.7895"/>
    <n v="6.2"/>
  </r>
  <r>
    <s v="526-86-8552"/>
    <s v="C"/>
    <x v="1"/>
    <x v="0"/>
    <x v="0"/>
    <x v="2"/>
    <n v="21.82"/>
    <n v="10"/>
    <n v="10.91"/>
    <n v="229.11"/>
    <x v="27"/>
    <d v="1899-12-30T17:36:00"/>
    <x v="1"/>
    <n v="218.2"/>
    <n v="4.7619047620000003"/>
    <n v="10.91"/>
    <n v="7.1"/>
  </r>
  <r>
    <s v="376-56-3573"/>
    <s v="C"/>
    <x v="1"/>
    <x v="1"/>
    <x v="0"/>
    <x v="5"/>
    <n v="95.42"/>
    <n v="4"/>
    <n v="19.084"/>
    <n v="400.76400000000001"/>
    <x v="30"/>
    <d v="1899-12-30T13:23:00"/>
    <x v="0"/>
    <n v="381.68"/>
    <n v="4.7619047620000003"/>
    <n v="19.084"/>
    <n v="6.4"/>
  </r>
  <r>
    <s v="537-72-0426"/>
    <s v="C"/>
    <x v="1"/>
    <x v="0"/>
    <x v="1"/>
    <x v="5"/>
    <n v="70.989999999999995"/>
    <n v="10"/>
    <n v="35.494999999999997"/>
    <n v="745.39499999999998"/>
    <x v="80"/>
    <d v="1899-12-30T16:28:00"/>
    <x v="1"/>
    <n v="709.9"/>
    <n v="4.7619047620000003"/>
    <n v="35.494999999999997"/>
    <n v="5.7"/>
  </r>
  <r>
    <s v="828-61-5674"/>
    <s v="A"/>
    <x v="0"/>
    <x v="0"/>
    <x v="1"/>
    <x v="3"/>
    <n v="44.02"/>
    <n v="10"/>
    <n v="22.01"/>
    <n v="462.21"/>
    <x v="80"/>
    <d v="1899-12-30T19:57:00"/>
    <x v="2"/>
    <n v="440.2"/>
    <n v="4.7619047620000003"/>
    <n v="22.01"/>
    <n v="9.6"/>
  </r>
  <r>
    <s v="136-08-6195"/>
    <s v="A"/>
    <x v="0"/>
    <x v="1"/>
    <x v="0"/>
    <x v="2"/>
    <n v="69.959999999999994"/>
    <n v="8"/>
    <n v="27.984000000000002"/>
    <n v="587.66399999999999"/>
    <x v="42"/>
    <d v="1899-12-30T17:01:00"/>
    <x v="2"/>
    <n v="559.67999999999995"/>
    <n v="4.7619047620000003"/>
    <n v="27.984000000000002"/>
    <n v="6.4"/>
  </r>
  <r>
    <s v="523-38-0215"/>
    <s v="C"/>
    <x v="1"/>
    <x v="1"/>
    <x v="1"/>
    <x v="2"/>
    <n v="37"/>
    <n v="1"/>
    <n v="1.85"/>
    <n v="38.85"/>
    <x v="43"/>
    <d v="1899-12-30T13:29:00"/>
    <x v="2"/>
    <n v="37"/>
    <n v="4.7619047620000003"/>
    <n v="1.85"/>
    <n v="7.9"/>
  </r>
  <r>
    <s v="490-29-1201"/>
    <s v="A"/>
    <x v="0"/>
    <x v="1"/>
    <x v="0"/>
    <x v="3"/>
    <n v="15.34"/>
    <n v="1"/>
    <n v="0.76700000000000002"/>
    <n v="16.106999999999999"/>
    <x v="47"/>
    <d v="1899-12-30T11:09:00"/>
    <x v="1"/>
    <n v="15.34"/>
    <n v="4.7619047620000003"/>
    <n v="0.76700000000000002"/>
    <n v="6.5"/>
  </r>
  <r>
    <s v="667-92-0055"/>
    <s v="A"/>
    <x v="0"/>
    <x v="0"/>
    <x v="1"/>
    <x v="0"/>
    <n v="99.83"/>
    <n v="6"/>
    <n v="29.949000000000002"/>
    <n v="628.92899999999997"/>
    <x v="31"/>
    <d v="1899-12-30T15:02:00"/>
    <x v="0"/>
    <n v="598.98"/>
    <n v="4.7619047620000003"/>
    <n v="29.949000000000002"/>
    <n v="8.5"/>
  </r>
  <r>
    <s v="565-17-3836"/>
    <s v="A"/>
    <x v="0"/>
    <x v="0"/>
    <x v="0"/>
    <x v="0"/>
    <n v="47.67"/>
    <n v="4"/>
    <n v="9.5340000000000007"/>
    <n v="200.214"/>
    <x v="41"/>
    <d v="1899-12-30T14:21:00"/>
    <x v="1"/>
    <n v="190.68"/>
    <n v="4.7619047620000003"/>
    <n v="9.5340000000000007"/>
    <n v="9.1"/>
  </r>
  <r>
    <s v="498-41-1961"/>
    <s v="B"/>
    <x v="2"/>
    <x v="1"/>
    <x v="1"/>
    <x v="0"/>
    <n v="66.680000000000007"/>
    <n v="5"/>
    <n v="16.670000000000002"/>
    <n v="350.07"/>
    <x v="9"/>
    <d v="1899-12-30T18:01:00"/>
    <x v="1"/>
    <n v="333.4"/>
    <n v="4.7619047620000003"/>
    <n v="16.670000000000002"/>
    <n v="7.6"/>
  </r>
  <r>
    <s v="593-95-4461"/>
    <s v="C"/>
    <x v="1"/>
    <x v="0"/>
    <x v="1"/>
    <x v="2"/>
    <n v="74.86"/>
    <n v="1"/>
    <n v="3.7429999999999999"/>
    <n v="78.602999999999994"/>
    <x v="62"/>
    <d v="1899-12-30T14:49:00"/>
    <x v="1"/>
    <n v="74.86"/>
    <n v="4.7619047620000003"/>
    <n v="3.7429999999999999"/>
    <n v="6.9"/>
  </r>
  <r>
    <s v="226-71-3580"/>
    <s v="C"/>
    <x v="1"/>
    <x v="1"/>
    <x v="0"/>
    <x v="3"/>
    <n v="23.75"/>
    <n v="9"/>
    <n v="10.6875"/>
    <n v="224.4375"/>
    <x v="82"/>
    <d v="1899-12-30T12:02:00"/>
    <x v="1"/>
    <n v="213.75"/>
    <n v="4.7619047620000003"/>
    <n v="10.6875"/>
    <n v="9.5"/>
  </r>
  <r>
    <s v="283-79-9594"/>
    <s v="B"/>
    <x v="2"/>
    <x v="1"/>
    <x v="0"/>
    <x v="4"/>
    <n v="48.51"/>
    <n v="7"/>
    <n v="16.9785"/>
    <n v="356.54849999999999"/>
    <x v="25"/>
    <d v="1899-12-30T13:30:00"/>
    <x v="2"/>
    <n v="339.57"/>
    <n v="4.7619047620000003"/>
    <n v="16.9785"/>
    <n v="5.2"/>
  </r>
  <r>
    <s v="430-60-3493"/>
    <s v="A"/>
    <x v="0"/>
    <x v="0"/>
    <x v="0"/>
    <x v="2"/>
    <n v="94.88"/>
    <n v="7"/>
    <n v="33.207999999999998"/>
    <n v="697.36800000000005"/>
    <x v="36"/>
    <d v="1899-12-30T14:38:00"/>
    <x v="1"/>
    <n v="664.16"/>
    <n v="4.7619047620000003"/>
    <n v="33.207999999999998"/>
    <n v="4.2"/>
  </r>
  <r>
    <s v="139-20-0155"/>
    <s v="B"/>
    <x v="2"/>
    <x v="0"/>
    <x v="1"/>
    <x v="1"/>
    <n v="40.299999999999997"/>
    <n v="10"/>
    <n v="20.149999999999999"/>
    <n v="423.15"/>
    <x v="46"/>
    <d v="1899-12-30T17:37:00"/>
    <x v="2"/>
    <n v="403"/>
    <n v="4.7619047620000003"/>
    <n v="20.149999999999999"/>
    <n v="7"/>
  </r>
  <r>
    <s v="558-80-4082"/>
    <s v="C"/>
    <x v="1"/>
    <x v="1"/>
    <x v="1"/>
    <x v="1"/>
    <n v="27.85"/>
    <n v="7"/>
    <n v="9.7475000000000005"/>
    <n v="204.69749999999999"/>
    <x v="86"/>
    <d v="1899-12-30T17:20:00"/>
    <x v="0"/>
    <n v="194.95"/>
    <n v="4.7619047620000003"/>
    <n v="9.7475000000000005"/>
    <n v="6"/>
  </r>
  <r>
    <s v="278-97-7759"/>
    <s v="A"/>
    <x v="0"/>
    <x v="0"/>
    <x v="0"/>
    <x v="1"/>
    <n v="62.48"/>
    <n v="1"/>
    <n v="3.1240000000000001"/>
    <n v="65.603999999999999"/>
    <x v="67"/>
    <d v="1899-12-30T20:29:00"/>
    <x v="1"/>
    <n v="62.48"/>
    <n v="4.7619047620000003"/>
    <n v="3.1240000000000001"/>
    <n v="4.7"/>
  </r>
  <r>
    <s v="316-68-6352"/>
    <s v="A"/>
    <x v="0"/>
    <x v="0"/>
    <x v="0"/>
    <x v="4"/>
    <n v="36.36"/>
    <n v="2"/>
    <n v="3.6360000000000001"/>
    <n v="76.355999999999995"/>
    <x v="18"/>
    <d v="1899-12-30T10:00:00"/>
    <x v="1"/>
    <n v="72.72"/>
    <n v="4.7619047620000003"/>
    <n v="3.6360000000000001"/>
    <n v="7.1"/>
  </r>
  <r>
    <s v="585-03-5943"/>
    <s v="B"/>
    <x v="2"/>
    <x v="1"/>
    <x v="1"/>
    <x v="0"/>
    <n v="18.11"/>
    <n v="10"/>
    <n v="9.0549999999999997"/>
    <n v="190.155"/>
    <x v="45"/>
    <d v="1899-12-30T11:46:00"/>
    <x v="0"/>
    <n v="181.1"/>
    <n v="4.7619047620000003"/>
    <n v="9.0549999999999997"/>
    <n v="5.9"/>
  </r>
  <r>
    <s v="211-05-0490"/>
    <s v="C"/>
    <x v="1"/>
    <x v="0"/>
    <x v="0"/>
    <x v="1"/>
    <n v="51.92"/>
    <n v="5"/>
    <n v="12.98"/>
    <n v="272.58"/>
    <x v="2"/>
    <d v="1899-12-30T13:42:00"/>
    <x v="1"/>
    <n v="259.60000000000002"/>
    <n v="4.7619047620000003"/>
    <n v="12.98"/>
    <n v="7.5"/>
  </r>
  <r>
    <s v="727-75-6477"/>
    <s v="C"/>
    <x v="1"/>
    <x v="1"/>
    <x v="1"/>
    <x v="1"/>
    <n v="28.84"/>
    <n v="4"/>
    <n v="5.7679999999999998"/>
    <n v="121.128"/>
    <x v="14"/>
    <d v="1899-12-30T14:44:00"/>
    <x v="1"/>
    <n v="115.36"/>
    <n v="4.7619047620000003"/>
    <n v="5.7679999999999998"/>
    <n v="6.4"/>
  </r>
  <r>
    <s v="744-02-5987"/>
    <s v="A"/>
    <x v="0"/>
    <x v="0"/>
    <x v="1"/>
    <x v="2"/>
    <n v="78.38"/>
    <n v="6"/>
    <n v="23.513999999999999"/>
    <n v="493.79399999999998"/>
    <x v="8"/>
    <d v="1899-12-30T14:16:00"/>
    <x v="0"/>
    <n v="470.28"/>
    <n v="4.7619047620000003"/>
    <n v="23.513999999999999"/>
    <n v="5.8"/>
  </r>
  <r>
    <s v="307-83-9164"/>
    <s v="A"/>
    <x v="0"/>
    <x v="0"/>
    <x v="1"/>
    <x v="2"/>
    <n v="60.01"/>
    <n v="4"/>
    <n v="12.002000000000001"/>
    <n v="252.042"/>
    <x v="25"/>
    <d v="1899-12-30T15:54:00"/>
    <x v="1"/>
    <n v="240.04"/>
    <n v="4.7619047620000003"/>
    <n v="12.002000000000001"/>
    <n v="4.5"/>
  </r>
  <r>
    <s v="779-06-0012"/>
    <s v="C"/>
    <x v="1"/>
    <x v="0"/>
    <x v="0"/>
    <x v="2"/>
    <n v="88.61"/>
    <n v="1"/>
    <n v="4.4305000000000003"/>
    <n v="93.040499999999994"/>
    <x v="64"/>
    <d v="1899-12-30T10:21:00"/>
    <x v="1"/>
    <n v="88.61"/>
    <n v="4.7619047620000003"/>
    <n v="4.4305000000000003"/>
    <n v="7.7"/>
  </r>
  <r>
    <s v="446-47-6729"/>
    <s v="C"/>
    <x v="1"/>
    <x v="1"/>
    <x v="1"/>
    <x v="5"/>
    <n v="99.82"/>
    <n v="2"/>
    <n v="9.9819999999999993"/>
    <n v="209.62200000000001"/>
    <x v="56"/>
    <d v="1899-12-30T18:09:00"/>
    <x v="2"/>
    <n v="199.64"/>
    <n v="4.7619047620000003"/>
    <n v="9.9819999999999993"/>
    <n v="6.7"/>
  </r>
  <r>
    <s v="573-10-3877"/>
    <s v="B"/>
    <x v="2"/>
    <x v="0"/>
    <x v="1"/>
    <x v="0"/>
    <n v="39.01"/>
    <n v="1"/>
    <n v="1.9504999999999999"/>
    <n v="40.960500000000003"/>
    <x v="41"/>
    <d v="1899-12-30T16:46:00"/>
    <x v="2"/>
    <n v="39.01"/>
    <n v="4.7619047620000003"/>
    <n v="1.9504999999999999"/>
    <n v="4.7"/>
  </r>
  <r>
    <s v="735-06-4124"/>
    <s v="C"/>
    <x v="1"/>
    <x v="1"/>
    <x v="1"/>
    <x v="4"/>
    <n v="48.61"/>
    <n v="1"/>
    <n v="2.4304999999999999"/>
    <n v="51.040500000000002"/>
    <x v="6"/>
    <d v="1899-12-30T15:31:00"/>
    <x v="1"/>
    <n v="48.61"/>
    <n v="4.7619047620000003"/>
    <n v="2.4304999999999999"/>
    <n v="4.4000000000000004"/>
  </r>
  <r>
    <s v="439-54-7422"/>
    <s v="A"/>
    <x v="0"/>
    <x v="1"/>
    <x v="0"/>
    <x v="1"/>
    <n v="51.19"/>
    <n v="4"/>
    <n v="10.238"/>
    <n v="214.99799999999999"/>
    <x v="79"/>
    <d v="1899-12-30T17:15:00"/>
    <x v="2"/>
    <n v="204.76"/>
    <n v="4.7619047620000003"/>
    <n v="10.238"/>
    <n v="4.7"/>
  </r>
  <r>
    <s v="396-90-2219"/>
    <s v="B"/>
    <x v="2"/>
    <x v="1"/>
    <x v="0"/>
    <x v="1"/>
    <n v="14.96"/>
    <n v="8"/>
    <n v="5.984"/>
    <n v="125.664"/>
    <x v="55"/>
    <d v="1899-12-30T12:29:00"/>
    <x v="1"/>
    <n v="119.68"/>
    <n v="4.7619047620000003"/>
    <n v="5.984"/>
    <n v="8.6"/>
  </r>
  <r>
    <s v="411-77-0180"/>
    <s v="A"/>
    <x v="0"/>
    <x v="0"/>
    <x v="1"/>
    <x v="1"/>
    <n v="72.2"/>
    <n v="7"/>
    <n v="25.27"/>
    <n v="530.66999999999996"/>
    <x v="58"/>
    <d v="1899-12-30T20:14:00"/>
    <x v="0"/>
    <n v="505.4"/>
    <n v="4.7619047620000003"/>
    <n v="25.27"/>
    <n v="4.3"/>
  </r>
  <r>
    <s v="286-01-5402"/>
    <s v="A"/>
    <x v="0"/>
    <x v="1"/>
    <x v="0"/>
    <x v="3"/>
    <n v="40.229999999999997"/>
    <n v="7"/>
    <n v="14.080500000000001"/>
    <n v="295.69049999999999"/>
    <x v="73"/>
    <d v="1899-12-30T13:22:00"/>
    <x v="1"/>
    <n v="281.61"/>
    <n v="4.7619047620000003"/>
    <n v="14.080500000000001"/>
    <n v="9.6"/>
  </r>
  <r>
    <s v="803-17-8013"/>
    <s v="A"/>
    <x v="0"/>
    <x v="0"/>
    <x v="0"/>
    <x v="2"/>
    <n v="88.79"/>
    <n v="8"/>
    <n v="35.515999999999998"/>
    <n v="745.83600000000001"/>
    <x v="21"/>
    <d v="1899-12-30T17:09:00"/>
    <x v="1"/>
    <n v="710.32"/>
    <n v="4.7619047620000003"/>
    <n v="35.515999999999998"/>
    <n v="4.0999999999999996"/>
  </r>
  <r>
    <s v="512-98-1403"/>
    <s v="A"/>
    <x v="0"/>
    <x v="0"/>
    <x v="0"/>
    <x v="1"/>
    <n v="26.48"/>
    <n v="3"/>
    <n v="3.972"/>
    <n v="83.412000000000006"/>
    <x v="76"/>
    <d v="1899-12-30T10:40:00"/>
    <x v="0"/>
    <n v="79.44"/>
    <n v="4.7619047620000003"/>
    <n v="3.972"/>
    <n v="4.7"/>
  </r>
  <r>
    <s v="848-42-2560"/>
    <s v="A"/>
    <x v="0"/>
    <x v="1"/>
    <x v="0"/>
    <x v="5"/>
    <n v="81.91"/>
    <n v="2"/>
    <n v="8.1910000000000007"/>
    <n v="172.011"/>
    <x v="19"/>
    <d v="1899-12-30T17:43:00"/>
    <x v="1"/>
    <n v="163.82"/>
    <n v="4.7619047620000003"/>
    <n v="8.1910000000000007"/>
    <n v="7.8"/>
  </r>
  <r>
    <s v="532-59-7201"/>
    <s v="B"/>
    <x v="2"/>
    <x v="0"/>
    <x v="1"/>
    <x v="3"/>
    <n v="79.930000000000007"/>
    <n v="6"/>
    <n v="23.978999999999999"/>
    <n v="503.55900000000003"/>
    <x v="82"/>
    <d v="1899-12-30T14:04:00"/>
    <x v="1"/>
    <n v="479.58"/>
    <n v="4.7619047620000003"/>
    <n v="23.978999999999999"/>
    <n v="5.5"/>
  </r>
  <r>
    <s v="181-94-6432"/>
    <s v="C"/>
    <x v="1"/>
    <x v="0"/>
    <x v="1"/>
    <x v="5"/>
    <n v="69.33"/>
    <n v="2"/>
    <n v="6.9329999999999998"/>
    <n v="145.59299999999999"/>
    <x v="63"/>
    <d v="1899-12-30T19:05:00"/>
    <x v="0"/>
    <n v="138.66"/>
    <n v="4.7619047620000003"/>
    <n v="6.9329999999999998"/>
    <n v="9.6999999999999993"/>
  </r>
  <r>
    <s v="870-76-1733"/>
    <s v="A"/>
    <x v="0"/>
    <x v="0"/>
    <x v="0"/>
    <x v="4"/>
    <n v="14.23"/>
    <n v="5"/>
    <n v="3.5575000000000001"/>
    <n v="74.707499999999996"/>
    <x v="60"/>
    <d v="1899-12-30T10:08:00"/>
    <x v="2"/>
    <n v="71.150000000000006"/>
    <n v="4.7619047620000003"/>
    <n v="3.5575000000000001"/>
    <n v="4.4000000000000004"/>
  </r>
  <r>
    <s v="423-64-4619"/>
    <s v="A"/>
    <x v="0"/>
    <x v="0"/>
    <x v="0"/>
    <x v="0"/>
    <n v="15.55"/>
    <n v="9"/>
    <n v="6.9974999999999996"/>
    <n v="146.94749999999999"/>
    <x v="37"/>
    <d v="1899-12-30T13:12:00"/>
    <x v="1"/>
    <n v="139.94999999999999"/>
    <n v="4.7619047620000003"/>
    <n v="6.9974999999999996"/>
    <n v="5"/>
  </r>
  <r>
    <s v="227-07-4446"/>
    <s v="C"/>
    <x v="1"/>
    <x v="0"/>
    <x v="0"/>
    <x v="1"/>
    <n v="78.13"/>
    <n v="10"/>
    <n v="39.064999999999998"/>
    <n v="820.36500000000001"/>
    <x v="34"/>
    <d v="1899-12-30T20:51:00"/>
    <x v="1"/>
    <n v="781.3"/>
    <n v="4.7619047620000003"/>
    <n v="39.064999999999998"/>
    <n v="4.4000000000000004"/>
  </r>
  <r>
    <s v="174-36-3675"/>
    <s v="C"/>
    <x v="1"/>
    <x v="0"/>
    <x v="1"/>
    <x v="4"/>
    <n v="99.37"/>
    <n v="2"/>
    <n v="9.9369999999999994"/>
    <n v="208.67699999999999"/>
    <x v="44"/>
    <d v="1899-12-30T17:29:00"/>
    <x v="1"/>
    <n v="198.74"/>
    <n v="4.7619047620000003"/>
    <n v="9.9369999999999994"/>
    <n v="5.2"/>
  </r>
  <r>
    <s v="428-83-5800"/>
    <s v="C"/>
    <x v="1"/>
    <x v="0"/>
    <x v="0"/>
    <x v="4"/>
    <n v="21.08"/>
    <n v="3"/>
    <n v="3.1619999999999999"/>
    <n v="66.402000000000001"/>
    <x v="57"/>
    <d v="1899-12-30T10:25:00"/>
    <x v="1"/>
    <n v="63.24"/>
    <n v="4.7619047620000003"/>
    <n v="3.1619999999999999"/>
    <n v="7.3"/>
  </r>
  <r>
    <s v="603-07-0961"/>
    <s v="C"/>
    <x v="1"/>
    <x v="0"/>
    <x v="1"/>
    <x v="1"/>
    <n v="74.790000000000006"/>
    <n v="5"/>
    <n v="18.697500000000002"/>
    <n v="392.64749999999998"/>
    <x v="8"/>
    <d v="1899-12-30T11:34:00"/>
    <x v="1"/>
    <n v="373.95"/>
    <n v="4.7619047620000003"/>
    <n v="18.697500000000002"/>
    <n v="4.9000000000000004"/>
  </r>
  <r>
    <s v="704-20-4138"/>
    <s v="C"/>
    <x v="1"/>
    <x v="0"/>
    <x v="0"/>
    <x v="0"/>
    <n v="29.67"/>
    <n v="7"/>
    <n v="10.384499999999999"/>
    <n v="218.0745"/>
    <x v="16"/>
    <d v="1899-12-30T18:58:00"/>
    <x v="2"/>
    <n v="207.69"/>
    <n v="4.7619047620000003"/>
    <n v="10.384499999999999"/>
    <n v="8.1"/>
  </r>
  <r>
    <s v="787-15-1757"/>
    <s v="C"/>
    <x v="1"/>
    <x v="0"/>
    <x v="1"/>
    <x v="0"/>
    <n v="44.07"/>
    <n v="4"/>
    <n v="8.8140000000000001"/>
    <n v="185.09399999999999"/>
    <x v="67"/>
    <d v="1899-12-30T16:28:00"/>
    <x v="0"/>
    <n v="176.28"/>
    <n v="4.7619047620000003"/>
    <n v="8.8140000000000001"/>
    <n v="8.4"/>
  </r>
  <r>
    <s v="649-11-3678"/>
    <s v="C"/>
    <x v="1"/>
    <x v="1"/>
    <x v="0"/>
    <x v="4"/>
    <n v="22.93"/>
    <n v="9"/>
    <n v="10.3185"/>
    <n v="216.6885"/>
    <x v="84"/>
    <d v="1899-12-30T20:26:00"/>
    <x v="1"/>
    <n v="206.37"/>
    <n v="4.7619047620000003"/>
    <n v="10.3185"/>
    <n v="5.5"/>
  </r>
  <r>
    <s v="622-20-1945"/>
    <s v="C"/>
    <x v="1"/>
    <x v="1"/>
    <x v="0"/>
    <x v="0"/>
    <n v="39.42"/>
    <n v="1"/>
    <n v="1.9710000000000001"/>
    <n v="41.390999999999998"/>
    <x v="68"/>
    <d v="1899-12-30T15:08:00"/>
    <x v="1"/>
    <n v="39.42"/>
    <n v="4.7619047620000003"/>
    <n v="1.9710000000000001"/>
    <n v="8.4"/>
  </r>
  <r>
    <s v="372-94-8041"/>
    <s v="A"/>
    <x v="0"/>
    <x v="1"/>
    <x v="1"/>
    <x v="0"/>
    <n v="15.26"/>
    <n v="6"/>
    <n v="4.5780000000000003"/>
    <n v="96.138000000000005"/>
    <x v="42"/>
    <d v="1899-12-30T18:03:00"/>
    <x v="0"/>
    <n v="91.56"/>
    <n v="4.7619047620000003"/>
    <n v="4.5780000000000003"/>
    <n v="9.8000000000000007"/>
  </r>
  <r>
    <s v="563-91-7120"/>
    <s v="A"/>
    <x v="0"/>
    <x v="1"/>
    <x v="0"/>
    <x v="5"/>
    <n v="61.77"/>
    <n v="5"/>
    <n v="15.442500000000001"/>
    <n v="324.29250000000002"/>
    <x v="1"/>
    <d v="1899-12-30T13:21:00"/>
    <x v="1"/>
    <n v="308.85000000000002"/>
    <n v="4.7619047620000003"/>
    <n v="15.442500000000001"/>
    <n v="6.7"/>
  </r>
  <r>
    <s v="746-54-5508"/>
    <s v="A"/>
    <x v="0"/>
    <x v="1"/>
    <x v="1"/>
    <x v="2"/>
    <n v="21.52"/>
    <n v="6"/>
    <n v="6.4560000000000004"/>
    <n v="135.57599999999999"/>
    <x v="29"/>
    <d v="1899-12-30T12:48:00"/>
    <x v="2"/>
    <n v="129.12"/>
    <n v="4.7619047620000003"/>
    <n v="6.4560000000000004"/>
    <n v="9.4"/>
  </r>
  <r>
    <s v="276-54-0879"/>
    <s v="B"/>
    <x v="2"/>
    <x v="1"/>
    <x v="1"/>
    <x v="3"/>
    <n v="97.74"/>
    <n v="4"/>
    <n v="19.547999999999998"/>
    <n v="410.50799999999998"/>
    <x v="41"/>
    <d v="1899-12-30T19:53:00"/>
    <x v="0"/>
    <n v="390.96"/>
    <n v="4.7619047620000003"/>
    <n v="19.547999999999998"/>
    <n v="6.4"/>
  </r>
  <r>
    <s v="815-11-1168"/>
    <s v="A"/>
    <x v="0"/>
    <x v="0"/>
    <x v="1"/>
    <x v="4"/>
    <n v="99.78"/>
    <n v="5"/>
    <n v="24.945"/>
    <n v="523.84500000000003"/>
    <x v="11"/>
    <d v="1899-12-30T19:09:00"/>
    <x v="1"/>
    <n v="498.9"/>
    <n v="4.7619047620000003"/>
    <n v="24.945"/>
    <n v="5.4"/>
  </r>
  <r>
    <s v="719-76-3868"/>
    <s v="C"/>
    <x v="1"/>
    <x v="0"/>
    <x v="1"/>
    <x v="4"/>
    <n v="94.26"/>
    <n v="4"/>
    <n v="18.852"/>
    <n v="395.892"/>
    <x v="41"/>
    <d v="1899-12-30T16:30:00"/>
    <x v="1"/>
    <n v="377.04"/>
    <n v="4.7619047620000003"/>
    <n v="18.852"/>
    <n v="8.6"/>
  </r>
  <r>
    <s v="730-61-8757"/>
    <s v="B"/>
    <x v="2"/>
    <x v="0"/>
    <x v="1"/>
    <x v="0"/>
    <n v="51.13"/>
    <n v="4"/>
    <n v="10.226000000000001"/>
    <n v="214.74600000000001"/>
    <x v="25"/>
    <d v="1899-12-30T10:11:00"/>
    <x v="2"/>
    <n v="204.52"/>
    <n v="4.7619047620000003"/>
    <n v="10.226000000000001"/>
    <n v="4"/>
  </r>
  <r>
    <s v="340-66-0321"/>
    <s v="A"/>
    <x v="0"/>
    <x v="0"/>
    <x v="1"/>
    <x v="1"/>
    <n v="36.36"/>
    <n v="4"/>
    <n v="7.2720000000000002"/>
    <n v="152.71199999999999"/>
    <x v="5"/>
    <d v="1899-12-30T13:07:00"/>
    <x v="1"/>
    <n v="145.44"/>
    <n v="4.7619047620000003"/>
    <n v="7.2720000000000002"/>
    <n v="7.6"/>
  </r>
  <r>
    <s v="868-81-1752"/>
    <s v="B"/>
    <x v="2"/>
    <x v="1"/>
    <x v="1"/>
    <x v="2"/>
    <n v="22.02"/>
    <n v="9"/>
    <n v="9.9090000000000007"/>
    <n v="208.089"/>
    <x v="13"/>
    <d v="1899-12-30T18:48:00"/>
    <x v="1"/>
    <n v="198.18"/>
    <n v="4.7619047620000003"/>
    <n v="9.9090000000000007"/>
    <n v="6.8"/>
  </r>
  <r>
    <s v="634-97-8956"/>
    <s v="A"/>
    <x v="0"/>
    <x v="1"/>
    <x v="1"/>
    <x v="4"/>
    <n v="32.9"/>
    <n v="3"/>
    <n v="4.9349999999999996"/>
    <n v="103.63500000000001"/>
    <x v="21"/>
    <d v="1899-12-30T17:27:00"/>
    <x v="2"/>
    <n v="98.7"/>
    <n v="4.7619047620000003"/>
    <n v="4.9349999999999996"/>
    <n v="9.1"/>
  </r>
  <r>
    <s v="566-71-1091"/>
    <s v="A"/>
    <x v="0"/>
    <x v="1"/>
    <x v="1"/>
    <x v="5"/>
    <n v="77.02"/>
    <n v="5"/>
    <n v="19.254999999999999"/>
    <n v="404.35500000000002"/>
    <x v="36"/>
    <d v="1899-12-30T15:59:00"/>
    <x v="1"/>
    <n v="385.1"/>
    <n v="4.7619047620000003"/>
    <n v="19.254999999999999"/>
    <n v="5.5"/>
  </r>
  <r>
    <s v="442-48-3607"/>
    <s v="A"/>
    <x v="0"/>
    <x v="0"/>
    <x v="1"/>
    <x v="4"/>
    <n v="23.48"/>
    <n v="2"/>
    <n v="2.3479999999999999"/>
    <n v="49.308"/>
    <x v="86"/>
    <d v="1899-12-30T11:21:00"/>
    <x v="2"/>
    <n v="46.96"/>
    <n v="4.7619047620000003"/>
    <n v="2.3479999999999999"/>
    <n v="7.9"/>
  </r>
  <r>
    <s v="835-16-0096"/>
    <s v="C"/>
    <x v="1"/>
    <x v="0"/>
    <x v="1"/>
    <x v="3"/>
    <n v="14.7"/>
    <n v="5"/>
    <n v="3.6749999999999998"/>
    <n v="77.174999999999997"/>
    <x v="62"/>
    <d v="1899-12-30T13:48:00"/>
    <x v="0"/>
    <n v="73.5"/>
    <n v="4.7619047620000003"/>
    <n v="3.6749999999999998"/>
    <n v="8.5"/>
  </r>
  <r>
    <s v="527-09-6272"/>
    <s v="A"/>
    <x v="0"/>
    <x v="0"/>
    <x v="0"/>
    <x v="1"/>
    <n v="28.45"/>
    <n v="5"/>
    <n v="7.1124999999999998"/>
    <n v="149.36250000000001"/>
    <x v="76"/>
    <d v="1899-12-30T10:17:00"/>
    <x v="2"/>
    <n v="142.25"/>
    <n v="4.7619047620000003"/>
    <n v="7.1124999999999998"/>
    <n v="9.1"/>
  </r>
  <r>
    <s v="898-04-2717"/>
    <s v="A"/>
    <x v="0"/>
    <x v="1"/>
    <x v="1"/>
    <x v="5"/>
    <n v="76.400000000000006"/>
    <n v="9"/>
    <n v="34.380000000000003"/>
    <n v="721.98"/>
    <x v="35"/>
    <d v="1899-12-30T15:49:00"/>
    <x v="0"/>
    <n v="687.6"/>
    <n v="4.7619047620000003"/>
    <n v="34.380000000000003"/>
    <n v="7.5"/>
  </r>
  <r>
    <s v="692-27-8933"/>
    <s v="B"/>
    <x v="2"/>
    <x v="1"/>
    <x v="0"/>
    <x v="3"/>
    <n v="57.95"/>
    <n v="6"/>
    <n v="17.385000000000002"/>
    <n v="365.08499999999998"/>
    <x v="7"/>
    <d v="1899-12-30T13:02:00"/>
    <x v="1"/>
    <n v="347.7"/>
    <n v="4.7619047620000003"/>
    <n v="17.385000000000002"/>
    <n v="5.2"/>
  </r>
  <r>
    <s v="633-09-3463"/>
    <s v="C"/>
    <x v="1"/>
    <x v="1"/>
    <x v="0"/>
    <x v="1"/>
    <n v="47.65"/>
    <n v="3"/>
    <n v="7.1475"/>
    <n v="150.0975"/>
    <x v="61"/>
    <d v="1899-12-30T12:58:00"/>
    <x v="2"/>
    <n v="142.94999999999999"/>
    <n v="4.7619047620000003"/>
    <n v="7.1475"/>
    <n v="9.5"/>
  </r>
  <r>
    <s v="374-17-3652"/>
    <s v="B"/>
    <x v="2"/>
    <x v="0"/>
    <x v="0"/>
    <x v="4"/>
    <n v="42.82"/>
    <n v="9"/>
    <n v="19.268999999999998"/>
    <n v="404.649"/>
    <x v="63"/>
    <d v="1899-12-30T15:26:00"/>
    <x v="2"/>
    <n v="385.38"/>
    <n v="4.7619047620000003"/>
    <n v="19.268999999999998"/>
    <n v="8.9"/>
  </r>
  <r>
    <s v="378-07-7001"/>
    <s v="B"/>
    <x v="2"/>
    <x v="0"/>
    <x v="1"/>
    <x v="1"/>
    <n v="48.09"/>
    <n v="3"/>
    <n v="7.2134999999999998"/>
    <n v="151.48349999999999"/>
    <x v="34"/>
    <d v="1899-12-30T18:23:00"/>
    <x v="2"/>
    <n v="144.27000000000001"/>
    <n v="4.7619047620000003"/>
    <n v="7.2134999999999998"/>
    <n v="7.8"/>
  </r>
  <r>
    <s v="433-75-6987"/>
    <s v="B"/>
    <x v="2"/>
    <x v="0"/>
    <x v="0"/>
    <x v="0"/>
    <n v="55.97"/>
    <n v="7"/>
    <n v="19.589500000000001"/>
    <n v="411.37950000000001"/>
    <x v="19"/>
    <d v="1899-12-30T19:06:00"/>
    <x v="0"/>
    <n v="391.79"/>
    <n v="4.7619047620000003"/>
    <n v="19.589500000000001"/>
    <n v="8.9"/>
  </r>
  <r>
    <s v="873-95-4984"/>
    <s v="B"/>
    <x v="2"/>
    <x v="0"/>
    <x v="0"/>
    <x v="0"/>
    <n v="76.900000000000006"/>
    <n v="7"/>
    <n v="26.914999999999999"/>
    <n v="565.21500000000003"/>
    <x v="42"/>
    <d v="1899-12-30T20:21:00"/>
    <x v="1"/>
    <n v="538.29999999999995"/>
    <n v="4.7619047620000003"/>
    <n v="26.914999999999999"/>
    <n v="7.7"/>
  </r>
  <r>
    <s v="416-13-5917"/>
    <s v="C"/>
    <x v="1"/>
    <x v="1"/>
    <x v="0"/>
    <x v="4"/>
    <n v="97.03"/>
    <n v="5"/>
    <n v="24.2575"/>
    <n v="509.40750000000003"/>
    <x v="74"/>
    <d v="1899-12-30T16:24:00"/>
    <x v="0"/>
    <n v="485.15"/>
    <n v="4.7619047620000003"/>
    <n v="24.2575"/>
    <n v="9.3000000000000007"/>
  </r>
  <r>
    <s v="150-89-8043"/>
    <s v="A"/>
    <x v="0"/>
    <x v="1"/>
    <x v="1"/>
    <x v="3"/>
    <n v="44.65"/>
    <n v="3"/>
    <n v="6.6974999999999998"/>
    <n v="140.64750000000001"/>
    <x v="44"/>
    <d v="1899-12-30T15:04:00"/>
    <x v="1"/>
    <n v="133.94999999999999"/>
    <n v="4.7619047620000003"/>
    <n v="6.6974999999999998"/>
    <n v="6.2"/>
  </r>
  <r>
    <s v="135-84-8019"/>
    <s v="A"/>
    <x v="0"/>
    <x v="1"/>
    <x v="0"/>
    <x v="5"/>
    <n v="77.930000000000007"/>
    <n v="9"/>
    <n v="35.0685"/>
    <n v="736.43849999999998"/>
    <x v="33"/>
    <d v="1899-12-30T16:10:00"/>
    <x v="0"/>
    <n v="701.37"/>
    <n v="4.7619047620000003"/>
    <n v="35.0685"/>
    <n v="7.6"/>
  </r>
  <r>
    <s v="441-94-7118"/>
    <s v="A"/>
    <x v="0"/>
    <x v="0"/>
    <x v="1"/>
    <x v="1"/>
    <n v="71.95"/>
    <n v="1"/>
    <n v="3.5975000000000001"/>
    <n v="75.547499999999999"/>
    <x v="87"/>
    <d v="1899-12-30T12:14:00"/>
    <x v="1"/>
    <n v="71.95"/>
    <n v="4.7619047620000003"/>
    <n v="3.5975000000000001"/>
    <n v="7.3"/>
  </r>
  <r>
    <s v="725-96-3778"/>
    <s v="C"/>
    <x v="1"/>
    <x v="0"/>
    <x v="0"/>
    <x v="2"/>
    <n v="89.25"/>
    <n v="8"/>
    <n v="35.700000000000003"/>
    <n v="749.7"/>
    <x v="40"/>
    <d v="1899-12-30T10:13:00"/>
    <x v="1"/>
    <n v="714"/>
    <n v="4.7619047620000003"/>
    <n v="35.700000000000003"/>
    <n v="4.7"/>
  </r>
  <r>
    <s v="531-80-1784"/>
    <s v="A"/>
    <x v="0"/>
    <x v="1"/>
    <x v="1"/>
    <x v="1"/>
    <n v="26.02"/>
    <n v="7"/>
    <n v="9.1069999999999993"/>
    <n v="191.24700000000001"/>
    <x v="61"/>
    <d v="1899-12-30T17:38:00"/>
    <x v="1"/>
    <n v="182.14"/>
    <n v="4.7619047620000003"/>
    <n v="9.1069999999999993"/>
    <n v="5.0999999999999996"/>
  </r>
  <r>
    <s v="400-45-1220"/>
    <s v="B"/>
    <x v="2"/>
    <x v="1"/>
    <x v="0"/>
    <x v="0"/>
    <n v="13.5"/>
    <n v="10"/>
    <n v="6.75"/>
    <n v="141.75"/>
    <x v="33"/>
    <d v="1899-12-30T11:06:00"/>
    <x v="2"/>
    <n v="135"/>
    <n v="4.7619047620000003"/>
    <n v="6.75"/>
    <n v="4.8"/>
  </r>
  <r>
    <s v="860-79-0874"/>
    <s v="C"/>
    <x v="1"/>
    <x v="0"/>
    <x v="0"/>
    <x v="5"/>
    <n v="99.3"/>
    <n v="10"/>
    <n v="49.65"/>
    <n v="1042.6500000000001"/>
    <x v="42"/>
    <d v="1899-12-30T14:53:00"/>
    <x v="2"/>
    <n v="993"/>
    <n v="4.7619047620000003"/>
    <n v="49.65"/>
    <n v="6.6"/>
  </r>
  <r>
    <s v="834-61-8124"/>
    <s v="A"/>
    <x v="0"/>
    <x v="1"/>
    <x v="1"/>
    <x v="1"/>
    <n v="51.69"/>
    <n v="7"/>
    <n v="18.0915"/>
    <n v="379.92149999999998"/>
    <x v="53"/>
    <d v="1899-12-30T18:22:00"/>
    <x v="1"/>
    <n v="361.83"/>
    <n v="4.7619047620000003"/>
    <n v="18.0915"/>
    <n v="5.5"/>
  </r>
  <r>
    <s v="115-99-4379"/>
    <s v="B"/>
    <x v="2"/>
    <x v="0"/>
    <x v="0"/>
    <x v="5"/>
    <n v="54.73"/>
    <n v="7"/>
    <n v="19.1555"/>
    <n v="402.26549999999997"/>
    <x v="86"/>
    <d v="1899-12-30T19:02:00"/>
    <x v="2"/>
    <n v="383.11"/>
    <n v="4.7619047620000003"/>
    <n v="19.1555"/>
    <n v="8.5"/>
  </r>
  <r>
    <s v="565-67-6697"/>
    <s v="B"/>
    <x v="2"/>
    <x v="0"/>
    <x v="1"/>
    <x v="2"/>
    <n v="27"/>
    <n v="9"/>
    <n v="12.15"/>
    <n v="255.15"/>
    <x v="22"/>
    <d v="1899-12-30T14:16:00"/>
    <x v="1"/>
    <n v="243"/>
    <n v="4.7619047620000003"/>
    <n v="12.15"/>
    <n v="4.8"/>
  </r>
  <r>
    <s v="320-49-6392"/>
    <s v="C"/>
    <x v="1"/>
    <x v="1"/>
    <x v="0"/>
    <x v="1"/>
    <n v="30.24"/>
    <n v="1"/>
    <n v="1.512"/>
    <n v="31.751999999999999"/>
    <x v="31"/>
    <d v="1899-12-30T15:44:00"/>
    <x v="1"/>
    <n v="30.24"/>
    <n v="4.7619047620000003"/>
    <n v="1.512"/>
    <n v="8.4"/>
  </r>
  <r>
    <s v="889-04-9723"/>
    <s v="B"/>
    <x v="2"/>
    <x v="0"/>
    <x v="0"/>
    <x v="4"/>
    <n v="89.14"/>
    <n v="4"/>
    <n v="17.827999999999999"/>
    <n v="374.38799999999998"/>
    <x v="27"/>
    <d v="1899-12-30T12:20:00"/>
    <x v="2"/>
    <n v="356.56"/>
    <n v="4.7619047620000003"/>
    <n v="17.827999999999999"/>
    <n v="7.8"/>
  </r>
  <r>
    <s v="632-90-0281"/>
    <s v="C"/>
    <x v="1"/>
    <x v="1"/>
    <x v="0"/>
    <x v="5"/>
    <n v="37.549999999999997"/>
    <n v="10"/>
    <n v="18.774999999999999"/>
    <n v="394.27499999999998"/>
    <x v="1"/>
    <d v="1899-12-30T20:01:00"/>
    <x v="2"/>
    <n v="375.5"/>
    <n v="4.7619047620000003"/>
    <n v="18.774999999999999"/>
    <n v="9.3000000000000007"/>
  </r>
  <r>
    <s v="554-42-2417"/>
    <s v="C"/>
    <x v="1"/>
    <x v="1"/>
    <x v="0"/>
    <x v="3"/>
    <n v="95.44"/>
    <n v="10"/>
    <n v="47.72"/>
    <n v="1002.12"/>
    <x v="51"/>
    <d v="1899-12-30T13:45:00"/>
    <x v="1"/>
    <n v="954.4"/>
    <n v="4.7619047620000003"/>
    <n v="47.72"/>
    <n v="5.2"/>
  </r>
  <r>
    <s v="453-63-6187"/>
    <s v="B"/>
    <x v="2"/>
    <x v="1"/>
    <x v="1"/>
    <x v="1"/>
    <n v="27.5"/>
    <n v="3"/>
    <n v="4.125"/>
    <n v="86.625"/>
    <x v="59"/>
    <d v="1899-12-30T15:40:00"/>
    <x v="0"/>
    <n v="82.5"/>
    <n v="4.7619047620000003"/>
    <n v="4.125"/>
    <n v="6.5"/>
  </r>
  <r>
    <s v="578-80-7669"/>
    <s v="B"/>
    <x v="2"/>
    <x v="1"/>
    <x v="1"/>
    <x v="3"/>
    <n v="74.97"/>
    <n v="1"/>
    <n v="3.7484999999999999"/>
    <n v="78.718500000000006"/>
    <x v="32"/>
    <d v="1899-12-30T16:58:00"/>
    <x v="1"/>
    <n v="74.97"/>
    <n v="4.7619047620000003"/>
    <n v="3.7484999999999999"/>
    <n v="5.6"/>
  </r>
  <r>
    <s v="612-36-5536"/>
    <s v="A"/>
    <x v="0"/>
    <x v="0"/>
    <x v="1"/>
    <x v="4"/>
    <n v="80.959999999999994"/>
    <n v="8"/>
    <n v="32.384"/>
    <n v="680.06399999999996"/>
    <x v="21"/>
    <d v="1899-12-30T11:12:00"/>
    <x v="2"/>
    <n v="647.67999999999995"/>
    <n v="4.7619047620000003"/>
    <n v="32.384"/>
    <n v="7.4"/>
  </r>
  <r>
    <s v="605-72-4132"/>
    <s v="C"/>
    <x v="1"/>
    <x v="1"/>
    <x v="0"/>
    <x v="4"/>
    <n v="94.47"/>
    <n v="8"/>
    <n v="37.787999999999997"/>
    <n v="793.548"/>
    <x v="33"/>
    <d v="1899-12-30T15:12:00"/>
    <x v="1"/>
    <n v="755.76"/>
    <n v="4.7619047620000003"/>
    <n v="37.787999999999997"/>
    <n v="9.1"/>
  </r>
  <r>
    <s v="471-41-2823"/>
    <s v="C"/>
    <x v="1"/>
    <x v="1"/>
    <x v="1"/>
    <x v="4"/>
    <n v="99.79"/>
    <n v="2"/>
    <n v="9.9789999999999992"/>
    <n v="209.559"/>
    <x v="37"/>
    <d v="1899-12-30T20:37:00"/>
    <x v="0"/>
    <n v="199.58"/>
    <n v="4.7619047620000003"/>
    <n v="9.9789999999999992"/>
    <n v="8"/>
  </r>
  <r>
    <s v="462-67-9126"/>
    <s v="A"/>
    <x v="0"/>
    <x v="1"/>
    <x v="1"/>
    <x v="2"/>
    <n v="73.22"/>
    <n v="6"/>
    <n v="21.966000000000001"/>
    <n v="461.286"/>
    <x v="18"/>
    <d v="1899-12-30T17:44:00"/>
    <x v="1"/>
    <n v="439.32"/>
    <n v="4.7619047620000003"/>
    <n v="21.966000000000001"/>
    <n v="7.2"/>
  </r>
  <r>
    <s v="272-27-9238"/>
    <s v="C"/>
    <x v="1"/>
    <x v="1"/>
    <x v="0"/>
    <x v="4"/>
    <n v="41.24"/>
    <n v="4"/>
    <n v="8.2479999999999993"/>
    <n v="173.208"/>
    <x v="88"/>
    <d v="1899-12-30T16:23:00"/>
    <x v="1"/>
    <n v="164.96"/>
    <n v="4.7619047620000003"/>
    <n v="8.2479999999999993"/>
    <n v="7.1"/>
  </r>
  <r>
    <s v="834-25-9262"/>
    <s v="C"/>
    <x v="1"/>
    <x v="1"/>
    <x v="0"/>
    <x v="5"/>
    <n v="81.680000000000007"/>
    <n v="4"/>
    <n v="16.335999999999999"/>
    <n v="343.05599999999998"/>
    <x v="47"/>
    <d v="1899-12-30T12:12:00"/>
    <x v="1"/>
    <n v="326.72000000000003"/>
    <n v="4.7619047620000003"/>
    <n v="16.335999999999999"/>
    <n v="9.1"/>
  </r>
  <r>
    <s v="122-61-9553"/>
    <s v="C"/>
    <x v="1"/>
    <x v="1"/>
    <x v="0"/>
    <x v="1"/>
    <n v="51.32"/>
    <n v="9"/>
    <n v="23.094000000000001"/>
    <n v="484.97399999999999"/>
    <x v="86"/>
    <d v="1899-12-30T19:33:00"/>
    <x v="1"/>
    <n v="461.88"/>
    <n v="4.7619047620000003"/>
    <n v="23.094000000000001"/>
    <n v="5.6"/>
  </r>
  <r>
    <s v="468-88-0009"/>
    <s v="A"/>
    <x v="0"/>
    <x v="0"/>
    <x v="1"/>
    <x v="2"/>
    <n v="65.94"/>
    <n v="4"/>
    <n v="13.188000000000001"/>
    <n v="276.94799999999998"/>
    <x v="62"/>
    <d v="1899-12-30T10:29:00"/>
    <x v="1"/>
    <n v="263.76"/>
    <n v="4.7619047620000003"/>
    <n v="13.188000000000001"/>
    <n v="6"/>
  </r>
  <r>
    <s v="613-59-9758"/>
    <s v="C"/>
    <x v="1"/>
    <x v="1"/>
    <x v="0"/>
    <x v="3"/>
    <n v="14.36"/>
    <n v="10"/>
    <n v="7.18"/>
    <n v="150.78"/>
    <x v="3"/>
    <d v="1899-12-30T14:28:00"/>
    <x v="1"/>
    <n v="143.6"/>
    <n v="4.7619047620000003"/>
    <n v="7.18"/>
    <n v="5.4"/>
  </r>
  <r>
    <s v="254-31-0042"/>
    <s v="A"/>
    <x v="0"/>
    <x v="0"/>
    <x v="1"/>
    <x v="1"/>
    <n v="21.5"/>
    <n v="9"/>
    <n v="9.6750000000000007"/>
    <n v="203.17500000000001"/>
    <x v="43"/>
    <d v="1899-12-30T12:46:00"/>
    <x v="2"/>
    <n v="193.5"/>
    <n v="4.7619047620000003"/>
    <n v="9.6750000000000007"/>
    <n v="7.8"/>
  </r>
  <r>
    <s v="201-86-2184"/>
    <s v="B"/>
    <x v="2"/>
    <x v="0"/>
    <x v="0"/>
    <x v="1"/>
    <n v="26.26"/>
    <n v="7"/>
    <n v="9.1910000000000007"/>
    <n v="193.011"/>
    <x v="30"/>
    <d v="1899-12-30T19:40:00"/>
    <x v="1"/>
    <n v="183.82"/>
    <n v="4.7619047620000003"/>
    <n v="9.1910000000000007"/>
    <n v="9.9"/>
  </r>
  <r>
    <s v="261-12-8671"/>
    <s v="B"/>
    <x v="2"/>
    <x v="1"/>
    <x v="0"/>
    <x v="5"/>
    <n v="60.96"/>
    <n v="2"/>
    <n v="6.0960000000000001"/>
    <n v="128.01599999999999"/>
    <x v="25"/>
    <d v="1899-12-30T19:39:00"/>
    <x v="2"/>
    <n v="121.92"/>
    <n v="4.7619047620000003"/>
    <n v="6.0960000000000001"/>
    <n v="4.9000000000000004"/>
  </r>
  <r>
    <s v="730-70-9830"/>
    <s v="C"/>
    <x v="1"/>
    <x v="1"/>
    <x v="0"/>
    <x v="2"/>
    <n v="70.11"/>
    <n v="6"/>
    <n v="21.033000000000001"/>
    <n v="441.69299999999998"/>
    <x v="86"/>
    <d v="1899-12-30T17:54:00"/>
    <x v="0"/>
    <n v="420.66"/>
    <n v="4.7619047620000003"/>
    <n v="21.033000000000001"/>
    <n v="5.2"/>
  </r>
  <r>
    <s v="382-25-8917"/>
    <s v="C"/>
    <x v="1"/>
    <x v="1"/>
    <x v="1"/>
    <x v="5"/>
    <n v="42.08"/>
    <n v="6"/>
    <n v="12.624000000000001"/>
    <n v="265.10399999999998"/>
    <x v="71"/>
    <d v="1899-12-30T12:25:00"/>
    <x v="1"/>
    <n v="252.48"/>
    <n v="4.7619047620000003"/>
    <n v="12.624000000000001"/>
    <n v="8.9"/>
  </r>
  <r>
    <s v="422-29-8786"/>
    <s v="A"/>
    <x v="0"/>
    <x v="1"/>
    <x v="0"/>
    <x v="2"/>
    <n v="67.09"/>
    <n v="5"/>
    <n v="16.772500000000001"/>
    <n v="352.22250000000003"/>
    <x v="75"/>
    <d v="1899-12-30T16:47:00"/>
    <x v="2"/>
    <n v="335.45"/>
    <n v="4.7619047620000003"/>
    <n v="16.772500000000001"/>
    <n v="9.1"/>
  </r>
  <r>
    <s v="667-23-5919"/>
    <s v="A"/>
    <x v="0"/>
    <x v="0"/>
    <x v="0"/>
    <x v="5"/>
    <n v="96.7"/>
    <n v="5"/>
    <n v="24.175000000000001"/>
    <n v="507.67500000000001"/>
    <x v="78"/>
    <d v="1899-12-30T12:52:00"/>
    <x v="0"/>
    <n v="483.5"/>
    <n v="4.7619047620000003"/>
    <n v="24.175000000000001"/>
    <n v="7"/>
  </r>
  <r>
    <s v="843-01-4703"/>
    <s v="B"/>
    <x v="2"/>
    <x v="0"/>
    <x v="0"/>
    <x v="2"/>
    <n v="35.380000000000003"/>
    <n v="9"/>
    <n v="15.920999999999999"/>
    <n v="334.34100000000001"/>
    <x v="0"/>
    <d v="1899-12-30T19:50:00"/>
    <x v="2"/>
    <n v="318.42"/>
    <n v="4.7619047620000003"/>
    <n v="15.920999999999999"/>
    <n v="9.6"/>
  </r>
  <r>
    <s v="743-88-1662"/>
    <s v="C"/>
    <x v="1"/>
    <x v="1"/>
    <x v="1"/>
    <x v="3"/>
    <n v="95.49"/>
    <n v="7"/>
    <n v="33.421500000000002"/>
    <n v="701.85149999999999"/>
    <x v="70"/>
    <d v="1899-12-30T18:17:00"/>
    <x v="0"/>
    <n v="668.43"/>
    <n v="4.7619047620000003"/>
    <n v="33.421500000000002"/>
    <n v="8.6999999999999993"/>
  </r>
  <r>
    <s v="595-86-2894"/>
    <s v="C"/>
    <x v="1"/>
    <x v="0"/>
    <x v="1"/>
    <x v="5"/>
    <n v="96.98"/>
    <n v="4"/>
    <n v="19.396000000000001"/>
    <n v="407.31599999999997"/>
    <x v="10"/>
    <d v="1899-12-30T17:20:00"/>
    <x v="0"/>
    <n v="387.92"/>
    <n v="4.7619047620000003"/>
    <n v="19.396000000000001"/>
    <n v="9.4"/>
  </r>
  <r>
    <s v="182-69-8360"/>
    <s v="B"/>
    <x v="2"/>
    <x v="1"/>
    <x v="0"/>
    <x v="1"/>
    <n v="23.65"/>
    <n v="4"/>
    <n v="4.7300000000000004"/>
    <n v="99.33"/>
    <x v="74"/>
    <d v="1899-12-30T13:32:00"/>
    <x v="2"/>
    <n v="94.6"/>
    <n v="4.7619047620000003"/>
    <n v="4.7300000000000004"/>
    <n v="4"/>
  </r>
  <r>
    <s v="289-15-7034"/>
    <s v="A"/>
    <x v="0"/>
    <x v="0"/>
    <x v="1"/>
    <x v="3"/>
    <n v="82.33"/>
    <n v="4"/>
    <n v="16.466000000000001"/>
    <n v="345.786"/>
    <x v="83"/>
    <d v="1899-12-30T10:37:00"/>
    <x v="2"/>
    <n v="329.32"/>
    <n v="4.7619047620000003"/>
    <n v="16.466000000000001"/>
    <n v="7.5"/>
  </r>
  <r>
    <s v="462-78-5240"/>
    <s v="C"/>
    <x v="1"/>
    <x v="1"/>
    <x v="0"/>
    <x v="1"/>
    <n v="26.61"/>
    <n v="2"/>
    <n v="2.661"/>
    <n v="55.881"/>
    <x v="35"/>
    <d v="1899-12-30T14:35:00"/>
    <x v="1"/>
    <n v="53.22"/>
    <n v="4.7619047620000003"/>
    <n v="2.661"/>
    <n v="4.2"/>
  </r>
  <r>
    <s v="868-52-7573"/>
    <s v="B"/>
    <x v="2"/>
    <x v="1"/>
    <x v="0"/>
    <x v="4"/>
    <n v="99.69"/>
    <n v="5"/>
    <n v="24.922499999999999"/>
    <n v="523.37249999999995"/>
    <x v="78"/>
    <d v="1899-12-30T12:09:00"/>
    <x v="1"/>
    <n v="498.45"/>
    <n v="4.7619047620000003"/>
    <n v="24.922499999999999"/>
    <n v="9.9"/>
  </r>
  <r>
    <s v="153-58-4872"/>
    <s v="C"/>
    <x v="1"/>
    <x v="0"/>
    <x v="0"/>
    <x v="4"/>
    <n v="74.89"/>
    <n v="4"/>
    <n v="14.978"/>
    <n v="314.53800000000001"/>
    <x v="59"/>
    <d v="1899-12-30T15:32:00"/>
    <x v="0"/>
    <n v="299.56"/>
    <n v="4.7619047620000003"/>
    <n v="14.978"/>
    <n v="4.2"/>
  </r>
  <r>
    <s v="662-72-2873"/>
    <s v="A"/>
    <x v="0"/>
    <x v="1"/>
    <x v="0"/>
    <x v="4"/>
    <n v="40.94"/>
    <n v="5"/>
    <n v="10.234999999999999"/>
    <n v="214.935"/>
    <x v="47"/>
    <d v="1899-12-30T13:58:00"/>
    <x v="0"/>
    <n v="204.7"/>
    <n v="4.7619047620000003"/>
    <n v="10.234999999999999"/>
    <n v="9.9"/>
  </r>
  <r>
    <s v="525-88-7307"/>
    <s v="B"/>
    <x v="2"/>
    <x v="0"/>
    <x v="1"/>
    <x v="3"/>
    <n v="75.819999999999993"/>
    <n v="1"/>
    <n v="3.7909999999999999"/>
    <n v="79.611000000000004"/>
    <x v="82"/>
    <d v="1899-12-30T13:19:00"/>
    <x v="1"/>
    <n v="75.819999999999993"/>
    <n v="4.7619047620000003"/>
    <n v="3.7909999999999999"/>
    <n v="5.8"/>
  </r>
  <r>
    <s v="689-16-9784"/>
    <s v="C"/>
    <x v="1"/>
    <x v="1"/>
    <x v="1"/>
    <x v="4"/>
    <n v="46.77"/>
    <n v="6"/>
    <n v="14.031000000000001"/>
    <n v="294.65100000000001"/>
    <x v="16"/>
    <d v="1899-12-30T13:37:00"/>
    <x v="1"/>
    <n v="280.62"/>
    <n v="4.7619047620000003"/>
    <n v="14.031000000000001"/>
    <n v="6"/>
  </r>
  <r>
    <s v="725-56-0833"/>
    <s v="A"/>
    <x v="0"/>
    <x v="1"/>
    <x v="0"/>
    <x v="0"/>
    <n v="32.32"/>
    <n v="10"/>
    <n v="16.16"/>
    <n v="339.36"/>
    <x v="9"/>
    <d v="1899-12-30T16:49:00"/>
    <x v="2"/>
    <n v="323.2"/>
    <n v="4.7619047620000003"/>
    <n v="16.16"/>
    <n v="10"/>
  </r>
  <r>
    <s v="394-41-0748"/>
    <s v="C"/>
    <x v="1"/>
    <x v="0"/>
    <x v="0"/>
    <x v="5"/>
    <n v="54.07"/>
    <n v="9"/>
    <n v="24.331499999999998"/>
    <n v="510.9615"/>
    <x v="3"/>
    <d v="1899-12-30T14:55:00"/>
    <x v="0"/>
    <n v="486.63"/>
    <n v="4.7619047620000003"/>
    <n v="24.331499999999998"/>
    <n v="9.5"/>
  </r>
  <r>
    <s v="596-42-3999"/>
    <s v="B"/>
    <x v="2"/>
    <x v="1"/>
    <x v="1"/>
    <x v="4"/>
    <n v="18.22"/>
    <n v="7"/>
    <n v="6.3769999999999998"/>
    <n v="133.917"/>
    <x v="24"/>
    <d v="1899-12-30T14:04:00"/>
    <x v="2"/>
    <n v="127.54"/>
    <n v="4.7619047620000003"/>
    <n v="6.3769999999999998"/>
    <n v="6.6"/>
  </r>
  <r>
    <s v="541-89-9860"/>
    <s v="C"/>
    <x v="1"/>
    <x v="0"/>
    <x v="0"/>
    <x v="5"/>
    <n v="80.48"/>
    <n v="3"/>
    <n v="12.071999999999999"/>
    <n v="253.512"/>
    <x v="42"/>
    <d v="1899-12-30T12:31:00"/>
    <x v="1"/>
    <n v="241.44"/>
    <n v="4.7619047620000003"/>
    <n v="12.071999999999999"/>
    <n v="8.1"/>
  </r>
  <r>
    <s v="173-82-9529"/>
    <s v="B"/>
    <x v="2"/>
    <x v="1"/>
    <x v="0"/>
    <x v="5"/>
    <n v="37.950000000000003"/>
    <n v="10"/>
    <n v="18.975000000000001"/>
    <n v="398.47500000000002"/>
    <x v="53"/>
    <d v="1899-12-30T14:51:00"/>
    <x v="1"/>
    <n v="379.5"/>
    <n v="4.7619047620000003"/>
    <n v="18.975000000000001"/>
    <n v="9.6999999999999993"/>
  </r>
  <r>
    <s v="563-36-9814"/>
    <s v="A"/>
    <x v="0"/>
    <x v="0"/>
    <x v="1"/>
    <x v="1"/>
    <n v="76.819999999999993"/>
    <n v="1"/>
    <n v="3.8410000000000002"/>
    <n v="80.661000000000001"/>
    <x v="77"/>
    <d v="1899-12-30T18:27:00"/>
    <x v="0"/>
    <n v="76.819999999999993"/>
    <n v="4.7619047620000003"/>
    <n v="3.8410000000000002"/>
    <n v="7.2"/>
  </r>
  <r>
    <s v="308-47-4913"/>
    <s v="A"/>
    <x v="0"/>
    <x v="0"/>
    <x v="0"/>
    <x v="3"/>
    <n v="52.26"/>
    <n v="10"/>
    <n v="26.13"/>
    <n v="548.73"/>
    <x v="11"/>
    <d v="1899-12-30T12:45:00"/>
    <x v="2"/>
    <n v="522.6"/>
    <n v="4.7619047620000003"/>
    <n v="26.13"/>
    <n v="6.2"/>
  </r>
  <r>
    <s v="885-17-6250"/>
    <s v="A"/>
    <x v="0"/>
    <x v="1"/>
    <x v="0"/>
    <x v="0"/>
    <n v="79.739999999999995"/>
    <n v="1"/>
    <n v="3.9870000000000001"/>
    <n v="83.727000000000004"/>
    <x v="43"/>
    <d v="1899-12-30T10:36:00"/>
    <x v="0"/>
    <n v="79.739999999999995"/>
    <n v="4.7619047620000003"/>
    <n v="3.9870000000000001"/>
    <n v="7.3"/>
  </r>
  <r>
    <s v="726-27-2396"/>
    <s v="A"/>
    <x v="0"/>
    <x v="1"/>
    <x v="0"/>
    <x v="0"/>
    <n v="77.5"/>
    <n v="5"/>
    <n v="19.375"/>
    <n v="406.875"/>
    <x v="46"/>
    <d v="1899-12-30T20:36:00"/>
    <x v="0"/>
    <n v="387.5"/>
    <n v="4.7619047620000003"/>
    <n v="19.375"/>
    <n v="4.3"/>
  </r>
  <r>
    <s v="316-01-3952"/>
    <s v="A"/>
    <x v="0"/>
    <x v="1"/>
    <x v="0"/>
    <x v="4"/>
    <n v="54.27"/>
    <n v="5"/>
    <n v="13.567500000000001"/>
    <n v="284.91750000000002"/>
    <x v="45"/>
    <d v="1899-12-30T14:16:00"/>
    <x v="0"/>
    <n v="271.35000000000002"/>
    <n v="4.7619047620000003"/>
    <n v="13.567500000000001"/>
    <n v="4.5999999999999996"/>
  </r>
  <r>
    <s v="760-54-1821"/>
    <s v="B"/>
    <x v="2"/>
    <x v="1"/>
    <x v="1"/>
    <x v="2"/>
    <n v="13.59"/>
    <n v="9"/>
    <n v="6.1154999999999999"/>
    <n v="128.4255"/>
    <x v="20"/>
    <d v="1899-12-30T10:26:00"/>
    <x v="1"/>
    <n v="122.31"/>
    <n v="4.7619047620000003"/>
    <n v="6.1154999999999999"/>
    <n v="5.8"/>
  </r>
  <r>
    <s v="793-10-3222"/>
    <s v="B"/>
    <x v="2"/>
    <x v="0"/>
    <x v="0"/>
    <x v="0"/>
    <n v="41.06"/>
    <n v="6"/>
    <n v="12.318"/>
    <n v="258.678"/>
    <x v="19"/>
    <d v="1899-12-30T13:30:00"/>
    <x v="2"/>
    <n v="246.36"/>
    <n v="4.7619047620000003"/>
    <n v="12.318"/>
    <n v="8.3000000000000007"/>
  </r>
  <r>
    <s v="346-12-3257"/>
    <s v="B"/>
    <x v="2"/>
    <x v="0"/>
    <x v="1"/>
    <x v="1"/>
    <n v="19.239999999999998"/>
    <n v="9"/>
    <n v="8.6579999999999995"/>
    <n v="181.81800000000001"/>
    <x v="31"/>
    <d v="1899-12-30T16:28:00"/>
    <x v="1"/>
    <n v="173.16"/>
    <n v="4.7619047620000003"/>
    <n v="8.6579999999999995"/>
    <n v="8"/>
  </r>
  <r>
    <s v="110-05-6330"/>
    <s v="C"/>
    <x v="1"/>
    <x v="1"/>
    <x v="0"/>
    <x v="4"/>
    <n v="39.43"/>
    <n v="6"/>
    <n v="11.829000000000001"/>
    <n v="248.40899999999999"/>
    <x v="5"/>
    <d v="1899-12-30T20:18:00"/>
    <x v="2"/>
    <n v="236.58"/>
    <n v="4.7619047620000003"/>
    <n v="11.829000000000001"/>
    <n v="9.4"/>
  </r>
  <r>
    <s v="651-61-0874"/>
    <s v="C"/>
    <x v="1"/>
    <x v="1"/>
    <x v="1"/>
    <x v="2"/>
    <n v="46.22"/>
    <n v="4"/>
    <n v="9.2439999999999998"/>
    <n v="194.124"/>
    <x v="41"/>
    <d v="1899-12-30T20:04:00"/>
    <x v="2"/>
    <n v="184.88"/>
    <n v="4.7619047620000003"/>
    <n v="9.2439999999999998"/>
    <n v="6.2"/>
  </r>
  <r>
    <s v="236-86-3015"/>
    <s v="C"/>
    <x v="1"/>
    <x v="0"/>
    <x v="1"/>
    <x v="2"/>
    <n v="13.98"/>
    <n v="1"/>
    <n v="0.69899999999999995"/>
    <n v="14.679"/>
    <x v="87"/>
    <d v="1899-12-30T13:38:00"/>
    <x v="0"/>
    <n v="13.98"/>
    <n v="4.7619047620000003"/>
    <n v="0.69899999999999995"/>
    <n v="9.8000000000000007"/>
  </r>
  <r>
    <s v="831-64-0259"/>
    <s v="B"/>
    <x v="2"/>
    <x v="1"/>
    <x v="0"/>
    <x v="5"/>
    <n v="39.75"/>
    <n v="5"/>
    <n v="9.9375"/>
    <n v="208.6875"/>
    <x v="70"/>
    <d v="1899-12-30T10:43:00"/>
    <x v="0"/>
    <n v="198.75"/>
    <n v="4.7619047620000003"/>
    <n v="9.9375"/>
    <n v="9.6"/>
  </r>
  <r>
    <s v="587-03-7455"/>
    <s v="C"/>
    <x v="1"/>
    <x v="0"/>
    <x v="0"/>
    <x v="5"/>
    <n v="97.79"/>
    <n v="7"/>
    <n v="34.226500000000001"/>
    <n v="718.75649999999996"/>
    <x v="69"/>
    <d v="1899-12-30T17:30:00"/>
    <x v="0"/>
    <n v="684.53"/>
    <n v="4.7619047620000003"/>
    <n v="34.226500000000001"/>
    <n v="4.9000000000000004"/>
  </r>
  <r>
    <s v="882-40-4577"/>
    <s v="A"/>
    <x v="0"/>
    <x v="0"/>
    <x v="1"/>
    <x v="3"/>
    <n v="67.260000000000005"/>
    <n v="4"/>
    <n v="13.452"/>
    <n v="282.49200000000002"/>
    <x v="64"/>
    <d v="1899-12-30T15:28:00"/>
    <x v="2"/>
    <n v="269.04000000000002"/>
    <n v="4.7619047620000003"/>
    <n v="13.452"/>
    <n v="8"/>
  </r>
  <r>
    <s v="732-67-5346"/>
    <s v="A"/>
    <x v="0"/>
    <x v="1"/>
    <x v="1"/>
    <x v="4"/>
    <n v="13.79"/>
    <n v="5"/>
    <n v="3.4474999999999998"/>
    <n v="72.397499999999994"/>
    <x v="83"/>
    <d v="1899-12-30T19:07:00"/>
    <x v="2"/>
    <n v="68.95"/>
    <n v="4.7619047620000003"/>
    <n v="3.4474999999999998"/>
    <n v="7.8"/>
  </r>
  <r>
    <s v="725-32-9708"/>
    <s v="B"/>
    <x v="2"/>
    <x v="0"/>
    <x v="0"/>
    <x v="5"/>
    <n v="68.709999999999994"/>
    <n v="4"/>
    <n v="13.742000000000001"/>
    <n v="288.58199999999999"/>
    <x v="72"/>
    <d v="1899-12-30T19:01:00"/>
    <x v="1"/>
    <n v="274.83999999999997"/>
    <n v="4.7619047620000003"/>
    <n v="13.742000000000001"/>
    <n v="4.0999999999999996"/>
  </r>
  <r>
    <s v="256-08-8343"/>
    <s v="A"/>
    <x v="0"/>
    <x v="1"/>
    <x v="0"/>
    <x v="2"/>
    <n v="56.53"/>
    <n v="4"/>
    <n v="11.305999999999999"/>
    <n v="237.42599999999999"/>
    <x v="31"/>
    <d v="1899-12-30T19:48:00"/>
    <x v="0"/>
    <n v="226.12"/>
    <n v="4.7619047620000003"/>
    <n v="11.305999999999999"/>
    <n v="5.5"/>
  </r>
  <r>
    <s v="372-26-1506"/>
    <s v="C"/>
    <x v="1"/>
    <x v="1"/>
    <x v="0"/>
    <x v="5"/>
    <n v="23.82"/>
    <n v="5"/>
    <n v="5.9550000000000001"/>
    <n v="125.05500000000001"/>
    <x v="26"/>
    <d v="1899-12-30T19:24:00"/>
    <x v="0"/>
    <n v="119.1"/>
    <n v="4.7619047620000003"/>
    <n v="5.9550000000000001"/>
    <n v="5.4"/>
  </r>
  <r>
    <s v="244-08-0162"/>
    <s v="B"/>
    <x v="2"/>
    <x v="1"/>
    <x v="0"/>
    <x v="0"/>
    <n v="34.21"/>
    <n v="10"/>
    <n v="17.105"/>
    <n v="359.20499999999998"/>
    <x v="56"/>
    <d v="1899-12-30T13:00:00"/>
    <x v="1"/>
    <n v="342.1"/>
    <n v="4.7619047620000003"/>
    <n v="17.105"/>
    <n v="5.0999999999999996"/>
  </r>
  <r>
    <s v="569-71-4390"/>
    <s v="B"/>
    <x v="2"/>
    <x v="1"/>
    <x v="1"/>
    <x v="3"/>
    <n v="21.87"/>
    <n v="2"/>
    <n v="2.1869999999999998"/>
    <n v="45.927"/>
    <x v="25"/>
    <d v="1899-12-30T14:29:00"/>
    <x v="0"/>
    <n v="43.74"/>
    <n v="4.7619047620000003"/>
    <n v="2.1869999999999998"/>
    <n v="6.9"/>
  </r>
  <r>
    <s v="132-23-6451"/>
    <s v="A"/>
    <x v="0"/>
    <x v="0"/>
    <x v="1"/>
    <x v="0"/>
    <n v="20.97"/>
    <n v="5"/>
    <n v="5.2424999999999997"/>
    <n v="110.0925"/>
    <x v="72"/>
    <d v="1899-12-30T13:21:00"/>
    <x v="1"/>
    <n v="104.85"/>
    <n v="4.7619047620000003"/>
    <n v="5.2424999999999997"/>
    <n v="7.8"/>
  </r>
  <r>
    <s v="696-90-2548"/>
    <s v="A"/>
    <x v="0"/>
    <x v="1"/>
    <x v="1"/>
    <x v="3"/>
    <n v="25.84"/>
    <n v="3"/>
    <n v="3.8759999999999999"/>
    <n v="81.396000000000001"/>
    <x v="24"/>
    <d v="1899-12-30T18:55:00"/>
    <x v="0"/>
    <n v="77.52"/>
    <n v="4.7619047620000003"/>
    <n v="3.8759999999999999"/>
    <n v="6.6"/>
  </r>
  <r>
    <s v="472-15-9636"/>
    <s v="A"/>
    <x v="0"/>
    <x v="1"/>
    <x v="1"/>
    <x v="2"/>
    <n v="50.93"/>
    <n v="8"/>
    <n v="20.372"/>
    <n v="427.81200000000001"/>
    <x v="23"/>
    <d v="1899-12-30T19:36:00"/>
    <x v="0"/>
    <n v="407.44"/>
    <n v="4.7619047620000003"/>
    <n v="20.372"/>
    <n v="9.1999999999999993"/>
  </r>
  <r>
    <s v="268-03-6164"/>
    <s v="B"/>
    <x v="2"/>
    <x v="1"/>
    <x v="1"/>
    <x v="0"/>
    <n v="96.11"/>
    <n v="1"/>
    <n v="4.8055000000000003"/>
    <n v="100.91549999999999"/>
    <x v="25"/>
    <d v="1899-12-30T16:28:00"/>
    <x v="0"/>
    <n v="96.11"/>
    <n v="4.7619047620000003"/>
    <n v="4.8055000000000003"/>
    <n v="7.8"/>
  </r>
  <r>
    <s v="750-57-9686"/>
    <s v="C"/>
    <x v="1"/>
    <x v="1"/>
    <x v="0"/>
    <x v="2"/>
    <n v="45.38"/>
    <n v="4"/>
    <n v="9.0760000000000005"/>
    <n v="190.596"/>
    <x v="66"/>
    <d v="1899-12-30T13:48:00"/>
    <x v="2"/>
    <n v="181.52"/>
    <n v="4.7619047620000003"/>
    <n v="9.0760000000000005"/>
    <n v="8.6999999999999993"/>
  </r>
  <r>
    <s v="186-09-3669"/>
    <s v="C"/>
    <x v="1"/>
    <x v="0"/>
    <x v="0"/>
    <x v="0"/>
    <n v="81.510000000000005"/>
    <n v="1"/>
    <n v="4.0754999999999999"/>
    <n v="85.585499999999996"/>
    <x v="49"/>
    <d v="1899-12-30T10:57:00"/>
    <x v="0"/>
    <n v="81.510000000000005"/>
    <n v="4.7619047620000003"/>
    <n v="4.0754999999999999"/>
    <n v="9.1999999999999993"/>
  </r>
  <r>
    <s v="848-07-1692"/>
    <s v="B"/>
    <x v="2"/>
    <x v="1"/>
    <x v="0"/>
    <x v="0"/>
    <n v="57.22"/>
    <n v="2"/>
    <n v="5.7220000000000004"/>
    <n v="120.16200000000001"/>
    <x v="52"/>
    <d v="1899-12-30T17:13:00"/>
    <x v="0"/>
    <n v="114.44"/>
    <n v="4.7619047620000003"/>
    <n v="5.7220000000000004"/>
    <n v="8.3000000000000007"/>
  </r>
  <r>
    <s v="745-71-3520"/>
    <s v="A"/>
    <x v="0"/>
    <x v="0"/>
    <x v="0"/>
    <x v="1"/>
    <n v="25.22"/>
    <n v="7"/>
    <n v="8.827"/>
    <n v="185.36699999999999"/>
    <x v="87"/>
    <d v="1899-12-30T10:23:00"/>
    <x v="1"/>
    <n v="176.54"/>
    <n v="4.7619047620000003"/>
    <n v="8.827"/>
    <n v="8.1999999999999993"/>
  </r>
  <r>
    <s v="266-76-6436"/>
    <s v="C"/>
    <x v="1"/>
    <x v="0"/>
    <x v="0"/>
    <x v="4"/>
    <n v="38.6"/>
    <n v="3"/>
    <n v="5.79"/>
    <n v="121.59"/>
    <x v="61"/>
    <d v="1899-12-30T13:57:00"/>
    <x v="0"/>
    <n v="115.8"/>
    <n v="4.7619047620000003"/>
    <n v="5.79"/>
    <n v="7.5"/>
  </r>
  <r>
    <s v="740-22-2500"/>
    <s v="C"/>
    <x v="1"/>
    <x v="1"/>
    <x v="0"/>
    <x v="1"/>
    <n v="84.05"/>
    <n v="3"/>
    <n v="12.6075"/>
    <n v="264.75749999999999"/>
    <x v="54"/>
    <d v="1899-12-30T13:29:00"/>
    <x v="1"/>
    <n v="252.15"/>
    <n v="4.7619047620000003"/>
    <n v="12.6075"/>
    <n v="9.8000000000000007"/>
  </r>
  <r>
    <s v="271-88-8734"/>
    <s v="C"/>
    <x v="1"/>
    <x v="0"/>
    <x v="0"/>
    <x v="5"/>
    <n v="97.21"/>
    <n v="10"/>
    <n v="48.604999999999997"/>
    <n v="1020.705"/>
    <x v="4"/>
    <d v="1899-12-30T13:00:00"/>
    <x v="2"/>
    <n v="972.1"/>
    <n v="4.7619047620000003"/>
    <n v="48.604999999999997"/>
    <n v="8.6999999999999993"/>
  </r>
  <r>
    <s v="301-81-8610"/>
    <s v="B"/>
    <x v="2"/>
    <x v="0"/>
    <x v="1"/>
    <x v="5"/>
    <n v="25.42"/>
    <n v="8"/>
    <n v="10.167999999999999"/>
    <n v="213.52799999999999"/>
    <x v="35"/>
    <d v="1899-12-30T19:42:00"/>
    <x v="2"/>
    <n v="203.36"/>
    <n v="4.7619047620000003"/>
    <n v="10.167999999999999"/>
    <n v="6.7"/>
  </r>
  <r>
    <s v="489-64-4354"/>
    <s v="C"/>
    <x v="1"/>
    <x v="1"/>
    <x v="1"/>
    <x v="5"/>
    <n v="16.28"/>
    <n v="1"/>
    <n v="0.81399999999999995"/>
    <n v="17.094000000000001"/>
    <x v="11"/>
    <d v="1899-12-30T15:36:00"/>
    <x v="1"/>
    <n v="16.28"/>
    <n v="4.7619047620000003"/>
    <n v="0.81399999999999995"/>
    <n v="5"/>
  </r>
  <r>
    <s v="198-84-7132"/>
    <s v="B"/>
    <x v="2"/>
    <x v="0"/>
    <x v="1"/>
    <x v="5"/>
    <n v="40.61"/>
    <n v="9"/>
    <n v="18.2745"/>
    <n v="383.7645"/>
    <x v="56"/>
    <d v="1899-12-30T13:40:00"/>
    <x v="1"/>
    <n v="365.49"/>
    <n v="4.7619047620000003"/>
    <n v="18.2745"/>
    <n v="7"/>
  </r>
  <r>
    <s v="269-10-8440"/>
    <s v="A"/>
    <x v="0"/>
    <x v="0"/>
    <x v="1"/>
    <x v="0"/>
    <n v="53.17"/>
    <n v="7"/>
    <n v="18.609500000000001"/>
    <n v="390.79950000000002"/>
    <x v="18"/>
    <d v="1899-12-30T18:01:00"/>
    <x v="1"/>
    <n v="372.19"/>
    <n v="4.7619047620000003"/>
    <n v="18.609500000000001"/>
    <n v="8.9"/>
  </r>
  <r>
    <s v="650-98-6268"/>
    <s v="B"/>
    <x v="2"/>
    <x v="0"/>
    <x v="0"/>
    <x v="4"/>
    <n v="20.87"/>
    <n v="3"/>
    <n v="3.1305000000000001"/>
    <n v="65.740499999999997"/>
    <x v="80"/>
    <d v="1899-12-30T13:53:00"/>
    <x v="2"/>
    <n v="62.61"/>
    <n v="4.7619047620000003"/>
    <n v="3.1305000000000001"/>
    <n v="8"/>
  </r>
  <r>
    <s v="741-73-3559"/>
    <s v="B"/>
    <x v="2"/>
    <x v="1"/>
    <x v="1"/>
    <x v="3"/>
    <n v="67.27"/>
    <n v="5"/>
    <n v="16.817499999999999"/>
    <n v="353.16750000000002"/>
    <x v="33"/>
    <d v="1899-12-30T17:27:00"/>
    <x v="1"/>
    <n v="336.35"/>
    <n v="4.7619047620000003"/>
    <n v="16.817499999999999"/>
    <n v="6.9"/>
  </r>
  <r>
    <s v="325-77-6186"/>
    <s v="A"/>
    <x v="0"/>
    <x v="0"/>
    <x v="0"/>
    <x v="2"/>
    <n v="90.65"/>
    <n v="10"/>
    <n v="45.325000000000003"/>
    <n v="951.82500000000005"/>
    <x v="1"/>
    <d v="1899-12-30T10:53:00"/>
    <x v="0"/>
    <n v="906.5"/>
    <n v="4.7619047620000003"/>
    <n v="45.325000000000003"/>
    <n v="7.3"/>
  </r>
  <r>
    <s v="286-75-7818"/>
    <s v="B"/>
    <x v="2"/>
    <x v="1"/>
    <x v="1"/>
    <x v="5"/>
    <n v="69.08"/>
    <n v="2"/>
    <n v="6.9080000000000004"/>
    <n v="145.06800000000001"/>
    <x v="82"/>
    <d v="1899-12-30T19:48:00"/>
    <x v="2"/>
    <n v="138.16"/>
    <n v="4.7619047620000003"/>
    <n v="6.9080000000000004"/>
    <n v="6.9"/>
  </r>
  <r>
    <s v="574-57-9721"/>
    <s v="C"/>
    <x v="1"/>
    <x v="1"/>
    <x v="1"/>
    <x v="4"/>
    <n v="43.27"/>
    <n v="2"/>
    <n v="4.327"/>
    <n v="90.867000000000004"/>
    <x v="1"/>
    <d v="1899-12-30T16:53:00"/>
    <x v="0"/>
    <n v="86.54"/>
    <n v="4.7619047620000003"/>
    <n v="4.327"/>
    <n v="5.7"/>
  </r>
  <r>
    <s v="459-50-7686"/>
    <s v="A"/>
    <x v="0"/>
    <x v="1"/>
    <x v="0"/>
    <x v="1"/>
    <n v="23.46"/>
    <n v="6"/>
    <n v="7.0380000000000003"/>
    <n v="147.798"/>
    <x v="50"/>
    <d v="1899-12-30T19:14:00"/>
    <x v="0"/>
    <n v="140.76"/>
    <n v="4.7619047620000003"/>
    <n v="7.0380000000000003"/>
    <n v="6.4"/>
  </r>
  <r>
    <s v="616-87-0016"/>
    <s v="B"/>
    <x v="2"/>
    <x v="1"/>
    <x v="1"/>
    <x v="5"/>
    <n v="95.54"/>
    <n v="7"/>
    <n v="33.439"/>
    <n v="702.21900000000005"/>
    <x v="11"/>
    <d v="1899-12-30T14:36:00"/>
    <x v="2"/>
    <n v="668.78"/>
    <n v="4.7619047620000003"/>
    <n v="33.439"/>
    <n v="9.6"/>
  </r>
  <r>
    <s v="837-55-7229"/>
    <s v="B"/>
    <x v="2"/>
    <x v="1"/>
    <x v="0"/>
    <x v="5"/>
    <n v="47.44"/>
    <n v="1"/>
    <n v="2.3719999999999999"/>
    <n v="49.811999999999998"/>
    <x v="70"/>
    <d v="1899-12-30T18:19:00"/>
    <x v="2"/>
    <n v="47.44"/>
    <n v="4.7619047620000003"/>
    <n v="2.3719999999999999"/>
    <n v="6.8"/>
  </r>
  <r>
    <s v="751-69-0068"/>
    <s v="C"/>
    <x v="1"/>
    <x v="1"/>
    <x v="1"/>
    <x v="3"/>
    <n v="99.24"/>
    <n v="9"/>
    <n v="44.658000000000001"/>
    <n v="937.81799999999998"/>
    <x v="35"/>
    <d v="1899-12-30T19:09:00"/>
    <x v="0"/>
    <n v="893.16"/>
    <n v="4.7619047620000003"/>
    <n v="44.658000000000001"/>
    <n v="9"/>
  </r>
  <r>
    <s v="257-73-1380"/>
    <s v="C"/>
    <x v="1"/>
    <x v="0"/>
    <x v="1"/>
    <x v="3"/>
    <n v="82.93"/>
    <n v="4"/>
    <n v="16.585999999999999"/>
    <n v="348.30599999999998"/>
    <x v="40"/>
    <d v="1899-12-30T16:51:00"/>
    <x v="0"/>
    <n v="331.72"/>
    <n v="4.7619047620000003"/>
    <n v="16.585999999999999"/>
    <n v="9.6"/>
  </r>
  <r>
    <s v="345-08-4992"/>
    <s v="A"/>
    <x v="0"/>
    <x v="1"/>
    <x v="1"/>
    <x v="2"/>
    <n v="33.99"/>
    <n v="6"/>
    <n v="10.196999999999999"/>
    <n v="214.137"/>
    <x v="1"/>
    <d v="1899-12-30T15:37:00"/>
    <x v="2"/>
    <n v="203.94"/>
    <n v="4.7619047620000003"/>
    <n v="10.196999999999999"/>
    <n v="7.7"/>
  </r>
  <r>
    <s v="549-96-4200"/>
    <s v="C"/>
    <x v="1"/>
    <x v="0"/>
    <x v="1"/>
    <x v="4"/>
    <n v="17.04"/>
    <n v="4"/>
    <n v="3.4079999999999999"/>
    <n v="71.567999999999998"/>
    <x v="1"/>
    <d v="1899-12-30T20:15:00"/>
    <x v="0"/>
    <n v="68.16"/>
    <n v="4.7619047620000003"/>
    <n v="3.4079999999999999"/>
    <n v="7"/>
  </r>
  <r>
    <s v="810-60-6344"/>
    <s v="C"/>
    <x v="1"/>
    <x v="1"/>
    <x v="0"/>
    <x v="1"/>
    <n v="40.86"/>
    <n v="8"/>
    <n v="16.344000000000001"/>
    <n v="343.22399999999999"/>
    <x v="13"/>
    <d v="1899-12-30T14:38:00"/>
    <x v="2"/>
    <n v="326.88"/>
    <n v="4.7619047620000003"/>
    <n v="16.344000000000001"/>
    <n v="6.5"/>
  </r>
  <r>
    <s v="450-28-2866"/>
    <s v="C"/>
    <x v="1"/>
    <x v="0"/>
    <x v="1"/>
    <x v="4"/>
    <n v="17.440000000000001"/>
    <n v="5"/>
    <n v="4.3600000000000003"/>
    <n v="91.56"/>
    <x v="15"/>
    <d v="1899-12-30T19:25:00"/>
    <x v="1"/>
    <n v="87.2"/>
    <n v="4.7619047620000003"/>
    <n v="4.3600000000000003"/>
    <n v="8.1"/>
  </r>
  <r>
    <s v="394-30-3170"/>
    <s v="B"/>
    <x v="2"/>
    <x v="0"/>
    <x v="0"/>
    <x v="3"/>
    <n v="88.43"/>
    <n v="8"/>
    <n v="35.372"/>
    <n v="742.81200000000001"/>
    <x v="23"/>
    <d v="1899-12-30T19:35:00"/>
    <x v="2"/>
    <n v="707.44"/>
    <n v="4.7619047620000003"/>
    <n v="35.372"/>
    <n v="4.3"/>
  </r>
  <r>
    <s v="138-17-5109"/>
    <s v="A"/>
    <x v="0"/>
    <x v="0"/>
    <x v="0"/>
    <x v="2"/>
    <n v="89.21"/>
    <n v="9"/>
    <n v="40.144500000000001"/>
    <n v="843.03449999999998"/>
    <x v="15"/>
    <d v="1899-12-30T15:42:00"/>
    <x v="2"/>
    <n v="802.89"/>
    <n v="4.7619047620000003"/>
    <n v="40.144500000000001"/>
    <n v="6.5"/>
  </r>
  <r>
    <s v="192-98-7397"/>
    <s v="C"/>
    <x v="1"/>
    <x v="1"/>
    <x v="1"/>
    <x v="5"/>
    <n v="12.78"/>
    <n v="1"/>
    <n v="0.63900000000000001"/>
    <n v="13.419"/>
    <x v="66"/>
    <d v="1899-12-30T14:11:00"/>
    <x v="0"/>
    <n v="12.78"/>
    <n v="4.7619047620000003"/>
    <n v="0.63900000000000001"/>
    <n v="9.5"/>
  </r>
  <r>
    <s v="301-11-9629"/>
    <s v="A"/>
    <x v="0"/>
    <x v="1"/>
    <x v="0"/>
    <x v="3"/>
    <n v="19.100000000000001"/>
    <n v="7"/>
    <n v="6.6849999999999996"/>
    <n v="140.38499999999999"/>
    <x v="15"/>
    <d v="1899-12-30T10:43:00"/>
    <x v="1"/>
    <n v="133.69999999999999"/>
    <n v="4.7619047620000003"/>
    <n v="6.6849999999999996"/>
    <n v="9.6999999999999993"/>
  </r>
  <r>
    <s v="390-80-5128"/>
    <s v="B"/>
    <x v="2"/>
    <x v="0"/>
    <x v="0"/>
    <x v="0"/>
    <n v="19.149999999999999"/>
    <n v="1"/>
    <n v="0.95750000000000002"/>
    <n v="20.107500000000002"/>
    <x v="26"/>
    <d v="1899-12-30T17:58:00"/>
    <x v="2"/>
    <n v="19.149999999999999"/>
    <n v="4.7619047620000003"/>
    <n v="0.95750000000000002"/>
    <n v="9.5"/>
  </r>
  <r>
    <s v="235-46-8343"/>
    <s v="C"/>
    <x v="1"/>
    <x v="0"/>
    <x v="1"/>
    <x v="4"/>
    <n v="27.66"/>
    <n v="10"/>
    <n v="13.83"/>
    <n v="290.43"/>
    <x v="44"/>
    <d v="1899-12-30T11:26:00"/>
    <x v="2"/>
    <n v="276.60000000000002"/>
    <n v="4.7619047620000003"/>
    <n v="13.83"/>
    <n v="8.9"/>
  </r>
  <r>
    <s v="453-12-7053"/>
    <s v="C"/>
    <x v="1"/>
    <x v="1"/>
    <x v="1"/>
    <x v="5"/>
    <n v="45.74"/>
    <n v="3"/>
    <n v="6.8609999999999998"/>
    <n v="144.08099999999999"/>
    <x v="24"/>
    <d v="1899-12-30T17:38:00"/>
    <x v="2"/>
    <n v="137.22"/>
    <n v="4.7619047620000003"/>
    <n v="6.8609999999999998"/>
    <n v="6.5"/>
  </r>
  <r>
    <s v="296-11-7041"/>
    <s v="B"/>
    <x v="2"/>
    <x v="0"/>
    <x v="0"/>
    <x v="0"/>
    <n v="27.07"/>
    <n v="1"/>
    <n v="1.3534999999999999"/>
    <n v="28.423500000000001"/>
    <x v="52"/>
    <d v="1899-12-30T20:07:00"/>
    <x v="2"/>
    <n v="27.07"/>
    <n v="4.7619047620000003"/>
    <n v="1.3534999999999999"/>
    <n v="5.3"/>
  </r>
  <r>
    <s v="449-27-2918"/>
    <s v="B"/>
    <x v="2"/>
    <x v="0"/>
    <x v="0"/>
    <x v="3"/>
    <n v="39.119999999999997"/>
    <n v="1"/>
    <n v="1.956"/>
    <n v="41.076000000000001"/>
    <x v="58"/>
    <d v="1899-12-30T11:02:00"/>
    <x v="2"/>
    <n v="39.119999999999997"/>
    <n v="4.7619047620000003"/>
    <n v="1.956"/>
    <n v="9.6"/>
  </r>
  <r>
    <s v="891-01-7034"/>
    <s v="B"/>
    <x v="2"/>
    <x v="1"/>
    <x v="0"/>
    <x v="1"/>
    <n v="74.709999999999994"/>
    <n v="6"/>
    <n v="22.413"/>
    <n v="470.673"/>
    <x v="17"/>
    <d v="1899-12-30T19:07:00"/>
    <x v="1"/>
    <n v="448.26"/>
    <n v="4.7619047620000003"/>
    <n v="22.413"/>
    <n v="6.7"/>
  </r>
  <r>
    <s v="744-09-5786"/>
    <s v="B"/>
    <x v="2"/>
    <x v="1"/>
    <x v="1"/>
    <x v="1"/>
    <n v="22.01"/>
    <n v="6"/>
    <n v="6.6029999999999998"/>
    <n v="138.66300000000001"/>
    <x v="56"/>
    <d v="1899-12-30T18:50:00"/>
    <x v="1"/>
    <n v="132.06"/>
    <n v="4.7619047620000003"/>
    <n v="6.6029999999999998"/>
    <n v="7.6"/>
  </r>
  <r>
    <s v="727-17-0390"/>
    <s v="A"/>
    <x v="0"/>
    <x v="1"/>
    <x v="0"/>
    <x v="4"/>
    <n v="63.61"/>
    <n v="5"/>
    <n v="15.9025"/>
    <n v="333.95249999999999"/>
    <x v="32"/>
    <d v="1899-12-30T12:43:00"/>
    <x v="0"/>
    <n v="318.05"/>
    <n v="4.7619047620000003"/>
    <n v="15.9025"/>
    <n v="4.8"/>
  </r>
  <r>
    <s v="568-88-3448"/>
    <s v="A"/>
    <x v="0"/>
    <x v="1"/>
    <x v="1"/>
    <x v="0"/>
    <n v="25"/>
    <n v="1"/>
    <n v="1.25"/>
    <n v="26.25"/>
    <x v="2"/>
    <d v="1899-12-30T15:09:00"/>
    <x v="0"/>
    <n v="25"/>
    <n v="4.7619047620000003"/>
    <n v="1.25"/>
    <n v="5.5"/>
  </r>
  <r>
    <s v="187-83-5490"/>
    <s v="A"/>
    <x v="0"/>
    <x v="0"/>
    <x v="1"/>
    <x v="1"/>
    <n v="20.77"/>
    <n v="4"/>
    <n v="4.1539999999999999"/>
    <n v="87.233999999999995"/>
    <x v="82"/>
    <d v="1899-12-30T13:47:00"/>
    <x v="1"/>
    <n v="83.08"/>
    <n v="4.7619047620000003"/>
    <n v="4.1539999999999999"/>
    <n v="4.7"/>
  </r>
  <r>
    <s v="767-54-1907"/>
    <s v="B"/>
    <x v="2"/>
    <x v="0"/>
    <x v="0"/>
    <x v="5"/>
    <n v="29.56"/>
    <n v="5"/>
    <n v="7.39"/>
    <n v="155.19"/>
    <x v="77"/>
    <d v="1899-12-30T16:59:00"/>
    <x v="1"/>
    <n v="147.80000000000001"/>
    <n v="4.7619047620000003"/>
    <n v="7.39"/>
    <n v="6.9"/>
  </r>
  <r>
    <s v="710-46-4433"/>
    <s v="B"/>
    <x v="2"/>
    <x v="0"/>
    <x v="0"/>
    <x v="4"/>
    <n v="77.400000000000006"/>
    <n v="9"/>
    <n v="34.83"/>
    <n v="731.43"/>
    <x v="42"/>
    <d v="1899-12-30T14:15:00"/>
    <x v="2"/>
    <n v="696.6"/>
    <n v="4.7619047620000003"/>
    <n v="34.83"/>
    <n v="4.5"/>
  </r>
  <r>
    <s v="533-33-5337"/>
    <s v="B"/>
    <x v="2"/>
    <x v="1"/>
    <x v="1"/>
    <x v="1"/>
    <n v="79.39"/>
    <n v="10"/>
    <n v="39.695"/>
    <n v="833.59500000000003"/>
    <x v="13"/>
    <d v="1899-12-30T20:24:00"/>
    <x v="1"/>
    <n v="793.9"/>
    <n v="4.7619047620000003"/>
    <n v="39.695"/>
    <n v="6.2"/>
  </r>
  <r>
    <s v="325-90-8763"/>
    <s v="C"/>
    <x v="1"/>
    <x v="0"/>
    <x v="0"/>
    <x v="1"/>
    <n v="46.57"/>
    <n v="10"/>
    <n v="23.285"/>
    <n v="488.98500000000001"/>
    <x v="3"/>
    <d v="1899-12-30T13:58:00"/>
    <x v="1"/>
    <n v="465.7"/>
    <n v="4.7619047620000003"/>
    <n v="23.285"/>
    <n v="7.6"/>
  </r>
  <r>
    <s v="729-46-7422"/>
    <s v="C"/>
    <x v="1"/>
    <x v="1"/>
    <x v="1"/>
    <x v="4"/>
    <n v="35.89"/>
    <n v="1"/>
    <n v="1.7945"/>
    <n v="37.6845"/>
    <x v="55"/>
    <d v="1899-12-30T16:52:00"/>
    <x v="2"/>
    <n v="35.89"/>
    <n v="4.7619047620000003"/>
    <n v="1.7945"/>
    <n v="7.9"/>
  </r>
  <r>
    <s v="639-76-1242"/>
    <s v="C"/>
    <x v="1"/>
    <x v="1"/>
    <x v="1"/>
    <x v="4"/>
    <n v="40.520000000000003"/>
    <n v="5"/>
    <n v="10.130000000000001"/>
    <n v="212.73"/>
    <x v="36"/>
    <d v="1899-12-30T15:19:00"/>
    <x v="1"/>
    <n v="202.6"/>
    <n v="4.7619047620000003"/>
    <n v="10.130000000000001"/>
    <n v="4.5"/>
  </r>
  <r>
    <s v="234-03-4040"/>
    <s v="B"/>
    <x v="2"/>
    <x v="0"/>
    <x v="0"/>
    <x v="4"/>
    <n v="73.05"/>
    <n v="10"/>
    <n v="36.524999999999999"/>
    <n v="767.02499999999998"/>
    <x v="2"/>
    <d v="1899-12-30T12:25:00"/>
    <x v="2"/>
    <n v="730.5"/>
    <n v="4.7619047620000003"/>
    <n v="36.524999999999999"/>
    <n v="8.6999999999999993"/>
  </r>
  <r>
    <s v="326-71-2155"/>
    <s v="C"/>
    <x v="1"/>
    <x v="1"/>
    <x v="0"/>
    <x v="3"/>
    <n v="73.95"/>
    <n v="4"/>
    <n v="14.79"/>
    <n v="310.58999999999997"/>
    <x v="36"/>
    <d v="1899-12-30T10:02:00"/>
    <x v="1"/>
    <n v="295.8"/>
    <n v="4.7619047620000003"/>
    <n v="14.79"/>
    <n v="6.1"/>
  </r>
  <r>
    <s v="320-32-8842"/>
    <s v="C"/>
    <x v="1"/>
    <x v="0"/>
    <x v="0"/>
    <x v="4"/>
    <n v="22.62"/>
    <n v="1"/>
    <n v="1.131"/>
    <n v="23.751000000000001"/>
    <x v="85"/>
    <d v="1899-12-30T18:58:00"/>
    <x v="1"/>
    <n v="22.62"/>
    <n v="4.7619047620000003"/>
    <n v="1.131"/>
    <n v="6.4"/>
  </r>
  <r>
    <s v="470-32-9057"/>
    <s v="A"/>
    <x v="0"/>
    <x v="0"/>
    <x v="1"/>
    <x v="4"/>
    <n v="51.34"/>
    <n v="5"/>
    <n v="12.835000000000001"/>
    <n v="269.53500000000003"/>
    <x v="61"/>
    <d v="1899-12-30T15:31:00"/>
    <x v="2"/>
    <n v="256.7"/>
    <n v="4.7619047620000003"/>
    <n v="12.835000000000001"/>
    <n v="9.1"/>
  </r>
  <r>
    <s v="878-30-2331"/>
    <s v="C"/>
    <x v="1"/>
    <x v="0"/>
    <x v="0"/>
    <x v="3"/>
    <n v="54.55"/>
    <n v="10"/>
    <n v="27.274999999999999"/>
    <n v="572.77499999999998"/>
    <x v="22"/>
    <d v="1899-12-30T11:22:00"/>
    <x v="2"/>
    <n v="545.5"/>
    <n v="4.7619047620000003"/>
    <n v="27.274999999999999"/>
    <n v="7.1"/>
  </r>
  <r>
    <s v="440-59-5691"/>
    <s v="C"/>
    <x v="1"/>
    <x v="0"/>
    <x v="0"/>
    <x v="0"/>
    <n v="37.15"/>
    <n v="7"/>
    <n v="13.0025"/>
    <n v="273.05250000000001"/>
    <x v="4"/>
    <d v="1899-12-30T13:12:00"/>
    <x v="2"/>
    <n v="260.05"/>
    <n v="4.7619047620000003"/>
    <n v="13.0025"/>
    <n v="7.7"/>
  </r>
  <r>
    <s v="554-53-3790"/>
    <s v="B"/>
    <x v="2"/>
    <x v="1"/>
    <x v="1"/>
    <x v="3"/>
    <n v="37.020000000000003"/>
    <n v="6"/>
    <n v="11.106"/>
    <n v="233.226"/>
    <x v="23"/>
    <d v="1899-12-30T18:33:00"/>
    <x v="1"/>
    <n v="222.12"/>
    <n v="4.7619047620000003"/>
    <n v="11.106"/>
    <n v="4.5"/>
  </r>
  <r>
    <s v="746-19-0921"/>
    <s v="C"/>
    <x v="1"/>
    <x v="1"/>
    <x v="1"/>
    <x v="4"/>
    <n v="21.58"/>
    <n v="1"/>
    <n v="1.079"/>
    <n v="22.658999999999999"/>
    <x v="57"/>
    <d v="1899-12-30T10:02:00"/>
    <x v="0"/>
    <n v="21.58"/>
    <n v="4.7619047620000003"/>
    <n v="1.079"/>
    <n v="7.2"/>
  </r>
  <r>
    <s v="233-34-0817"/>
    <s v="C"/>
    <x v="1"/>
    <x v="0"/>
    <x v="0"/>
    <x v="1"/>
    <n v="98.84"/>
    <n v="1"/>
    <n v="4.9420000000000002"/>
    <n v="103.782"/>
    <x v="42"/>
    <d v="1899-12-30T11:21:00"/>
    <x v="1"/>
    <n v="98.84"/>
    <n v="4.7619047620000003"/>
    <n v="4.9420000000000002"/>
    <n v="8.4"/>
  </r>
  <r>
    <s v="767-05-1286"/>
    <s v="C"/>
    <x v="1"/>
    <x v="0"/>
    <x v="0"/>
    <x v="2"/>
    <n v="83.77"/>
    <n v="6"/>
    <n v="25.131"/>
    <n v="527.75099999999998"/>
    <x v="54"/>
    <d v="1899-12-30T12:10:00"/>
    <x v="0"/>
    <n v="502.62"/>
    <n v="4.7619047620000003"/>
    <n v="25.131"/>
    <n v="5.4"/>
  </r>
  <r>
    <s v="340-21-9136"/>
    <s v="A"/>
    <x v="0"/>
    <x v="0"/>
    <x v="0"/>
    <x v="3"/>
    <n v="40.049999999999997"/>
    <n v="4"/>
    <n v="8.01"/>
    <n v="168.21"/>
    <x v="25"/>
    <d v="1899-12-30T11:40:00"/>
    <x v="1"/>
    <n v="160.19999999999999"/>
    <n v="4.7619047620000003"/>
    <n v="8.01"/>
    <n v="9.6999999999999993"/>
  </r>
  <r>
    <s v="405-31-3305"/>
    <s v="A"/>
    <x v="0"/>
    <x v="0"/>
    <x v="1"/>
    <x v="5"/>
    <n v="43.13"/>
    <n v="10"/>
    <n v="21.565000000000001"/>
    <n v="452.86500000000001"/>
    <x v="30"/>
    <d v="1899-12-30T18:31:00"/>
    <x v="2"/>
    <n v="431.3"/>
    <n v="4.7619047620000003"/>
    <n v="21.565000000000001"/>
    <n v="5.5"/>
  </r>
  <r>
    <s v="731-59-7531"/>
    <s v="B"/>
    <x v="2"/>
    <x v="0"/>
    <x v="1"/>
    <x v="0"/>
    <n v="72.569999999999993"/>
    <n v="8"/>
    <n v="29.027999999999999"/>
    <n v="609.58799999999997"/>
    <x v="73"/>
    <d v="1899-12-30T17:58:00"/>
    <x v="1"/>
    <n v="580.55999999999995"/>
    <n v="4.7619047620000003"/>
    <n v="29.027999999999999"/>
    <n v="4.5999999999999996"/>
  </r>
  <r>
    <s v="676-39-6028"/>
    <s v="A"/>
    <x v="0"/>
    <x v="0"/>
    <x v="0"/>
    <x v="1"/>
    <n v="64.44"/>
    <n v="5"/>
    <n v="16.11"/>
    <n v="338.31"/>
    <x v="73"/>
    <d v="1899-12-30T17:04:00"/>
    <x v="1"/>
    <n v="322.2"/>
    <n v="4.7619047620000003"/>
    <n v="16.11"/>
    <n v="6.6"/>
  </r>
  <r>
    <s v="502-05-1910"/>
    <s v="A"/>
    <x v="0"/>
    <x v="1"/>
    <x v="1"/>
    <x v="0"/>
    <n v="65.180000000000007"/>
    <n v="3"/>
    <n v="9.7769999999999992"/>
    <n v="205.31700000000001"/>
    <x v="6"/>
    <d v="1899-12-30T20:35:00"/>
    <x v="2"/>
    <n v="195.54"/>
    <n v="4.7619047620000003"/>
    <n v="9.7769999999999992"/>
    <n v="6.3"/>
  </r>
  <r>
    <s v="485-30-8700"/>
    <s v="A"/>
    <x v="0"/>
    <x v="1"/>
    <x v="0"/>
    <x v="3"/>
    <n v="33.26"/>
    <n v="5"/>
    <n v="8.3149999999999995"/>
    <n v="174.61500000000001"/>
    <x v="79"/>
    <d v="1899-12-30T16:10:00"/>
    <x v="2"/>
    <n v="166.3"/>
    <n v="4.7619047620000003"/>
    <n v="8.3149999999999995"/>
    <n v="4.2"/>
  </r>
  <r>
    <s v="598-47-9715"/>
    <s v="C"/>
    <x v="1"/>
    <x v="1"/>
    <x v="1"/>
    <x v="1"/>
    <n v="84.07"/>
    <n v="4"/>
    <n v="16.814"/>
    <n v="353.09399999999999"/>
    <x v="37"/>
    <d v="1899-12-30T16:54:00"/>
    <x v="0"/>
    <n v="336.28"/>
    <n v="4.7619047620000003"/>
    <n v="16.814"/>
    <n v="4.4000000000000004"/>
  </r>
  <r>
    <s v="701-69-8742"/>
    <s v="B"/>
    <x v="2"/>
    <x v="1"/>
    <x v="1"/>
    <x v="3"/>
    <n v="34.369999999999997"/>
    <n v="10"/>
    <n v="17.184999999999999"/>
    <n v="360.88499999999999"/>
    <x v="32"/>
    <d v="1899-12-30T10:11:00"/>
    <x v="0"/>
    <n v="343.7"/>
    <n v="4.7619047620000003"/>
    <n v="17.184999999999999"/>
    <n v="6.7"/>
  </r>
  <r>
    <s v="575-67-1508"/>
    <s v="A"/>
    <x v="0"/>
    <x v="1"/>
    <x v="1"/>
    <x v="1"/>
    <n v="38.6"/>
    <n v="1"/>
    <n v="1.93"/>
    <n v="40.53"/>
    <x v="71"/>
    <d v="1899-12-30T11:26:00"/>
    <x v="0"/>
    <n v="38.6"/>
    <n v="4.7619047620000003"/>
    <n v="1.93"/>
    <n v="6.7"/>
  </r>
  <r>
    <s v="541-08-3113"/>
    <s v="C"/>
    <x v="1"/>
    <x v="1"/>
    <x v="1"/>
    <x v="4"/>
    <n v="65.97"/>
    <n v="8"/>
    <n v="26.388000000000002"/>
    <n v="554.14800000000002"/>
    <x v="30"/>
    <d v="1899-12-30T20:29:00"/>
    <x v="1"/>
    <n v="527.76"/>
    <n v="4.7619047620000003"/>
    <n v="26.388000000000002"/>
    <n v="8.4"/>
  </r>
  <r>
    <s v="246-11-3901"/>
    <s v="C"/>
    <x v="1"/>
    <x v="1"/>
    <x v="0"/>
    <x v="1"/>
    <n v="32.799999999999997"/>
    <n v="10"/>
    <n v="16.399999999999999"/>
    <n v="344.4"/>
    <x v="42"/>
    <d v="1899-12-30T12:12:00"/>
    <x v="1"/>
    <n v="328"/>
    <n v="4.7619047620000003"/>
    <n v="16.399999999999999"/>
    <n v="6.2"/>
  </r>
  <r>
    <s v="674-15-9296"/>
    <s v="A"/>
    <x v="0"/>
    <x v="1"/>
    <x v="1"/>
    <x v="3"/>
    <n v="37.14"/>
    <n v="5"/>
    <n v="9.2850000000000001"/>
    <n v="194.98500000000001"/>
    <x v="66"/>
    <d v="1899-12-30T13:05:00"/>
    <x v="0"/>
    <n v="185.7"/>
    <n v="4.7619047620000003"/>
    <n v="9.2850000000000001"/>
    <n v="5"/>
  </r>
  <r>
    <s v="305-18-3552"/>
    <s v="B"/>
    <x v="2"/>
    <x v="0"/>
    <x v="1"/>
    <x v="2"/>
    <n v="60.38"/>
    <n v="10"/>
    <n v="30.19"/>
    <n v="633.99"/>
    <x v="12"/>
    <d v="1899-12-30T16:19:00"/>
    <x v="1"/>
    <n v="603.79999999999995"/>
    <n v="4.7619047620000003"/>
    <n v="30.19"/>
    <n v="6"/>
  </r>
  <r>
    <s v="493-65-6248"/>
    <s v="C"/>
    <x v="1"/>
    <x v="0"/>
    <x v="0"/>
    <x v="3"/>
    <n v="36.979999999999997"/>
    <n v="10"/>
    <n v="18.489999999999998"/>
    <n v="388.29"/>
    <x v="17"/>
    <d v="1899-12-30T19:48:00"/>
    <x v="2"/>
    <n v="369.8"/>
    <n v="4.7619047620000003"/>
    <n v="18.489999999999998"/>
    <n v="7"/>
  </r>
  <r>
    <s v="438-01-4015"/>
    <s v="B"/>
    <x v="2"/>
    <x v="0"/>
    <x v="0"/>
    <x v="3"/>
    <n v="49.49"/>
    <n v="4"/>
    <n v="9.8979999999999997"/>
    <n v="207.858"/>
    <x v="76"/>
    <d v="1899-12-30T15:25:00"/>
    <x v="0"/>
    <n v="197.96"/>
    <n v="4.7619047620000003"/>
    <n v="9.8979999999999997"/>
    <n v="6.6"/>
  </r>
  <r>
    <s v="709-58-4068"/>
    <s v="B"/>
    <x v="2"/>
    <x v="1"/>
    <x v="0"/>
    <x v="5"/>
    <n v="41.09"/>
    <n v="10"/>
    <n v="20.545000000000002"/>
    <n v="431.44499999999999"/>
    <x v="38"/>
    <d v="1899-12-30T14:42:00"/>
    <x v="1"/>
    <n v="410.9"/>
    <n v="4.7619047620000003"/>
    <n v="20.545000000000002"/>
    <n v="7.3"/>
  </r>
  <r>
    <s v="795-49-7276"/>
    <s v="A"/>
    <x v="0"/>
    <x v="1"/>
    <x v="1"/>
    <x v="5"/>
    <n v="37.15"/>
    <n v="4"/>
    <n v="7.43"/>
    <n v="156.03"/>
    <x v="28"/>
    <d v="1899-12-30T18:59:00"/>
    <x v="0"/>
    <n v="148.6"/>
    <n v="4.7619047620000003"/>
    <n v="7.43"/>
    <n v="8.3000000000000007"/>
  </r>
  <r>
    <s v="556-72-8512"/>
    <s v="C"/>
    <x v="1"/>
    <x v="1"/>
    <x v="1"/>
    <x v="2"/>
    <n v="22.96"/>
    <n v="1"/>
    <n v="1.1479999999999999"/>
    <n v="24.108000000000001"/>
    <x v="74"/>
    <d v="1899-12-30T20:47:00"/>
    <x v="1"/>
    <n v="22.96"/>
    <n v="4.7619047620000003"/>
    <n v="1.1479999999999999"/>
    <n v="4.3"/>
  </r>
  <r>
    <s v="627-95-3243"/>
    <s v="B"/>
    <x v="2"/>
    <x v="0"/>
    <x v="0"/>
    <x v="2"/>
    <n v="77.680000000000007"/>
    <n v="9"/>
    <n v="34.956000000000003"/>
    <n v="734.07600000000002"/>
    <x v="87"/>
    <d v="1899-12-30T13:21:00"/>
    <x v="0"/>
    <n v="699.12"/>
    <n v="4.7619047620000003"/>
    <n v="34.956000000000003"/>
    <n v="9.8000000000000007"/>
  </r>
  <r>
    <s v="686-41-0932"/>
    <s v="B"/>
    <x v="2"/>
    <x v="1"/>
    <x v="0"/>
    <x v="5"/>
    <n v="34.700000000000003"/>
    <n v="2"/>
    <n v="3.47"/>
    <n v="72.87"/>
    <x v="45"/>
    <d v="1899-12-30T19:48:00"/>
    <x v="0"/>
    <n v="69.400000000000006"/>
    <n v="4.7619047620000003"/>
    <n v="3.47"/>
    <n v="8.1999999999999993"/>
  </r>
  <r>
    <s v="510-09-5628"/>
    <s v="A"/>
    <x v="0"/>
    <x v="0"/>
    <x v="0"/>
    <x v="5"/>
    <n v="19.66"/>
    <n v="10"/>
    <n v="9.83"/>
    <n v="206.43"/>
    <x v="20"/>
    <d v="1899-12-30T18:20:00"/>
    <x v="2"/>
    <n v="196.6"/>
    <n v="4.7619047620000003"/>
    <n v="9.83"/>
    <n v="7.2"/>
  </r>
  <r>
    <s v="608-04-3797"/>
    <s v="B"/>
    <x v="2"/>
    <x v="0"/>
    <x v="0"/>
    <x v="0"/>
    <n v="25.32"/>
    <n v="8"/>
    <n v="10.128"/>
    <n v="212.68799999999999"/>
    <x v="19"/>
    <d v="1899-12-30T20:24:00"/>
    <x v="0"/>
    <n v="202.56"/>
    <n v="4.7619047620000003"/>
    <n v="10.128"/>
    <n v="8.6999999999999993"/>
  </r>
  <r>
    <s v="148-82-2527"/>
    <s v="C"/>
    <x v="1"/>
    <x v="0"/>
    <x v="0"/>
    <x v="2"/>
    <n v="12.12"/>
    <n v="10"/>
    <n v="6.06"/>
    <n v="127.26"/>
    <x v="19"/>
    <d v="1899-12-30T13:44:00"/>
    <x v="2"/>
    <n v="121.2"/>
    <n v="4.7619047620000003"/>
    <n v="6.06"/>
    <n v="8.4"/>
  </r>
  <r>
    <s v="437-53-3084"/>
    <s v="B"/>
    <x v="2"/>
    <x v="1"/>
    <x v="1"/>
    <x v="5"/>
    <n v="99.89"/>
    <n v="2"/>
    <n v="9.9890000000000008"/>
    <n v="209.76900000000001"/>
    <x v="84"/>
    <d v="1899-12-30T11:48:00"/>
    <x v="0"/>
    <n v="199.78"/>
    <n v="4.7619047620000003"/>
    <n v="9.9890000000000008"/>
    <n v="7.1"/>
  </r>
  <r>
    <s v="632-32-4574"/>
    <s v="B"/>
    <x v="2"/>
    <x v="1"/>
    <x v="1"/>
    <x v="3"/>
    <n v="75.92"/>
    <n v="8"/>
    <n v="30.367999999999999"/>
    <n v="637.72799999999995"/>
    <x v="80"/>
    <d v="1899-12-30T14:14:00"/>
    <x v="1"/>
    <n v="607.36"/>
    <n v="4.7619047620000003"/>
    <n v="30.367999999999999"/>
    <n v="5.5"/>
  </r>
  <r>
    <s v="556-97-7101"/>
    <s v="C"/>
    <x v="1"/>
    <x v="1"/>
    <x v="0"/>
    <x v="1"/>
    <n v="63.22"/>
    <n v="2"/>
    <n v="6.3220000000000001"/>
    <n v="132.762"/>
    <x v="17"/>
    <d v="1899-12-30T15:51:00"/>
    <x v="1"/>
    <n v="126.44"/>
    <n v="4.7619047620000003"/>
    <n v="6.3220000000000001"/>
    <n v="8.5"/>
  </r>
  <r>
    <s v="862-59-8517"/>
    <s v="C"/>
    <x v="1"/>
    <x v="1"/>
    <x v="0"/>
    <x v="4"/>
    <n v="90.24"/>
    <n v="6"/>
    <n v="27.071999999999999"/>
    <n v="568.51199999999994"/>
    <x v="3"/>
    <d v="1899-12-30T11:17:00"/>
    <x v="1"/>
    <n v="541.44000000000005"/>
    <n v="4.7619047620000003"/>
    <n v="27.071999999999999"/>
    <n v="6.2"/>
  </r>
  <r>
    <s v="401-18-8016"/>
    <s v="B"/>
    <x v="2"/>
    <x v="0"/>
    <x v="0"/>
    <x v="3"/>
    <n v="98.13"/>
    <n v="1"/>
    <n v="4.9065000000000003"/>
    <n v="103.0365"/>
    <x v="18"/>
    <d v="1899-12-30T17:36:00"/>
    <x v="1"/>
    <n v="98.13"/>
    <n v="4.7619047620000003"/>
    <n v="4.9065000000000003"/>
    <n v="8.9"/>
  </r>
  <r>
    <s v="420-18-8989"/>
    <s v="A"/>
    <x v="0"/>
    <x v="0"/>
    <x v="0"/>
    <x v="3"/>
    <n v="51.52"/>
    <n v="8"/>
    <n v="20.608000000000001"/>
    <n v="432.76799999999997"/>
    <x v="30"/>
    <d v="1899-12-30T15:47:00"/>
    <x v="1"/>
    <n v="412.16"/>
    <n v="4.7619047620000003"/>
    <n v="20.608000000000001"/>
    <n v="9.6"/>
  </r>
  <r>
    <s v="277-63-2961"/>
    <s v="B"/>
    <x v="2"/>
    <x v="0"/>
    <x v="1"/>
    <x v="3"/>
    <n v="73.97"/>
    <n v="1"/>
    <n v="3.6985000000000001"/>
    <n v="77.668499999999995"/>
    <x v="36"/>
    <d v="1899-12-30T15:53:00"/>
    <x v="2"/>
    <n v="73.97"/>
    <n v="4.7619047620000003"/>
    <n v="3.6985000000000001"/>
    <n v="5.4"/>
  </r>
  <r>
    <s v="573-98-8548"/>
    <s v="C"/>
    <x v="1"/>
    <x v="0"/>
    <x v="0"/>
    <x v="5"/>
    <n v="31.9"/>
    <n v="1"/>
    <n v="1.595"/>
    <n v="33.494999999999997"/>
    <x v="0"/>
    <d v="1899-12-30T12:40:00"/>
    <x v="0"/>
    <n v="31.9"/>
    <n v="4.7619047620000003"/>
    <n v="1.595"/>
    <n v="9.1"/>
  </r>
  <r>
    <s v="620-02-2046"/>
    <s v="C"/>
    <x v="1"/>
    <x v="1"/>
    <x v="1"/>
    <x v="2"/>
    <n v="69.400000000000006"/>
    <n v="2"/>
    <n v="6.94"/>
    <n v="145.74"/>
    <x v="3"/>
    <d v="1899-12-30T19:48:00"/>
    <x v="0"/>
    <n v="138.80000000000001"/>
    <n v="4.7619047620000003"/>
    <n v="6.94"/>
    <n v="9"/>
  </r>
  <r>
    <s v="282-35-2475"/>
    <s v="B"/>
    <x v="2"/>
    <x v="1"/>
    <x v="0"/>
    <x v="3"/>
    <n v="93.31"/>
    <n v="2"/>
    <n v="9.3309999999999995"/>
    <n v="195.95099999999999"/>
    <x v="5"/>
    <d v="1899-12-30T17:53:00"/>
    <x v="1"/>
    <n v="186.62"/>
    <n v="4.7619047620000003"/>
    <n v="9.3309999999999995"/>
    <n v="6.3"/>
  </r>
  <r>
    <s v="511-54-3087"/>
    <s v="B"/>
    <x v="2"/>
    <x v="1"/>
    <x v="1"/>
    <x v="3"/>
    <n v="88.45"/>
    <n v="1"/>
    <n v="4.4225000000000003"/>
    <n v="92.872500000000002"/>
    <x v="6"/>
    <d v="1899-12-30T16:36:00"/>
    <x v="2"/>
    <n v="88.45"/>
    <n v="4.7619047620000003"/>
    <n v="4.4225000000000003"/>
    <n v="9.5"/>
  </r>
  <r>
    <s v="726-29-6793"/>
    <s v="A"/>
    <x v="0"/>
    <x v="0"/>
    <x v="1"/>
    <x v="1"/>
    <n v="24.18"/>
    <n v="8"/>
    <n v="9.6720000000000006"/>
    <n v="203.11199999999999"/>
    <x v="26"/>
    <d v="1899-12-30T20:54:00"/>
    <x v="0"/>
    <n v="193.44"/>
    <n v="4.7619047620000003"/>
    <n v="9.6720000000000006"/>
    <n v="9.8000000000000007"/>
  </r>
  <r>
    <s v="387-49-4215"/>
    <s v="B"/>
    <x v="2"/>
    <x v="0"/>
    <x v="0"/>
    <x v="3"/>
    <n v="48.5"/>
    <n v="3"/>
    <n v="7.2750000000000004"/>
    <n v="152.77500000000001"/>
    <x v="66"/>
    <d v="1899-12-30T12:50:00"/>
    <x v="1"/>
    <n v="145.5"/>
    <n v="4.7619047620000003"/>
    <n v="7.2750000000000004"/>
    <n v="6.7"/>
  </r>
  <r>
    <s v="862-17-9201"/>
    <s v="B"/>
    <x v="2"/>
    <x v="1"/>
    <x v="0"/>
    <x v="4"/>
    <n v="84.05"/>
    <n v="6"/>
    <n v="25.215"/>
    <n v="529.51499999999999"/>
    <x v="71"/>
    <d v="1899-12-30T10:48:00"/>
    <x v="2"/>
    <n v="504.3"/>
    <n v="4.7619047620000003"/>
    <n v="25.215"/>
    <n v="7.7"/>
  </r>
  <r>
    <s v="291-21-5991"/>
    <s v="B"/>
    <x v="2"/>
    <x v="0"/>
    <x v="1"/>
    <x v="0"/>
    <n v="61.29"/>
    <n v="5"/>
    <n v="15.3225"/>
    <n v="321.77249999999998"/>
    <x v="14"/>
    <d v="1899-12-30T14:28:00"/>
    <x v="1"/>
    <n v="306.45"/>
    <n v="4.7619047620000003"/>
    <n v="15.3225"/>
    <n v="7"/>
  </r>
  <r>
    <s v="602-80-9671"/>
    <s v="C"/>
    <x v="1"/>
    <x v="0"/>
    <x v="0"/>
    <x v="2"/>
    <n v="15.95"/>
    <n v="6"/>
    <n v="4.7850000000000001"/>
    <n v="100.485"/>
    <x v="57"/>
    <d v="1899-12-30T17:15:00"/>
    <x v="2"/>
    <n v="95.7"/>
    <n v="4.7619047620000003"/>
    <n v="4.7850000000000001"/>
    <n v="5.0999999999999996"/>
  </r>
  <r>
    <s v="347-72-6115"/>
    <s v="B"/>
    <x v="2"/>
    <x v="0"/>
    <x v="0"/>
    <x v="3"/>
    <n v="90.74"/>
    <n v="7"/>
    <n v="31.759"/>
    <n v="666.93899999999996"/>
    <x v="65"/>
    <d v="1899-12-30T18:03:00"/>
    <x v="2"/>
    <n v="635.17999999999995"/>
    <n v="4.7619047620000003"/>
    <n v="31.759"/>
    <n v="6.2"/>
  </r>
  <r>
    <s v="209-61-0206"/>
    <s v="A"/>
    <x v="0"/>
    <x v="1"/>
    <x v="0"/>
    <x v="2"/>
    <n v="42.91"/>
    <n v="5"/>
    <n v="10.727499999999999"/>
    <n v="225.2775"/>
    <x v="0"/>
    <d v="1899-12-30T17:29:00"/>
    <x v="0"/>
    <n v="214.55"/>
    <n v="4.7619047620000003"/>
    <n v="10.727499999999999"/>
    <n v="6.1"/>
  </r>
  <r>
    <s v="595-27-4851"/>
    <s v="A"/>
    <x v="0"/>
    <x v="1"/>
    <x v="0"/>
    <x v="5"/>
    <n v="54.28"/>
    <n v="7"/>
    <n v="18.998000000000001"/>
    <n v="398.95800000000003"/>
    <x v="3"/>
    <d v="1899-12-30T18:05:00"/>
    <x v="0"/>
    <n v="379.96"/>
    <n v="4.7619047620000003"/>
    <n v="18.998000000000001"/>
    <n v="9.3000000000000007"/>
  </r>
  <r>
    <s v="189-52-0236"/>
    <s v="A"/>
    <x v="0"/>
    <x v="1"/>
    <x v="1"/>
    <x v="1"/>
    <n v="99.55"/>
    <n v="7"/>
    <n v="34.842500000000001"/>
    <n v="731.6925"/>
    <x v="86"/>
    <d v="1899-12-30T12:07:00"/>
    <x v="1"/>
    <n v="696.85"/>
    <n v="4.7619047620000003"/>
    <n v="34.842500000000001"/>
    <n v="7.6"/>
  </r>
  <r>
    <s v="503-07-0930"/>
    <s v="C"/>
    <x v="1"/>
    <x v="0"/>
    <x v="1"/>
    <x v="3"/>
    <n v="58.39"/>
    <n v="7"/>
    <n v="20.436499999999999"/>
    <n v="429.16649999999998"/>
    <x v="55"/>
    <d v="1899-12-30T19:49:00"/>
    <x v="2"/>
    <n v="408.73"/>
    <n v="4.7619047620000003"/>
    <n v="20.436499999999999"/>
    <n v="8.1999999999999993"/>
  </r>
  <r>
    <s v="413-20-6708"/>
    <s v="C"/>
    <x v="1"/>
    <x v="0"/>
    <x v="0"/>
    <x v="5"/>
    <n v="51.47"/>
    <n v="1"/>
    <n v="2.5735000000000001"/>
    <n v="54.043500000000002"/>
    <x v="79"/>
    <d v="1899-12-30T15:52:00"/>
    <x v="0"/>
    <n v="51.47"/>
    <n v="4.7619047620000003"/>
    <n v="2.5735000000000001"/>
    <n v="8.5"/>
  </r>
  <r>
    <s v="425-85-2085"/>
    <s v="B"/>
    <x v="2"/>
    <x v="0"/>
    <x v="1"/>
    <x v="0"/>
    <n v="54.86"/>
    <n v="5"/>
    <n v="13.715"/>
    <n v="288.01499999999999"/>
    <x v="14"/>
    <d v="1899-12-30T16:48:00"/>
    <x v="0"/>
    <n v="274.3"/>
    <n v="4.7619047620000003"/>
    <n v="13.715"/>
    <n v="9.8000000000000007"/>
  </r>
  <r>
    <s v="521-18-7827"/>
    <s v="C"/>
    <x v="1"/>
    <x v="0"/>
    <x v="1"/>
    <x v="2"/>
    <n v="39.39"/>
    <n v="5"/>
    <n v="9.8475000000000001"/>
    <n v="206.79750000000001"/>
    <x v="49"/>
    <d v="1899-12-30T20:46:00"/>
    <x v="2"/>
    <n v="196.95"/>
    <n v="4.7619047620000003"/>
    <n v="9.8475000000000001"/>
    <n v="8.6999999999999993"/>
  </r>
  <r>
    <s v="220-28-1851"/>
    <s v="A"/>
    <x v="0"/>
    <x v="1"/>
    <x v="1"/>
    <x v="2"/>
    <n v="34.729999999999997"/>
    <n v="2"/>
    <n v="3.4729999999999999"/>
    <n v="72.933000000000007"/>
    <x v="59"/>
    <d v="1899-12-30T18:14:00"/>
    <x v="0"/>
    <n v="69.459999999999994"/>
    <n v="4.7619047620000003"/>
    <n v="3.4729999999999999"/>
    <n v="9.6999999999999993"/>
  </r>
  <r>
    <s v="600-38-9738"/>
    <s v="C"/>
    <x v="1"/>
    <x v="0"/>
    <x v="1"/>
    <x v="3"/>
    <n v="71.92"/>
    <n v="5"/>
    <n v="17.98"/>
    <n v="377.58"/>
    <x v="29"/>
    <d v="1899-12-30T15:05:00"/>
    <x v="2"/>
    <n v="359.6"/>
    <n v="4.7619047620000003"/>
    <n v="17.98"/>
    <n v="4.3"/>
  </r>
  <r>
    <s v="734-91-1155"/>
    <s v="B"/>
    <x v="2"/>
    <x v="1"/>
    <x v="0"/>
    <x v="1"/>
    <n v="45.71"/>
    <n v="3"/>
    <n v="6.8564999999999996"/>
    <n v="143.98650000000001"/>
    <x v="58"/>
    <d v="1899-12-30T10:34:00"/>
    <x v="2"/>
    <n v="137.13"/>
    <n v="4.7619047620000003"/>
    <n v="6.8564999999999996"/>
    <n v="7.7"/>
  </r>
  <r>
    <s v="451-28-5717"/>
    <s v="C"/>
    <x v="1"/>
    <x v="0"/>
    <x v="0"/>
    <x v="2"/>
    <n v="83.17"/>
    <n v="6"/>
    <n v="24.951000000000001"/>
    <n v="523.971"/>
    <x v="80"/>
    <d v="1899-12-30T11:23:00"/>
    <x v="1"/>
    <n v="499.02"/>
    <n v="4.7619047620000003"/>
    <n v="24.951000000000001"/>
    <n v="7.3"/>
  </r>
  <r>
    <s v="609-81-8548"/>
    <s v="A"/>
    <x v="0"/>
    <x v="0"/>
    <x v="0"/>
    <x v="2"/>
    <n v="37.44"/>
    <n v="6"/>
    <n v="11.231999999999999"/>
    <n v="235.87200000000001"/>
    <x v="10"/>
    <d v="1899-12-30T13:55:00"/>
    <x v="2"/>
    <n v="224.64"/>
    <n v="4.7619047620000003"/>
    <n v="11.231999999999999"/>
    <n v="5.9"/>
  </r>
  <r>
    <s v="133-14-7229"/>
    <s v="C"/>
    <x v="1"/>
    <x v="1"/>
    <x v="1"/>
    <x v="0"/>
    <n v="62.87"/>
    <n v="2"/>
    <n v="6.2869999999999999"/>
    <n v="132.02699999999999"/>
    <x v="17"/>
    <d v="1899-12-30T11:43:00"/>
    <x v="1"/>
    <n v="125.74"/>
    <n v="4.7619047620000003"/>
    <n v="6.2869999999999999"/>
    <n v="5"/>
  </r>
  <r>
    <s v="534-01-4457"/>
    <s v="A"/>
    <x v="0"/>
    <x v="1"/>
    <x v="1"/>
    <x v="4"/>
    <n v="81.709999999999994"/>
    <n v="6"/>
    <n v="24.513000000000002"/>
    <n v="514.77300000000002"/>
    <x v="3"/>
    <d v="1899-12-30T14:36:00"/>
    <x v="2"/>
    <n v="490.26"/>
    <n v="4.7619047620000003"/>
    <n v="24.513000000000002"/>
    <n v="8"/>
  </r>
  <r>
    <s v="719-89-8991"/>
    <s v="A"/>
    <x v="0"/>
    <x v="0"/>
    <x v="0"/>
    <x v="3"/>
    <n v="91.41"/>
    <n v="5"/>
    <n v="22.852499999999999"/>
    <n v="479.90249999999997"/>
    <x v="6"/>
    <d v="1899-12-30T16:03:00"/>
    <x v="0"/>
    <n v="457.05"/>
    <n v="4.7619047620000003"/>
    <n v="22.852499999999999"/>
    <n v="7.1"/>
  </r>
  <r>
    <s v="286-62-6248"/>
    <s v="B"/>
    <x v="2"/>
    <x v="1"/>
    <x v="1"/>
    <x v="5"/>
    <n v="39.21"/>
    <n v="4"/>
    <n v="7.8419999999999996"/>
    <n v="164.68199999999999"/>
    <x v="65"/>
    <d v="1899-12-30T20:03:00"/>
    <x v="2"/>
    <n v="156.84"/>
    <n v="4.7619047620000003"/>
    <n v="7.8419999999999996"/>
    <n v="9"/>
  </r>
  <r>
    <s v="339-38-9982"/>
    <s v="B"/>
    <x v="2"/>
    <x v="0"/>
    <x v="1"/>
    <x v="5"/>
    <n v="59.86"/>
    <n v="2"/>
    <n v="5.9859999999999998"/>
    <n v="125.706"/>
    <x v="50"/>
    <d v="1899-12-30T14:55:00"/>
    <x v="0"/>
    <n v="119.72"/>
    <n v="4.7619047620000003"/>
    <n v="5.9859999999999998"/>
    <n v="6.7"/>
  </r>
  <r>
    <s v="827-44-5872"/>
    <s v="B"/>
    <x v="2"/>
    <x v="0"/>
    <x v="0"/>
    <x v="4"/>
    <n v="54.36"/>
    <n v="10"/>
    <n v="27.18"/>
    <n v="570.78"/>
    <x v="13"/>
    <d v="1899-12-30T11:28:00"/>
    <x v="2"/>
    <n v="543.6"/>
    <n v="4.7619047620000003"/>
    <n v="27.18"/>
    <n v="6.1"/>
  </r>
  <r>
    <s v="827-77-7633"/>
    <s v="A"/>
    <x v="0"/>
    <x v="1"/>
    <x v="1"/>
    <x v="3"/>
    <n v="98.09"/>
    <n v="9"/>
    <n v="44.140500000000003"/>
    <n v="926.95050000000003"/>
    <x v="21"/>
    <d v="1899-12-30T19:41:00"/>
    <x v="1"/>
    <n v="882.81"/>
    <n v="4.7619047620000003"/>
    <n v="44.140500000000003"/>
    <n v="9.3000000000000007"/>
  </r>
  <r>
    <s v="287-83-1405"/>
    <s v="A"/>
    <x v="0"/>
    <x v="1"/>
    <x v="1"/>
    <x v="0"/>
    <n v="25.43"/>
    <n v="6"/>
    <n v="7.6289999999999996"/>
    <n v="160.209"/>
    <x v="12"/>
    <d v="1899-12-30T19:01:00"/>
    <x v="0"/>
    <n v="152.58000000000001"/>
    <n v="4.7619047620000003"/>
    <n v="7.6289999999999996"/>
    <n v="7"/>
  </r>
  <r>
    <s v="435-13-4908"/>
    <s v="A"/>
    <x v="0"/>
    <x v="0"/>
    <x v="1"/>
    <x v="5"/>
    <n v="86.68"/>
    <n v="8"/>
    <n v="34.671999999999997"/>
    <n v="728.11199999999997"/>
    <x v="46"/>
    <d v="1899-12-30T18:04:00"/>
    <x v="2"/>
    <n v="693.44"/>
    <n v="4.7619047620000003"/>
    <n v="34.671999999999997"/>
    <n v="7.2"/>
  </r>
  <r>
    <s v="857-67-9057"/>
    <s v="B"/>
    <x v="2"/>
    <x v="1"/>
    <x v="1"/>
    <x v="1"/>
    <n v="22.95"/>
    <n v="10"/>
    <n v="11.475"/>
    <n v="240.97499999999999"/>
    <x v="10"/>
    <d v="1899-12-30T19:20:00"/>
    <x v="0"/>
    <n v="229.5"/>
    <n v="4.7619047620000003"/>
    <n v="11.475"/>
    <n v="8.1999999999999993"/>
  </r>
  <r>
    <s v="236-27-1144"/>
    <s v="C"/>
    <x v="1"/>
    <x v="1"/>
    <x v="0"/>
    <x v="4"/>
    <n v="16.309999999999999"/>
    <n v="9"/>
    <n v="7.3395000000000001"/>
    <n v="154.12950000000001"/>
    <x v="58"/>
    <d v="1899-12-30T10:31:00"/>
    <x v="0"/>
    <n v="146.79"/>
    <n v="4.7619047620000003"/>
    <n v="7.3395000000000001"/>
    <n v="8.4"/>
  </r>
  <r>
    <s v="892-05-6689"/>
    <s v="A"/>
    <x v="0"/>
    <x v="1"/>
    <x v="0"/>
    <x v="2"/>
    <n v="28.32"/>
    <n v="5"/>
    <n v="7.08"/>
    <n v="148.68"/>
    <x v="16"/>
    <d v="1899-12-30T13:28:00"/>
    <x v="0"/>
    <n v="141.6"/>
    <n v="4.7619047620000003"/>
    <n v="7.08"/>
    <n v="6.2"/>
  </r>
  <r>
    <s v="583-41-4548"/>
    <s v="C"/>
    <x v="1"/>
    <x v="1"/>
    <x v="1"/>
    <x v="2"/>
    <n v="16.670000000000002"/>
    <n v="7"/>
    <n v="5.8345000000000002"/>
    <n v="122.5245"/>
    <x v="13"/>
    <d v="1899-12-30T11:36:00"/>
    <x v="0"/>
    <n v="116.69"/>
    <n v="4.7619047620000003"/>
    <n v="5.8345000000000002"/>
    <n v="7.4"/>
  </r>
  <r>
    <s v="339-12-4827"/>
    <s v="B"/>
    <x v="2"/>
    <x v="0"/>
    <x v="0"/>
    <x v="5"/>
    <n v="73.959999999999994"/>
    <n v="1"/>
    <n v="3.698"/>
    <n v="77.658000000000001"/>
    <x v="0"/>
    <d v="1899-12-30T11:32:00"/>
    <x v="2"/>
    <n v="73.959999999999994"/>
    <n v="4.7619047620000003"/>
    <n v="3.698"/>
    <n v="5"/>
  </r>
  <r>
    <s v="643-38-7867"/>
    <s v="A"/>
    <x v="0"/>
    <x v="1"/>
    <x v="1"/>
    <x v="2"/>
    <n v="97.94"/>
    <n v="1"/>
    <n v="4.8970000000000002"/>
    <n v="102.837"/>
    <x v="37"/>
    <d v="1899-12-30T11:44:00"/>
    <x v="0"/>
    <n v="97.94"/>
    <n v="4.7619047620000003"/>
    <n v="4.8970000000000002"/>
    <n v="6.9"/>
  </r>
  <r>
    <s v="308-81-0538"/>
    <s v="A"/>
    <x v="0"/>
    <x v="1"/>
    <x v="0"/>
    <x v="5"/>
    <n v="73.05"/>
    <n v="4"/>
    <n v="14.61"/>
    <n v="306.81"/>
    <x v="6"/>
    <d v="1899-12-30T17:16:00"/>
    <x v="2"/>
    <n v="292.2"/>
    <n v="4.7619047620000003"/>
    <n v="14.61"/>
    <n v="4.9000000000000004"/>
  </r>
  <r>
    <s v="358-88-9262"/>
    <s v="C"/>
    <x v="1"/>
    <x v="0"/>
    <x v="0"/>
    <x v="4"/>
    <n v="87.48"/>
    <n v="6"/>
    <n v="26.244"/>
    <n v="551.12400000000002"/>
    <x v="60"/>
    <d v="1899-12-30T18:43:00"/>
    <x v="0"/>
    <n v="524.88"/>
    <n v="4.7619047620000003"/>
    <n v="26.244"/>
    <n v="5.0999999999999996"/>
  </r>
  <r>
    <s v="460-35-4390"/>
    <s v="A"/>
    <x v="0"/>
    <x v="1"/>
    <x v="1"/>
    <x v="2"/>
    <n v="30.68"/>
    <n v="3"/>
    <n v="4.6020000000000003"/>
    <n v="96.641999999999996"/>
    <x v="49"/>
    <d v="1899-12-30T11:00:00"/>
    <x v="0"/>
    <n v="92.04"/>
    <n v="4.7619047620000003"/>
    <n v="4.6020000000000003"/>
    <n v="9.1"/>
  </r>
  <r>
    <s v="343-87-0864"/>
    <s v="C"/>
    <x v="1"/>
    <x v="0"/>
    <x v="1"/>
    <x v="0"/>
    <n v="75.88"/>
    <n v="1"/>
    <n v="3.794"/>
    <n v="79.674000000000007"/>
    <x v="75"/>
    <d v="1899-12-30T10:30:00"/>
    <x v="2"/>
    <n v="75.88"/>
    <n v="4.7619047620000003"/>
    <n v="3.794"/>
    <n v="7.1"/>
  </r>
  <r>
    <s v="173-50-1108"/>
    <s v="B"/>
    <x v="2"/>
    <x v="0"/>
    <x v="0"/>
    <x v="3"/>
    <n v="20.18"/>
    <n v="4"/>
    <n v="4.0359999999999996"/>
    <n v="84.756"/>
    <x v="77"/>
    <d v="1899-12-30T12:14:00"/>
    <x v="2"/>
    <n v="80.72"/>
    <n v="4.7619047620000003"/>
    <n v="4.0359999999999996"/>
    <n v="5"/>
  </r>
  <r>
    <s v="243-47-2663"/>
    <s v="C"/>
    <x v="1"/>
    <x v="0"/>
    <x v="1"/>
    <x v="1"/>
    <n v="18.77"/>
    <n v="6"/>
    <n v="5.6310000000000002"/>
    <n v="118.251"/>
    <x v="26"/>
    <d v="1899-12-30T16:43:00"/>
    <x v="2"/>
    <n v="112.62"/>
    <n v="4.7619047620000003"/>
    <n v="5.6310000000000002"/>
    <n v="5.5"/>
  </r>
  <r>
    <s v="841-18-8232"/>
    <s v="B"/>
    <x v="2"/>
    <x v="1"/>
    <x v="0"/>
    <x v="4"/>
    <n v="71.2"/>
    <n v="1"/>
    <n v="3.56"/>
    <n v="74.760000000000005"/>
    <x v="0"/>
    <d v="1899-12-30T20:40:00"/>
    <x v="2"/>
    <n v="71.2"/>
    <n v="4.7619047620000003"/>
    <n v="3.56"/>
    <n v="9.1999999999999993"/>
  </r>
  <r>
    <s v="701-23-5550"/>
    <s v="B"/>
    <x v="2"/>
    <x v="0"/>
    <x v="1"/>
    <x v="2"/>
    <n v="38.81"/>
    <n v="4"/>
    <n v="7.7619999999999996"/>
    <n v="163.00200000000001"/>
    <x v="35"/>
    <d v="1899-12-30T13:40:00"/>
    <x v="0"/>
    <n v="155.24"/>
    <n v="4.7619047620000003"/>
    <n v="7.7619999999999996"/>
    <n v="4.9000000000000004"/>
  </r>
  <r>
    <s v="647-50-1224"/>
    <s v="A"/>
    <x v="0"/>
    <x v="1"/>
    <x v="0"/>
    <x v="5"/>
    <n v="29.42"/>
    <n v="10"/>
    <n v="14.71"/>
    <n v="308.91000000000003"/>
    <x v="52"/>
    <d v="1899-12-30T16:23:00"/>
    <x v="0"/>
    <n v="294.2"/>
    <n v="4.7619047620000003"/>
    <n v="14.71"/>
    <n v="8.9"/>
  </r>
  <r>
    <s v="541-48-8554"/>
    <s v="A"/>
    <x v="0"/>
    <x v="1"/>
    <x v="1"/>
    <x v="3"/>
    <n v="60.95"/>
    <n v="9"/>
    <n v="27.427499999999998"/>
    <n v="575.97749999999996"/>
    <x v="27"/>
    <d v="1899-12-30T12:08:00"/>
    <x v="2"/>
    <n v="548.54999999999995"/>
    <n v="4.7619047620000003"/>
    <n v="27.427499999999998"/>
    <n v="6"/>
  </r>
  <r>
    <s v="539-21-7227"/>
    <s v="B"/>
    <x v="2"/>
    <x v="1"/>
    <x v="0"/>
    <x v="3"/>
    <n v="51.54"/>
    <n v="5"/>
    <n v="12.885"/>
    <n v="270.58499999999998"/>
    <x v="53"/>
    <d v="1899-12-30T17:45:00"/>
    <x v="1"/>
    <n v="257.7"/>
    <n v="4.7619047620000003"/>
    <n v="12.885"/>
    <n v="4.2"/>
  </r>
  <r>
    <s v="213-32-1216"/>
    <s v="A"/>
    <x v="0"/>
    <x v="1"/>
    <x v="0"/>
    <x v="1"/>
    <n v="66.06"/>
    <n v="6"/>
    <n v="19.818000000000001"/>
    <n v="416.178"/>
    <x v="54"/>
    <d v="1899-12-30T10:28:00"/>
    <x v="1"/>
    <n v="396.36"/>
    <n v="4.7619047620000003"/>
    <n v="19.818000000000001"/>
    <n v="7.3"/>
  </r>
  <r>
    <s v="747-58-7183"/>
    <s v="B"/>
    <x v="2"/>
    <x v="1"/>
    <x v="1"/>
    <x v="5"/>
    <n v="57.27"/>
    <n v="3"/>
    <n v="8.5905000000000005"/>
    <n v="180.40049999999999"/>
    <x v="57"/>
    <d v="1899-12-30T20:31:00"/>
    <x v="0"/>
    <n v="171.81"/>
    <n v="4.7619047620000003"/>
    <n v="8.5905000000000005"/>
    <n v="6.5"/>
  </r>
  <r>
    <s v="582-52-8065"/>
    <s v="B"/>
    <x v="2"/>
    <x v="1"/>
    <x v="0"/>
    <x v="5"/>
    <n v="54.31"/>
    <n v="9"/>
    <n v="24.439499999999999"/>
    <n v="513.22950000000003"/>
    <x v="70"/>
    <d v="1899-12-30T10:49:00"/>
    <x v="1"/>
    <n v="488.79"/>
    <n v="4.7619047620000003"/>
    <n v="24.439499999999999"/>
    <n v="8.9"/>
  </r>
  <r>
    <s v="210-57-1719"/>
    <s v="B"/>
    <x v="2"/>
    <x v="1"/>
    <x v="0"/>
    <x v="0"/>
    <n v="58.24"/>
    <n v="9"/>
    <n v="26.207999999999998"/>
    <n v="550.36800000000005"/>
    <x v="63"/>
    <d v="1899-12-30T12:34:00"/>
    <x v="1"/>
    <n v="524.16"/>
    <n v="4.7619047620000003"/>
    <n v="26.207999999999998"/>
    <n v="9.6999999999999993"/>
  </r>
  <r>
    <s v="399-69-4630"/>
    <s v="C"/>
    <x v="1"/>
    <x v="1"/>
    <x v="1"/>
    <x v="1"/>
    <n v="22.21"/>
    <n v="6"/>
    <n v="6.6630000000000003"/>
    <n v="139.923"/>
    <x v="37"/>
    <d v="1899-12-30T10:23:00"/>
    <x v="2"/>
    <n v="133.26"/>
    <n v="4.7619047620000003"/>
    <n v="6.6630000000000003"/>
    <n v="8.6"/>
  </r>
  <r>
    <s v="134-75-2619"/>
    <s v="A"/>
    <x v="0"/>
    <x v="0"/>
    <x v="1"/>
    <x v="1"/>
    <n v="19.32"/>
    <n v="7"/>
    <n v="6.7619999999999996"/>
    <n v="142.00200000000001"/>
    <x v="5"/>
    <d v="1899-12-30T18:51:00"/>
    <x v="1"/>
    <n v="135.24"/>
    <n v="4.7619047620000003"/>
    <n v="6.7619999999999996"/>
    <n v="6.9"/>
  </r>
  <r>
    <s v="356-44-8813"/>
    <s v="B"/>
    <x v="2"/>
    <x v="1"/>
    <x v="1"/>
    <x v="2"/>
    <n v="37.479999999999997"/>
    <n v="3"/>
    <n v="5.6219999999999999"/>
    <n v="118.062"/>
    <x v="40"/>
    <d v="1899-12-30T13:45:00"/>
    <x v="2"/>
    <n v="112.44"/>
    <n v="4.7619047620000003"/>
    <n v="5.6219999999999999"/>
    <n v="7.7"/>
  </r>
  <r>
    <s v="198-66-9832"/>
    <s v="B"/>
    <x v="2"/>
    <x v="0"/>
    <x v="0"/>
    <x v="5"/>
    <n v="72.040000000000006"/>
    <n v="2"/>
    <n v="7.2039999999999997"/>
    <n v="151.28399999999999"/>
    <x v="87"/>
    <d v="1899-12-30T19:38:00"/>
    <x v="1"/>
    <n v="144.08000000000001"/>
    <n v="4.7619047620000003"/>
    <n v="7.2039999999999997"/>
    <n v="9.5"/>
  </r>
  <r>
    <s v="283-26-5248"/>
    <s v="C"/>
    <x v="1"/>
    <x v="0"/>
    <x v="0"/>
    <x v="4"/>
    <n v="98.52"/>
    <n v="10"/>
    <n v="49.26"/>
    <n v="1034.46"/>
    <x v="74"/>
    <d v="1899-12-30T20:23:00"/>
    <x v="0"/>
    <n v="985.2"/>
    <n v="4.7619047620000003"/>
    <n v="49.26"/>
    <n v="4.5"/>
  </r>
  <r>
    <s v="712-39-0363"/>
    <s v="A"/>
    <x v="0"/>
    <x v="0"/>
    <x v="1"/>
    <x v="4"/>
    <n v="41.66"/>
    <n v="6"/>
    <n v="12.497999999999999"/>
    <n v="262.45800000000003"/>
    <x v="56"/>
    <d v="1899-12-30T15:24:00"/>
    <x v="0"/>
    <n v="249.96"/>
    <n v="4.7619047620000003"/>
    <n v="12.497999999999999"/>
    <n v="5.6"/>
  </r>
  <r>
    <s v="218-59-9410"/>
    <s v="A"/>
    <x v="0"/>
    <x v="0"/>
    <x v="0"/>
    <x v="2"/>
    <n v="72.42"/>
    <n v="3"/>
    <n v="10.863"/>
    <n v="228.12299999999999"/>
    <x v="14"/>
    <d v="1899-12-30T16:54:00"/>
    <x v="0"/>
    <n v="217.26"/>
    <n v="4.7619047620000003"/>
    <n v="10.863"/>
    <n v="8.1999999999999993"/>
  </r>
  <r>
    <s v="174-75-0888"/>
    <s v="B"/>
    <x v="2"/>
    <x v="1"/>
    <x v="1"/>
    <x v="1"/>
    <n v="21.58"/>
    <n v="9"/>
    <n v="9.7110000000000003"/>
    <n v="203.93100000000001"/>
    <x v="86"/>
    <d v="1899-12-30T12:32:00"/>
    <x v="1"/>
    <n v="194.22"/>
    <n v="4.7619047620000003"/>
    <n v="9.7110000000000003"/>
    <n v="7.3"/>
  </r>
  <r>
    <s v="866-99-7614"/>
    <s v="C"/>
    <x v="1"/>
    <x v="1"/>
    <x v="1"/>
    <x v="4"/>
    <n v="89.2"/>
    <n v="10"/>
    <n v="44.6"/>
    <n v="936.6"/>
    <x v="48"/>
    <d v="1899-12-30T15:42:00"/>
    <x v="2"/>
    <n v="892"/>
    <n v="4.7619047620000003"/>
    <n v="44.6"/>
    <n v="4.4000000000000004"/>
  </r>
  <r>
    <s v="134-54-4720"/>
    <s v="B"/>
    <x v="2"/>
    <x v="1"/>
    <x v="0"/>
    <x v="1"/>
    <n v="42.42"/>
    <n v="8"/>
    <n v="16.968"/>
    <n v="356.32799999999997"/>
    <x v="74"/>
    <d v="1899-12-30T13:58:00"/>
    <x v="0"/>
    <n v="339.36"/>
    <n v="4.7619047620000003"/>
    <n v="16.968"/>
    <n v="5.7"/>
  </r>
  <r>
    <s v="760-90-2357"/>
    <s v="A"/>
    <x v="0"/>
    <x v="0"/>
    <x v="1"/>
    <x v="1"/>
    <n v="74.510000000000005"/>
    <n v="6"/>
    <n v="22.353000000000002"/>
    <n v="469.41300000000001"/>
    <x v="80"/>
    <d v="1899-12-30T15:08:00"/>
    <x v="0"/>
    <n v="447.06"/>
    <n v="4.7619047620000003"/>
    <n v="22.353000000000002"/>
    <n v="5"/>
  </r>
  <r>
    <s v="514-37-2845"/>
    <s v="B"/>
    <x v="2"/>
    <x v="1"/>
    <x v="1"/>
    <x v="5"/>
    <n v="99.25"/>
    <n v="2"/>
    <n v="9.9250000000000007"/>
    <n v="208.42500000000001"/>
    <x v="80"/>
    <d v="1899-12-30T13:02:00"/>
    <x v="1"/>
    <n v="198.5"/>
    <n v="4.7619047620000003"/>
    <n v="9.9250000000000007"/>
    <n v="9"/>
  </r>
  <r>
    <s v="698-98-5964"/>
    <s v="A"/>
    <x v="0"/>
    <x v="1"/>
    <x v="0"/>
    <x v="4"/>
    <n v="81.209999999999994"/>
    <n v="10"/>
    <n v="40.604999999999997"/>
    <n v="852.70500000000004"/>
    <x v="29"/>
    <d v="1899-12-30T13:01:00"/>
    <x v="2"/>
    <n v="812.1"/>
    <n v="4.7619047620000003"/>
    <n v="40.604999999999997"/>
    <n v="6.3"/>
  </r>
  <r>
    <s v="718-57-9773"/>
    <s v="C"/>
    <x v="1"/>
    <x v="1"/>
    <x v="0"/>
    <x v="3"/>
    <n v="49.33"/>
    <n v="10"/>
    <n v="24.664999999999999"/>
    <n v="517.96500000000003"/>
    <x v="36"/>
    <d v="1899-12-30T16:40:00"/>
    <x v="2"/>
    <n v="493.3"/>
    <n v="4.7619047620000003"/>
    <n v="24.664999999999999"/>
    <n v="9.4"/>
  </r>
  <r>
    <s v="651-88-7328"/>
    <s v="A"/>
    <x v="0"/>
    <x v="1"/>
    <x v="0"/>
    <x v="5"/>
    <n v="65.739999999999995"/>
    <n v="9"/>
    <n v="29.582999999999998"/>
    <n v="621.24300000000005"/>
    <x v="17"/>
    <d v="1899-12-30T13:55:00"/>
    <x v="1"/>
    <n v="591.66"/>
    <n v="4.7619047620000003"/>
    <n v="29.582999999999998"/>
    <n v="7.7"/>
  </r>
  <r>
    <s v="241-11-2261"/>
    <s v="B"/>
    <x v="2"/>
    <x v="1"/>
    <x v="0"/>
    <x v="5"/>
    <n v="79.86"/>
    <n v="7"/>
    <n v="27.951000000000001"/>
    <n v="586.971"/>
    <x v="8"/>
    <d v="1899-12-30T10:33:00"/>
    <x v="2"/>
    <n v="559.02"/>
    <n v="4.7619047620000003"/>
    <n v="27.951000000000001"/>
    <n v="5.5"/>
  </r>
  <r>
    <s v="408-26-9866"/>
    <s v="C"/>
    <x v="1"/>
    <x v="1"/>
    <x v="0"/>
    <x v="3"/>
    <n v="73.98"/>
    <n v="7"/>
    <n v="25.893000000000001"/>
    <n v="543.75300000000004"/>
    <x v="22"/>
    <d v="1899-12-30T16:42:00"/>
    <x v="0"/>
    <n v="517.86"/>
    <n v="4.7619047620000003"/>
    <n v="25.893000000000001"/>
    <n v="4.0999999999999996"/>
  </r>
  <r>
    <s v="834-83-1826"/>
    <s v="B"/>
    <x v="2"/>
    <x v="0"/>
    <x v="0"/>
    <x v="2"/>
    <n v="82.04"/>
    <n v="5"/>
    <n v="20.51"/>
    <n v="430.71"/>
    <x v="6"/>
    <d v="1899-12-30T17:16:00"/>
    <x v="2"/>
    <n v="410.2"/>
    <n v="4.7619047620000003"/>
    <n v="20.51"/>
    <n v="7.6"/>
  </r>
  <r>
    <s v="343-61-3544"/>
    <s v="B"/>
    <x v="2"/>
    <x v="0"/>
    <x v="1"/>
    <x v="3"/>
    <n v="26.67"/>
    <n v="10"/>
    <n v="13.335000000000001"/>
    <n v="280.03500000000003"/>
    <x v="71"/>
    <d v="1899-12-30T11:48:00"/>
    <x v="1"/>
    <n v="266.7"/>
    <n v="4.7619047620000003"/>
    <n v="13.335000000000001"/>
    <n v="8.6"/>
  </r>
  <r>
    <s v="239-48-4278"/>
    <s v="A"/>
    <x v="0"/>
    <x v="0"/>
    <x v="1"/>
    <x v="4"/>
    <n v="10.130000000000001"/>
    <n v="7"/>
    <n v="3.5455000000000001"/>
    <n v="74.455500000000001"/>
    <x v="24"/>
    <d v="1899-12-30T19:35:00"/>
    <x v="0"/>
    <n v="70.91"/>
    <n v="4.7619047620000003"/>
    <n v="3.5455000000000001"/>
    <n v="8.3000000000000007"/>
  </r>
  <r>
    <s v="355-34-6244"/>
    <s v="B"/>
    <x v="2"/>
    <x v="1"/>
    <x v="1"/>
    <x v="4"/>
    <n v="72.39"/>
    <n v="2"/>
    <n v="7.2389999999999999"/>
    <n v="152.01900000000001"/>
    <x v="50"/>
    <d v="1899-12-30T19:55:00"/>
    <x v="2"/>
    <n v="144.78"/>
    <n v="4.7619047620000003"/>
    <n v="7.2389999999999999"/>
    <n v="8.1"/>
  </r>
  <r>
    <s v="550-84-8664"/>
    <s v="A"/>
    <x v="0"/>
    <x v="1"/>
    <x v="1"/>
    <x v="3"/>
    <n v="85.91"/>
    <n v="5"/>
    <n v="21.477499999999999"/>
    <n v="451.02749999999997"/>
    <x v="23"/>
    <d v="1899-12-30T14:33:00"/>
    <x v="2"/>
    <n v="429.55"/>
    <n v="4.7619047620000003"/>
    <n v="21.477499999999999"/>
    <n v="8.6"/>
  </r>
  <r>
    <s v="339-96-8318"/>
    <s v="B"/>
    <x v="2"/>
    <x v="0"/>
    <x v="1"/>
    <x v="5"/>
    <n v="81.31"/>
    <n v="7"/>
    <n v="28.458500000000001"/>
    <n v="597.62850000000003"/>
    <x v="59"/>
    <d v="1899-12-30T19:49:00"/>
    <x v="0"/>
    <n v="569.16999999999996"/>
    <n v="4.7619047620000003"/>
    <n v="28.458500000000001"/>
    <n v="6.3"/>
  </r>
  <r>
    <s v="458-61-0011"/>
    <s v="B"/>
    <x v="2"/>
    <x v="1"/>
    <x v="1"/>
    <x v="4"/>
    <n v="60.3"/>
    <n v="4"/>
    <n v="12.06"/>
    <n v="253.26"/>
    <x v="9"/>
    <d v="1899-12-30T18:43:00"/>
    <x v="1"/>
    <n v="241.2"/>
    <n v="4.7619047620000003"/>
    <n v="12.06"/>
    <n v="5.8"/>
  </r>
  <r>
    <s v="592-34-6155"/>
    <s v="C"/>
    <x v="1"/>
    <x v="1"/>
    <x v="1"/>
    <x v="4"/>
    <n v="31.77"/>
    <n v="4"/>
    <n v="6.3540000000000001"/>
    <n v="133.434"/>
    <x v="78"/>
    <d v="1899-12-30T14:43:00"/>
    <x v="0"/>
    <n v="127.08"/>
    <n v="4.7619047620000003"/>
    <n v="6.3540000000000001"/>
    <n v="6.2"/>
  </r>
  <r>
    <s v="797-88-0493"/>
    <s v="A"/>
    <x v="0"/>
    <x v="1"/>
    <x v="0"/>
    <x v="0"/>
    <n v="64.27"/>
    <n v="4"/>
    <n v="12.853999999999999"/>
    <n v="269.93400000000003"/>
    <x v="58"/>
    <d v="1899-12-30T13:54:00"/>
    <x v="1"/>
    <n v="257.08"/>
    <n v="4.7619047620000003"/>
    <n v="12.853999999999999"/>
    <n v="7.7"/>
  </r>
  <r>
    <s v="207-73-1363"/>
    <s v="B"/>
    <x v="2"/>
    <x v="1"/>
    <x v="1"/>
    <x v="0"/>
    <n v="69.510000000000005"/>
    <n v="2"/>
    <n v="6.9509999999999996"/>
    <n v="145.971"/>
    <x v="59"/>
    <d v="1899-12-30T12:15:00"/>
    <x v="0"/>
    <n v="139.02000000000001"/>
    <n v="4.7619047620000003"/>
    <n v="6.9509999999999996"/>
    <n v="8.1"/>
  </r>
  <r>
    <s v="390-31-6381"/>
    <s v="C"/>
    <x v="1"/>
    <x v="1"/>
    <x v="1"/>
    <x v="4"/>
    <n v="27.22"/>
    <n v="3"/>
    <n v="4.0830000000000002"/>
    <n v="85.742999999999995"/>
    <x v="27"/>
    <d v="1899-12-30T12:37:00"/>
    <x v="1"/>
    <n v="81.66"/>
    <n v="4.7619047620000003"/>
    <n v="4.0830000000000002"/>
    <n v="7.3"/>
  </r>
  <r>
    <s v="443-82-0585"/>
    <s v="A"/>
    <x v="0"/>
    <x v="0"/>
    <x v="0"/>
    <x v="0"/>
    <n v="77.680000000000007"/>
    <n v="4"/>
    <n v="15.536"/>
    <n v="326.25599999999997"/>
    <x v="60"/>
    <d v="1899-12-30T19:54:00"/>
    <x v="1"/>
    <n v="310.72000000000003"/>
    <n v="4.7619047620000003"/>
    <n v="15.536"/>
    <n v="8.4"/>
  </r>
  <r>
    <s v="339-18-7061"/>
    <s v="C"/>
    <x v="1"/>
    <x v="0"/>
    <x v="0"/>
    <x v="5"/>
    <n v="92.98"/>
    <n v="2"/>
    <n v="9.298"/>
    <n v="195.25800000000001"/>
    <x v="77"/>
    <d v="1899-12-30T15:06:00"/>
    <x v="2"/>
    <n v="185.96"/>
    <n v="4.7619047620000003"/>
    <n v="9.298"/>
    <n v="8"/>
  </r>
  <r>
    <s v="359-90-3665"/>
    <s v="B"/>
    <x v="2"/>
    <x v="0"/>
    <x v="0"/>
    <x v="5"/>
    <n v="18.079999999999998"/>
    <n v="4"/>
    <n v="3.6160000000000001"/>
    <n v="75.936000000000007"/>
    <x v="78"/>
    <d v="1899-12-30T18:03:00"/>
    <x v="2"/>
    <n v="72.319999999999993"/>
    <n v="4.7619047620000003"/>
    <n v="3.6160000000000001"/>
    <n v="9.5"/>
  </r>
  <r>
    <s v="375-72-3056"/>
    <s v="B"/>
    <x v="2"/>
    <x v="1"/>
    <x v="1"/>
    <x v="3"/>
    <n v="63.06"/>
    <n v="3"/>
    <n v="9.4589999999999996"/>
    <n v="198.63900000000001"/>
    <x v="64"/>
    <d v="1899-12-30T15:58:00"/>
    <x v="0"/>
    <n v="189.18"/>
    <n v="4.7619047620000003"/>
    <n v="9.4589999999999996"/>
    <n v="7"/>
  </r>
  <r>
    <s v="127-47-6963"/>
    <s v="A"/>
    <x v="0"/>
    <x v="1"/>
    <x v="1"/>
    <x v="0"/>
    <n v="51.71"/>
    <n v="4"/>
    <n v="10.342000000000001"/>
    <n v="217.18199999999999"/>
    <x v="11"/>
    <d v="1899-12-30T13:53:00"/>
    <x v="2"/>
    <n v="206.84"/>
    <n v="4.7619047620000003"/>
    <n v="10.342000000000001"/>
    <n v="9.8000000000000007"/>
  </r>
  <r>
    <s v="278-86-2735"/>
    <s v="A"/>
    <x v="0"/>
    <x v="1"/>
    <x v="0"/>
    <x v="4"/>
    <n v="52.34"/>
    <n v="3"/>
    <n v="7.851"/>
    <n v="164.87100000000001"/>
    <x v="39"/>
    <d v="1899-12-30T14:03:00"/>
    <x v="1"/>
    <n v="157.02000000000001"/>
    <n v="4.7619047620000003"/>
    <n v="7.851"/>
    <n v="9.1999999999999993"/>
  </r>
  <r>
    <s v="695-28-6250"/>
    <s v="A"/>
    <x v="0"/>
    <x v="1"/>
    <x v="0"/>
    <x v="3"/>
    <n v="43.06"/>
    <n v="5"/>
    <n v="10.765000000000001"/>
    <n v="226.065"/>
    <x v="87"/>
    <d v="1899-12-30T16:38:00"/>
    <x v="0"/>
    <n v="215.3"/>
    <n v="4.7619047620000003"/>
    <n v="10.765000000000001"/>
    <n v="7.7"/>
  </r>
  <r>
    <s v="379-17-6588"/>
    <s v="C"/>
    <x v="1"/>
    <x v="1"/>
    <x v="1"/>
    <x v="5"/>
    <n v="59.61"/>
    <n v="10"/>
    <n v="29.805"/>
    <n v="625.90499999999997"/>
    <x v="86"/>
    <d v="1899-12-30T11:07:00"/>
    <x v="1"/>
    <n v="596.1"/>
    <n v="4.7619047620000003"/>
    <n v="29.805"/>
    <n v="5.3"/>
  </r>
  <r>
    <s v="227-50-3718"/>
    <s v="A"/>
    <x v="0"/>
    <x v="1"/>
    <x v="1"/>
    <x v="0"/>
    <n v="14.62"/>
    <n v="5"/>
    <n v="3.6549999999999998"/>
    <n v="76.754999999999995"/>
    <x v="31"/>
    <d v="1899-12-30T12:23:00"/>
    <x v="1"/>
    <n v="73.099999999999994"/>
    <n v="4.7619047620000003"/>
    <n v="3.6549999999999998"/>
    <n v="4.4000000000000004"/>
  </r>
  <r>
    <s v="302-15-2162"/>
    <s v="C"/>
    <x v="1"/>
    <x v="0"/>
    <x v="1"/>
    <x v="0"/>
    <n v="46.53"/>
    <n v="6"/>
    <n v="13.959"/>
    <n v="293.13900000000001"/>
    <x v="2"/>
    <d v="1899-12-30T10:54:00"/>
    <x v="2"/>
    <n v="279.18"/>
    <n v="4.7619047620000003"/>
    <n v="13.959"/>
    <n v="4.3"/>
  </r>
  <r>
    <s v="788-07-8452"/>
    <s v="C"/>
    <x v="1"/>
    <x v="0"/>
    <x v="0"/>
    <x v="2"/>
    <n v="24.24"/>
    <n v="7"/>
    <n v="8.484"/>
    <n v="178.16399999999999"/>
    <x v="3"/>
    <d v="1899-12-30T17:38:00"/>
    <x v="0"/>
    <n v="169.68"/>
    <n v="4.7619047620000003"/>
    <n v="8.484"/>
    <n v="9.4"/>
  </r>
  <r>
    <s v="560-49-6611"/>
    <s v="A"/>
    <x v="0"/>
    <x v="0"/>
    <x v="0"/>
    <x v="3"/>
    <n v="45.58"/>
    <n v="1"/>
    <n v="2.2789999999999999"/>
    <n v="47.859000000000002"/>
    <x v="13"/>
    <d v="1899-12-30T14:13:00"/>
    <x v="1"/>
    <n v="45.58"/>
    <n v="4.7619047620000003"/>
    <n v="2.2789999999999999"/>
    <n v="9.8000000000000007"/>
  </r>
  <r>
    <s v="880-35-0356"/>
    <s v="A"/>
    <x v="0"/>
    <x v="0"/>
    <x v="0"/>
    <x v="3"/>
    <n v="75.2"/>
    <n v="3"/>
    <n v="11.28"/>
    <n v="236.88"/>
    <x v="63"/>
    <d v="1899-12-30T11:51:00"/>
    <x v="0"/>
    <n v="225.6"/>
    <n v="4.7619047620000003"/>
    <n v="11.28"/>
    <n v="4.8"/>
  </r>
  <r>
    <s v="585-11-6748"/>
    <s v="B"/>
    <x v="2"/>
    <x v="0"/>
    <x v="1"/>
    <x v="3"/>
    <n v="96.8"/>
    <n v="3"/>
    <n v="14.52"/>
    <n v="304.92"/>
    <x v="20"/>
    <d v="1899-12-30T13:05:00"/>
    <x v="1"/>
    <n v="290.39999999999998"/>
    <n v="4.7619047620000003"/>
    <n v="14.52"/>
    <n v="5.3"/>
  </r>
  <r>
    <s v="470-31-3286"/>
    <s v="B"/>
    <x v="2"/>
    <x v="1"/>
    <x v="1"/>
    <x v="0"/>
    <n v="14.82"/>
    <n v="3"/>
    <n v="2.2229999999999999"/>
    <n v="46.683"/>
    <x v="59"/>
    <d v="1899-12-30T11:30:00"/>
    <x v="2"/>
    <n v="44.46"/>
    <n v="4.7619047620000003"/>
    <n v="2.2229999999999999"/>
    <n v="8.6999999999999993"/>
  </r>
  <r>
    <s v="152-68-2907"/>
    <s v="A"/>
    <x v="0"/>
    <x v="1"/>
    <x v="1"/>
    <x v="4"/>
    <n v="52.2"/>
    <n v="3"/>
    <n v="7.83"/>
    <n v="164.43"/>
    <x v="42"/>
    <d v="1899-12-30T13:30:00"/>
    <x v="2"/>
    <n v="156.6"/>
    <n v="4.7619047620000003"/>
    <n v="7.83"/>
    <n v="9.5"/>
  </r>
  <r>
    <s v="123-35-4896"/>
    <s v="C"/>
    <x v="1"/>
    <x v="1"/>
    <x v="0"/>
    <x v="3"/>
    <n v="46.66"/>
    <n v="9"/>
    <n v="20.997"/>
    <n v="440.93700000000001"/>
    <x v="21"/>
    <d v="1899-12-30T19:11:00"/>
    <x v="0"/>
    <n v="419.94"/>
    <n v="4.7619047620000003"/>
    <n v="20.997"/>
    <n v="5.3"/>
  </r>
  <r>
    <s v="258-69-7810"/>
    <s v="C"/>
    <x v="1"/>
    <x v="1"/>
    <x v="0"/>
    <x v="5"/>
    <n v="36.85"/>
    <n v="5"/>
    <n v="9.2125000000000004"/>
    <n v="193.46250000000001"/>
    <x v="53"/>
    <d v="1899-12-30T18:53:00"/>
    <x v="1"/>
    <n v="184.25"/>
    <n v="4.7619047620000003"/>
    <n v="9.2125000000000004"/>
    <n v="9.1999999999999993"/>
  </r>
  <r>
    <s v="334-64-2006"/>
    <s v="A"/>
    <x v="0"/>
    <x v="0"/>
    <x v="0"/>
    <x v="2"/>
    <n v="70.319999999999993"/>
    <n v="2"/>
    <n v="7.032"/>
    <n v="147.672"/>
    <x v="62"/>
    <d v="1899-12-30T14:22:00"/>
    <x v="0"/>
    <n v="140.63999999999999"/>
    <n v="4.7619047620000003"/>
    <n v="7.032"/>
    <n v="9.6"/>
  </r>
  <r>
    <s v="219-61-4139"/>
    <s v="C"/>
    <x v="1"/>
    <x v="1"/>
    <x v="1"/>
    <x v="1"/>
    <n v="83.08"/>
    <n v="1"/>
    <n v="4.1539999999999999"/>
    <n v="87.233999999999995"/>
    <x v="54"/>
    <d v="1899-12-30T17:16:00"/>
    <x v="0"/>
    <n v="83.08"/>
    <n v="4.7619047620000003"/>
    <n v="4.1539999999999999"/>
    <n v="6.4"/>
  </r>
  <r>
    <s v="881-41-7302"/>
    <s v="C"/>
    <x v="1"/>
    <x v="1"/>
    <x v="0"/>
    <x v="5"/>
    <n v="64.989999999999995"/>
    <n v="1"/>
    <n v="3.2494999999999998"/>
    <n v="68.239500000000007"/>
    <x v="53"/>
    <d v="1899-12-30T10:06:00"/>
    <x v="2"/>
    <n v="64.989999999999995"/>
    <n v="4.7619047620000003"/>
    <n v="3.2494999999999998"/>
    <n v="4.5"/>
  </r>
  <r>
    <s v="373-09-4567"/>
    <s v="C"/>
    <x v="1"/>
    <x v="1"/>
    <x v="1"/>
    <x v="4"/>
    <n v="77.56"/>
    <n v="10"/>
    <n v="38.78"/>
    <n v="814.38"/>
    <x v="86"/>
    <d v="1899-12-30T20:35:00"/>
    <x v="0"/>
    <n v="775.6"/>
    <n v="4.7619047620000003"/>
    <n v="38.78"/>
    <n v="6.9"/>
  </r>
  <r>
    <s v="642-30-6693"/>
    <s v="B"/>
    <x v="2"/>
    <x v="1"/>
    <x v="0"/>
    <x v="3"/>
    <n v="54.51"/>
    <n v="6"/>
    <n v="16.353000000000002"/>
    <n v="343.41300000000001"/>
    <x v="85"/>
    <d v="1899-12-30T13:54:00"/>
    <x v="0"/>
    <n v="327.06"/>
    <n v="4.7619047620000003"/>
    <n v="16.353000000000002"/>
    <n v="7.8"/>
  </r>
  <r>
    <s v="484-22-8230"/>
    <s v="C"/>
    <x v="1"/>
    <x v="0"/>
    <x v="0"/>
    <x v="5"/>
    <n v="51.89"/>
    <n v="7"/>
    <n v="18.1615"/>
    <n v="381.39150000000001"/>
    <x v="66"/>
    <d v="1899-12-30T20:08:00"/>
    <x v="1"/>
    <n v="363.23"/>
    <n v="4.7619047620000003"/>
    <n v="18.1615"/>
    <n v="4.5"/>
  </r>
  <r>
    <s v="830-58-2383"/>
    <s v="B"/>
    <x v="2"/>
    <x v="1"/>
    <x v="1"/>
    <x v="2"/>
    <n v="31.75"/>
    <n v="4"/>
    <n v="6.35"/>
    <n v="133.35"/>
    <x v="4"/>
    <d v="1899-12-30T15:26:00"/>
    <x v="1"/>
    <n v="127"/>
    <n v="4.7619047620000003"/>
    <n v="6.35"/>
    <n v="8.6"/>
  </r>
  <r>
    <s v="559-98-9873"/>
    <s v="A"/>
    <x v="0"/>
    <x v="0"/>
    <x v="0"/>
    <x v="5"/>
    <n v="53.65"/>
    <n v="7"/>
    <n v="18.7775"/>
    <n v="394.32749999999999"/>
    <x v="34"/>
    <d v="1899-12-30T12:56:00"/>
    <x v="0"/>
    <n v="375.55"/>
    <n v="4.7619047620000003"/>
    <n v="18.7775"/>
    <n v="5.2"/>
  </r>
  <r>
    <s v="544-32-5024"/>
    <s v="C"/>
    <x v="1"/>
    <x v="0"/>
    <x v="0"/>
    <x v="4"/>
    <n v="49.79"/>
    <n v="4"/>
    <n v="9.9580000000000002"/>
    <n v="209.11799999999999"/>
    <x v="61"/>
    <d v="1899-12-30T19:16:00"/>
    <x v="2"/>
    <n v="199.16"/>
    <n v="4.7619047620000003"/>
    <n v="9.9580000000000002"/>
    <n v="6.4"/>
  </r>
  <r>
    <s v="318-12-0304"/>
    <s v="A"/>
    <x v="0"/>
    <x v="1"/>
    <x v="1"/>
    <x v="5"/>
    <n v="30.61"/>
    <n v="1"/>
    <n v="1.5305"/>
    <n v="32.140500000000003"/>
    <x v="54"/>
    <d v="1899-12-30T12:20:00"/>
    <x v="0"/>
    <n v="30.61"/>
    <n v="4.7619047620000003"/>
    <n v="1.5305"/>
    <n v="5.2"/>
  </r>
  <r>
    <s v="349-97-8902"/>
    <s v="B"/>
    <x v="2"/>
    <x v="0"/>
    <x v="1"/>
    <x v="4"/>
    <n v="57.89"/>
    <n v="2"/>
    <n v="5.7889999999999997"/>
    <n v="121.569"/>
    <x v="29"/>
    <d v="1899-12-30T10:37:00"/>
    <x v="0"/>
    <n v="115.78"/>
    <n v="4.7619047620000003"/>
    <n v="5.7889999999999997"/>
    <n v="8.9"/>
  </r>
  <r>
    <s v="421-95-9805"/>
    <s v="A"/>
    <x v="0"/>
    <x v="1"/>
    <x v="0"/>
    <x v="1"/>
    <n v="28.96"/>
    <n v="1"/>
    <n v="1.448"/>
    <n v="30.408000000000001"/>
    <x v="13"/>
    <d v="1899-12-30T10:18:00"/>
    <x v="2"/>
    <n v="28.96"/>
    <n v="4.7619047620000003"/>
    <n v="1.448"/>
    <n v="6.2"/>
  </r>
  <r>
    <s v="277-35-5865"/>
    <s v="C"/>
    <x v="1"/>
    <x v="0"/>
    <x v="0"/>
    <x v="4"/>
    <n v="98.97"/>
    <n v="9"/>
    <n v="44.536499999999997"/>
    <n v="935.26649999999995"/>
    <x v="11"/>
    <d v="1899-12-30T11:23:00"/>
    <x v="1"/>
    <n v="890.73"/>
    <n v="4.7619047620000003"/>
    <n v="44.536499999999997"/>
    <n v="6.7"/>
  </r>
  <r>
    <s v="789-23-8625"/>
    <s v="B"/>
    <x v="2"/>
    <x v="0"/>
    <x v="1"/>
    <x v="5"/>
    <n v="93.22"/>
    <n v="3"/>
    <n v="13.983000000000001"/>
    <n v="293.64299999999997"/>
    <x v="46"/>
    <d v="1899-12-30T11:45:00"/>
    <x v="1"/>
    <n v="279.66000000000003"/>
    <n v="4.7619047620000003"/>
    <n v="13.983000000000001"/>
    <n v="7.2"/>
  </r>
  <r>
    <s v="284-54-4231"/>
    <s v="C"/>
    <x v="1"/>
    <x v="0"/>
    <x v="1"/>
    <x v="3"/>
    <n v="80.930000000000007"/>
    <n v="1"/>
    <n v="4.0465"/>
    <n v="84.976500000000001"/>
    <x v="64"/>
    <d v="1899-12-30T16:08:00"/>
    <x v="2"/>
    <n v="80.930000000000007"/>
    <n v="4.7619047620000003"/>
    <n v="4.0465"/>
    <n v="9"/>
  </r>
  <r>
    <s v="443-59-0061"/>
    <s v="A"/>
    <x v="0"/>
    <x v="0"/>
    <x v="1"/>
    <x v="4"/>
    <n v="67.45"/>
    <n v="10"/>
    <n v="33.725000000000001"/>
    <n v="708.22500000000002"/>
    <x v="36"/>
    <d v="1899-12-30T11:25:00"/>
    <x v="0"/>
    <n v="674.5"/>
    <n v="4.7619047620000003"/>
    <n v="33.725000000000001"/>
    <n v="4.2"/>
  </r>
  <r>
    <s v="509-29-3912"/>
    <s v="A"/>
    <x v="0"/>
    <x v="0"/>
    <x v="0"/>
    <x v="3"/>
    <n v="38.72"/>
    <n v="9"/>
    <n v="17.423999999999999"/>
    <n v="365.904"/>
    <x v="80"/>
    <d v="1899-12-30T12:24:00"/>
    <x v="0"/>
    <n v="348.48"/>
    <n v="4.7619047620000003"/>
    <n v="17.423999999999999"/>
    <n v="4.2"/>
  </r>
  <r>
    <s v="327-40-9673"/>
    <s v="B"/>
    <x v="2"/>
    <x v="0"/>
    <x v="1"/>
    <x v="3"/>
    <n v="72.599999999999994"/>
    <n v="6"/>
    <n v="21.78"/>
    <n v="457.38"/>
    <x v="50"/>
    <d v="1899-12-30T19:51:00"/>
    <x v="1"/>
    <n v="435.6"/>
    <n v="4.7619047620000003"/>
    <n v="21.78"/>
    <n v="6.9"/>
  </r>
  <r>
    <s v="840-19-2096"/>
    <s v="C"/>
    <x v="1"/>
    <x v="0"/>
    <x v="1"/>
    <x v="1"/>
    <n v="87.91"/>
    <n v="5"/>
    <n v="21.977499999999999"/>
    <n v="461.52749999999997"/>
    <x v="86"/>
    <d v="1899-12-30T18:10:00"/>
    <x v="0"/>
    <n v="439.55"/>
    <n v="4.7619047620000003"/>
    <n v="21.977499999999999"/>
    <n v="4.4000000000000004"/>
  </r>
  <r>
    <s v="828-46-6863"/>
    <s v="A"/>
    <x v="0"/>
    <x v="0"/>
    <x v="1"/>
    <x v="4"/>
    <n v="98.53"/>
    <n v="6"/>
    <n v="29.559000000000001"/>
    <n v="620.73900000000003"/>
    <x v="54"/>
    <d v="1899-12-30T11:22:00"/>
    <x v="2"/>
    <n v="591.17999999999995"/>
    <n v="4.7619047620000003"/>
    <n v="29.559000000000001"/>
    <n v="4"/>
  </r>
  <r>
    <s v="641-96-3695"/>
    <s v="C"/>
    <x v="1"/>
    <x v="0"/>
    <x v="0"/>
    <x v="5"/>
    <n v="43.46"/>
    <n v="6"/>
    <n v="13.038"/>
    <n v="273.798"/>
    <x v="13"/>
    <d v="1899-12-30T17:55:00"/>
    <x v="0"/>
    <n v="260.76"/>
    <n v="4.7619047620000003"/>
    <n v="13.038"/>
    <n v="8.5"/>
  </r>
  <r>
    <s v="420-97-3340"/>
    <s v="A"/>
    <x v="0"/>
    <x v="1"/>
    <x v="0"/>
    <x v="4"/>
    <n v="71.680000000000007"/>
    <n v="3"/>
    <n v="10.752000000000001"/>
    <n v="225.792"/>
    <x v="61"/>
    <d v="1899-12-30T15:30:00"/>
    <x v="2"/>
    <n v="215.04"/>
    <n v="4.7619047620000003"/>
    <n v="10.752000000000001"/>
    <n v="9.1999999999999993"/>
  </r>
  <r>
    <s v="436-54-4512"/>
    <s v="A"/>
    <x v="0"/>
    <x v="0"/>
    <x v="0"/>
    <x v="4"/>
    <n v="91.61"/>
    <n v="1"/>
    <n v="4.5804999999999998"/>
    <n v="96.1905"/>
    <x v="80"/>
    <d v="1899-12-30T19:44:00"/>
    <x v="1"/>
    <n v="91.61"/>
    <n v="4.7619047620000003"/>
    <n v="4.5804999999999998"/>
    <n v="9.8000000000000007"/>
  </r>
  <r>
    <s v="670-79-6321"/>
    <s v="B"/>
    <x v="2"/>
    <x v="0"/>
    <x v="0"/>
    <x v="2"/>
    <n v="94.59"/>
    <n v="7"/>
    <n v="33.106499999999997"/>
    <n v="695.23649999999998"/>
    <x v="29"/>
    <d v="1899-12-30T15:27:00"/>
    <x v="2"/>
    <n v="662.13"/>
    <n v="4.7619047620000003"/>
    <n v="33.106499999999997"/>
    <n v="4.9000000000000004"/>
  </r>
  <r>
    <s v="852-62-7105"/>
    <s v="B"/>
    <x v="2"/>
    <x v="1"/>
    <x v="0"/>
    <x v="5"/>
    <n v="83.25"/>
    <n v="10"/>
    <n v="41.625"/>
    <n v="874.125"/>
    <x v="52"/>
    <d v="1899-12-30T11:25:00"/>
    <x v="2"/>
    <n v="832.5"/>
    <n v="4.7619047620000003"/>
    <n v="41.625"/>
    <n v="4.4000000000000004"/>
  </r>
  <r>
    <s v="598-06-7312"/>
    <s v="B"/>
    <x v="2"/>
    <x v="0"/>
    <x v="1"/>
    <x v="5"/>
    <n v="91.35"/>
    <n v="1"/>
    <n v="4.5674999999999999"/>
    <n v="95.917500000000004"/>
    <x v="69"/>
    <d v="1899-12-30T15:42:00"/>
    <x v="1"/>
    <n v="91.35"/>
    <n v="4.7619047620000003"/>
    <n v="4.5674999999999999"/>
    <n v="6.8"/>
  </r>
  <r>
    <s v="135-13-8269"/>
    <s v="B"/>
    <x v="2"/>
    <x v="0"/>
    <x v="0"/>
    <x v="4"/>
    <n v="78.88"/>
    <n v="2"/>
    <n v="7.8879999999999999"/>
    <n v="165.648"/>
    <x v="53"/>
    <d v="1899-12-30T16:04:00"/>
    <x v="1"/>
    <n v="157.76"/>
    <n v="4.7619047620000003"/>
    <n v="7.8879999999999999"/>
    <n v="9.1"/>
  </r>
  <r>
    <s v="816-57-2053"/>
    <s v="A"/>
    <x v="0"/>
    <x v="1"/>
    <x v="1"/>
    <x v="3"/>
    <n v="60.87"/>
    <n v="2"/>
    <n v="6.0869999999999997"/>
    <n v="127.827"/>
    <x v="11"/>
    <d v="1899-12-30T12:37:00"/>
    <x v="0"/>
    <n v="121.74"/>
    <n v="4.7619047620000003"/>
    <n v="6.0869999999999997"/>
    <n v="8.6999999999999993"/>
  </r>
  <r>
    <s v="628-90-8624"/>
    <s v="B"/>
    <x v="2"/>
    <x v="0"/>
    <x v="1"/>
    <x v="0"/>
    <n v="82.58"/>
    <n v="10"/>
    <n v="41.29"/>
    <n v="867.09"/>
    <x v="86"/>
    <d v="1899-12-30T14:41:00"/>
    <x v="1"/>
    <n v="825.8"/>
    <n v="4.7619047620000003"/>
    <n v="41.29"/>
    <n v="5"/>
  </r>
  <r>
    <s v="856-66-2701"/>
    <s v="A"/>
    <x v="0"/>
    <x v="0"/>
    <x v="1"/>
    <x v="2"/>
    <n v="53.3"/>
    <n v="3"/>
    <n v="7.9950000000000001"/>
    <n v="167.89500000000001"/>
    <x v="25"/>
    <d v="1899-12-30T14:19:00"/>
    <x v="0"/>
    <n v="159.9"/>
    <n v="4.7619047620000003"/>
    <n v="7.9950000000000001"/>
    <n v="7.5"/>
  </r>
  <r>
    <s v="308-39-1707"/>
    <s v="A"/>
    <x v="0"/>
    <x v="1"/>
    <x v="0"/>
    <x v="5"/>
    <n v="12.09"/>
    <n v="1"/>
    <n v="0.60450000000000004"/>
    <n v="12.6945"/>
    <x v="53"/>
    <d v="1899-12-30T18:19:00"/>
    <x v="2"/>
    <n v="12.09"/>
    <n v="4.7619047620000003"/>
    <n v="0.60450000000000004"/>
    <n v="8.1999999999999993"/>
  </r>
  <r>
    <s v="149-61-1929"/>
    <s v="A"/>
    <x v="0"/>
    <x v="1"/>
    <x v="1"/>
    <x v="3"/>
    <n v="64.19"/>
    <n v="10"/>
    <n v="32.094999999999999"/>
    <n v="673.995"/>
    <x v="64"/>
    <d v="1899-12-30T14:08:00"/>
    <x v="2"/>
    <n v="641.9"/>
    <n v="4.7619047620000003"/>
    <n v="32.094999999999999"/>
    <n v="6.7"/>
  </r>
  <r>
    <s v="655-07-2265"/>
    <s v="A"/>
    <x v="0"/>
    <x v="1"/>
    <x v="1"/>
    <x v="1"/>
    <n v="78.31"/>
    <n v="3"/>
    <n v="11.746499999999999"/>
    <n v="246.6765"/>
    <x v="19"/>
    <d v="1899-12-30T16:38:00"/>
    <x v="0"/>
    <n v="234.93"/>
    <n v="4.7619047620000003"/>
    <n v="11.746499999999999"/>
    <n v="5.4"/>
  </r>
  <r>
    <s v="589-02-8023"/>
    <s v="A"/>
    <x v="0"/>
    <x v="0"/>
    <x v="1"/>
    <x v="4"/>
    <n v="83.77"/>
    <n v="2"/>
    <n v="8.3770000000000007"/>
    <n v="175.917"/>
    <x v="15"/>
    <d v="1899-12-30T10:54:00"/>
    <x v="2"/>
    <n v="167.54"/>
    <n v="4.7619047620000003"/>
    <n v="8.3770000000000007"/>
    <n v="7"/>
  </r>
  <r>
    <s v="420-04-7590"/>
    <s v="B"/>
    <x v="2"/>
    <x v="1"/>
    <x v="1"/>
    <x v="2"/>
    <n v="99.7"/>
    <n v="3"/>
    <n v="14.955"/>
    <n v="314.05500000000001"/>
    <x v="79"/>
    <d v="1899-12-30T11:29:00"/>
    <x v="0"/>
    <n v="299.10000000000002"/>
    <n v="4.7619047620000003"/>
    <n v="14.955"/>
    <n v="4.7"/>
  </r>
  <r>
    <s v="182-88-2763"/>
    <s v="B"/>
    <x v="2"/>
    <x v="0"/>
    <x v="1"/>
    <x v="4"/>
    <n v="79.91"/>
    <n v="3"/>
    <n v="11.986499999999999"/>
    <n v="251.7165"/>
    <x v="80"/>
    <d v="1899-12-30T19:28:00"/>
    <x v="2"/>
    <n v="239.73"/>
    <n v="4.7619047620000003"/>
    <n v="11.986499999999999"/>
    <n v="5"/>
  </r>
  <r>
    <s v="188-55-0967"/>
    <s v="B"/>
    <x v="2"/>
    <x v="0"/>
    <x v="1"/>
    <x v="0"/>
    <n v="66.47"/>
    <n v="10"/>
    <n v="33.234999999999999"/>
    <n v="697.93499999999995"/>
    <x v="15"/>
    <d v="1899-12-30T15:01:00"/>
    <x v="2"/>
    <n v="664.7"/>
    <n v="4.7619047620000003"/>
    <n v="33.234999999999999"/>
    <n v="5"/>
  </r>
  <r>
    <s v="610-46-4100"/>
    <s v="A"/>
    <x v="0"/>
    <x v="1"/>
    <x v="1"/>
    <x v="0"/>
    <n v="28.95"/>
    <n v="7"/>
    <n v="10.1325"/>
    <n v="212.7825"/>
    <x v="2"/>
    <d v="1899-12-30T20:31:00"/>
    <x v="2"/>
    <n v="202.65"/>
    <n v="4.7619047620000003"/>
    <n v="10.1325"/>
    <n v="6"/>
  </r>
  <r>
    <s v="318-81-2368"/>
    <s v="C"/>
    <x v="1"/>
    <x v="1"/>
    <x v="0"/>
    <x v="1"/>
    <n v="46.2"/>
    <n v="1"/>
    <n v="2.31"/>
    <n v="48.51"/>
    <x v="35"/>
    <d v="1899-12-30T12:16:00"/>
    <x v="1"/>
    <n v="46.2"/>
    <n v="4.7619047620000003"/>
    <n v="2.31"/>
    <n v="6.3"/>
  </r>
  <r>
    <s v="364-33-8584"/>
    <s v="B"/>
    <x v="2"/>
    <x v="0"/>
    <x v="0"/>
    <x v="4"/>
    <n v="17.63"/>
    <n v="5"/>
    <n v="4.4074999999999998"/>
    <n v="92.557500000000005"/>
    <x v="1"/>
    <d v="1899-12-30T15:27:00"/>
    <x v="1"/>
    <n v="88.15"/>
    <n v="4.7619047620000003"/>
    <n v="4.4074999999999998"/>
    <n v="8.5"/>
  </r>
  <r>
    <s v="665-63-9737"/>
    <s v="B"/>
    <x v="2"/>
    <x v="1"/>
    <x v="1"/>
    <x v="5"/>
    <n v="52.42"/>
    <n v="3"/>
    <n v="7.8630000000000004"/>
    <n v="165.12299999999999"/>
    <x v="33"/>
    <d v="1899-12-30T17:36:00"/>
    <x v="0"/>
    <n v="157.26"/>
    <n v="4.7619047620000003"/>
    <n v="7.8630000000000004"/>
    <n v="7.5"/>
  </r>
  <r>
    <s v="695-09-5146"/>
    <s v="B"/>
    <x v="2"/>
    <x v="0"/>
    <x v="0"/>
    <x v="4"/>
    <n v="98.79"/>
    <n v="3"/>
    <n v="14.8185"/>
    <n v="311.18849999999998"/>
    <x v="55"/>
    <d v="1899-12-30T20:00:00"/>
    <x v="0"/>
    <n v="296.37"/>
    <n v="4.7619047620000003"/>
    <n v="14.8185"/>
    <n v="6.4"/>
  </r>
  <r>
    <s v="155-45-3814"/>
    <s v="C"/>
    <x v="1"/>
    <x v="0"/>
    <x v="0"/>
    <x v="1"/>
    <n v="88.55"/>
    <n v="8"/>
    <n v="35.42"/>
    <n v="743.82"/>
    <x v="35"/>
    <d v="1899-12-30T15:29:00"/>
    <x v="0"/>
    <n v="708.4"/>
    <n v="4.7619047620000003"/>
    <n v="35.42"/>
    <n v="4.7"/>
  </r>
  <r>
    <s v="794-32-2436"/>
    <s v="B"/>
    <x v="2"/>
    <x v="0"/>
    <x v="1"/>
    <x v="1"/>
    <n v="55.67"/>
    <n v="2"/>
    <n v="5.5670000000000002"/>
    <n v="116.907"/>
    <x v="39"/>
    <d v="1899-12-30T15:08:00"/>
    <x v="0"/>
    <n v="111.34"/>
    <n v="4.7619047620000003"/>
    <n v="5.5670000000000002"/>
    <n v="6"/>
  </r>
  <r>
    <s v="131-15-8856"/>
    <s v="C"/>
    <x v="1"/>
    <x v="0"/>
    <x v="0"/>
    <x v="4"/>
    <n v="72.52"/>
    <n v="8"/>
    <n v="29.007999999999999"/>
    <n v="609.16800000000001"/>
    <x v="73"/>
    <d v="1899-12-30T19:26:00"/>
    <x v="2"/>
    <n v="580.16"/>
    <n v="4.7619047620000003"/>
    <n v="29.007999999999999"/>
    <n v="4"/>
  </r>
  <r>
    <s v="273-84-2164"/>
    <s v="C"/>
    <x v="1"/>
    <x v="0"/>
    <x v="1"/>
    <x v="1"/>
    <n v="12.05"/>
    <n v="5"/>
    <n v="3.0125000000000002"/>
    <n v="63.262500000000003"/>
    <x v="69"/>
    <d v="1899-12-30T15:53:00"/>
    <x v="0"/>
    <n v="60.25"/>
    <n v="4.7619047620000003"/>
    <n v="3.0125000000000002"/>
    <n v="5.5"/>
  </r>
  <r>
    <s v="706-36-6154"/>
    <s v="A"/>
    <x v="0"/>
    <x v="0"/>
    <x v="1"/>
    <x v="2"/>
    <n v="19.36"/>
    <n v="9"/>
    <n v="8.7119999999999997"/>
    <n v="182.952"/>
    <x v="68"/>
    <d v="1899-12-30T18:43:00"/>
    <x v="0"/>
    <n v="174.24"/>
    <n v="4.7619047620000003"/>
    <n v="8.7119999999999997"/>
    <n v="8.6999999999999993"/>
  </r>
  <r>
    <s v="778-89-7974"/>
    <s v="C"/>
    <x v="1"/>
    <x v="1"/>
    <x v="1"/>
    <x v="0"/>
    <n v="70.209999999999994"/>
    <n v="6"/>
    <n v="21.062999999999999"/>
    <n v="442.32299999999998"/>
    <x v="73"/>
    <d v="1899-12-30T14:58:00"/>
    <x v="1"/>
    <n v="421.26"/>
    <n v="4.7619047620000003"/>
    <n v="21.062999999999999"/>
    <n v="7.4"/>
  </r>
  <r>
    <s v="574-31-8277"/>
    <s v="B"/>
    <x v="2"/>
    <x v="0"/>
    <x v="1"/>
    <x v="5"/>
    <n v="33.630000000000003"/>
    <n v="1"/>
    <n v="1.6815"/>
    <n v="35.311500000000002"/>
    <x v="80"/>
    <d v="1899-12-30T19:55:00"/>
    <x v="1"/>
    <n v="33.630000000000003"/>
    <n v="4.7619047620000003"/>
    <n v="1.6815"/>
    <n v="5.6"/>
  </r>
  <r>
    <s v="859-71-0933"/>
    <s v="C"/>
    <x v="1"/>
    <x v="0"/>
    <x v="0"/>
    <x v="3"/>
    <n v="15.49"/>
    <n v="2"/>
    <n v="1.5489999999999999"/>
    <n v="32.529000000000003"/>
    <x v="65"/>
    <d v="1899-12-30T15:10:00"/>
    <x v="1"/>
    <n v="30.98"/>
    <n v="4.7619047620000003"/>
    <n v="1.5489999999999999"/>
    <n v="6.3"/>
  </r>
  <r>
    <s v="740-11-5257"/>
    <s v="C"/>
    <x v="1"/>
    <x v="1"/>
    <x v="1"/>
    <x v="1"/>
    <n v="24.74"/>
    <n v="10"/>
    <n v="12.37"/>
    <n v="259.77"/>
    <x v="7"/>
    <d v="1899-12-30T16:44:00"/>
    <x v="1"/>
    <n v="247.4"/>
    <n v="4.7619047620000003"/>
    <n v="12.37"/>
    <n v="7.1"/>
  </r>
  <r>
    <s v="369-82-2676"/>
    <s v="B"/>
    <x v="2"/>
    <x v="1"/>
    <x v="1"/>
    <x v="1"/>
    <n v="75.66"/>
    <n v="5"/>
    <n v="18.914999999999999"/>
    <n v="397.21499999999997"/>
    <x v="15"/>
    <d v="1899-12-30T18:22:00"/>
    <x v="0"/>
    <n v="378.3"/>
    <n v="4.7619047620000003"/>
    <n v="18.914999999999999"/>
    <n v="7.8"/>
  </r>
  <r>
    <s v="563-47-4072"/>
    <s v="B"/>
    <x v="2"/>
    <x v="1"/>
    <x v="0"/>
    <x v="0"/>
    <n v="55.81"/>
    <n v="6"/>
    <n v="16.742999999999999"/>
    <n v="351.60300000000001"/>
    <x v="49"/>
    <d v="1899-12-30T11:52:00"/>
    <x v="1"/>
    <n v="334.86"/>
    <n v="4.7619047620000003"/>
    <n v="16.742999999999999"/>
    <n v="9.9"/>
  </r>
  <r>
    <s v="742-04-5161"/>
    <s v="A"/>
    <x v="0"/>
    <x v="0"/>
    <x v="1"/>
    <x v="2"/>
    <n v="72.78"/>
    <n v="10"/>
    <n v="36.39"/>
    <n v="764.19"/>
    <x v="36"/>
    <d v="1899-12-30T17:24:00"/>
    <x v="1"/>
    <n v="727.8"/>
    <n v="4.7619047620000003"/>
    <n v="36.39"/>
    <n v="7.3"/>
  </r>
  <r>
    <s v="149-15-7606"/>
    <s v="B"/>
    <x v="2"/>
    <x v="0"/>
    <x v="1"/>
    <x v="3"/>
    <n v="37.32"/>
    <n v="9"/>
    <n v="16.794"/>
    <n v="352.67399999999998"/>
    <x v="43"/>
    <d v="1899-12-30T15:31:00"/>
    <x v="0"/>
    <n v="335.88"/>
    <n v="4.7619047620000003"/>
    <n v="16.794"/>
    <n v="5.0999999999999996"/>
  </r>
  <r>
    <s v="133-77-3154"/>
    <s v="B"/>
    <x v="2"/>
    <x v="0"/>
    <x v="1"/>
    <x v="5"/>
    <n v="60.18"/>
    <n v="4"/>
    <n v="12.036"/>
    <n v="252.756"/>
    <x v="69"/>
    <d v="1899-12-30T18:04:00"/>
    <x v="2"/>
    <n v="240.72"/>
    <n v="4.7619047620000003"/>
    <n v="12.036"/>
    <n v="9.4"/>
  </r>
  <r>
    <s v="169-52-4504"/>
    <s v="A"/>
    <x v="0"/>
    <x v="1"/>
    <x v="0"/>
    <x v="1"/>
    <n v="15.69"/>
    <n v="3"/>
    <n v="2.3534999999999999"/>
    <n v="49.423499999999997"/>
    <x v="86"/>
    <d v="1899-12-30T14:13:00"/>
    <x v="2"/>
    <n v="47.07"/>
    <n v="4.7619047620000003"/>
    <n v="2.3534999999999999"/>
    <n v="5.8"/>
  </r>
  <r>
    <s v="250-81-7186"/>
    <s v="C"/>
    <x v="1"/>
    <x v="1"/>
    <x v="0"/>
    <x v="1"/>
    <n v="99.69"/>
    <n v="1"/>
    <n v="4.9844999999999997"/>
    <n v="104.67449999999999"/>
    <x v="33"/>
    <d v="1899-12-30T10:23:00"/>
    <x v="2"/>
    <n v="99.69"/>
    <n v="4.7619047620000003"/>
    <n v="4.9844999999999997"/>
    <n v="8"/>
  </r>
  <r>
    <s v="562-12-5430"/>
    <s v="A"/>
    <x v="0"/>
    <x v="0"/>
    <x v="0"/>
    <x v="5"/>
    <n v="88.15"/>
    <n v="3"/>
    <n v="13.2225"/>
    <n v="277.67250000000001"/>
    <x v="68"/>
    <d v="1899-12-30T10:11:00"/>
    <x v="0"/>
    <n v="264.45"/>
    <n v="4.7619047620000003"/>
    <n v="13.2225"/>
    <n v="7.9"/>
  </r>
  <r>
    <s v="816-72-8853"/>
    <s v="A"/>
    <x v="0"/>
    <x v="0"/>
    <x v="0"/>
    <x v="3"/>
    <n v="27.93"/>
    <n v="5"/>
    <n v="6.9824999999999999"/>
    <n v="146.63249999999999"/>
    <x v="71"/>
    <d v="1899-12-30T15:48:00"/>
    <x v="1"/>
    <n v="139.65"/>
    <n v="4.7619047620000003"/>
    <n v="6.9824999999999999"/>
    <n v="5.9"/>
  </r>
  <r>
    <s v="491-38-3499"/>
    <s v="A"/>
    <x v="0"/>
    <x v="0"/>
    <x v="1"/>
    <x v="5"/>
    <n v="55.45"/>
    <n v="1"/>
    <n v="2.7725"/>
    <n v="58.222499999999997"/>
    <x v="84"/>
    <d v="1899-12-30T17:46:00"/>
    <x v="2"/>
    <n v="55.45"/>
    <n v="4.7619047620000003"/>
    <n v="2.7725"/>
    <n v="4.9000000000000004"/>
  </r>
  <r>
    <s v="322-02-2271"/>
    <s v="B"/>
    <x v="2"/>
    <x v="1"/>
    <x v="0"/>
    <x v="3"/>
    <n v="42.97"/>
    <n v="3"/>
    <n v="6.4455"/>
    <n v="135.35550000000001"/>
    <x v="36"/>
    <d v="1899-12-30T11:46:00"/>
    <x v="1"/>
    <n v="128.91"/>
    <n v="4.7619047620000003"/>
    <n v="6.4455"/>
    <n v="9.3000000000000007"/>
  </r>
  <r>
    <s v="842-29-4695"/>
    <s v="C"/>
    <x v="1"/>
    <x v="0"/>
    <x v="1"/>
    <x v="3"/>
    <n v="17.14"/>
    <n v="7"/>
    <n v="5.9989999999999997"/>
    <n v="125.979"/>
    <x v="65"/>
    <d v="1899-12-30T12:07:00"/>
    <x v="2"/>
    <n v="119.98"/>
    <n v="4.7619047620000003"/>
    <n v="5.9989999999999997"/>
    <n v="7.9"/>
  </r>
  <r>
    <s v="725-67-2480"/>
    <s v="B"/>
    <x v="2"/>
    <x v="0"/>
    <x v="0"/>
    <x v="5"/>
    <n v="58.75"/>
    <n v="6"/>
    <n v="17.625"/>
    <n v="370.125"/>
    <x v="62"/>
    <d v="1899-12-30T18:14:00"/>
    <x v="2"/>
    <n v="352.5"/>
    <n v="4.7619047620000003"/>
    <n v="17.625"/>
    <n v="5.9"/>
  </r>
  <r>
    <s v="641-51-2661"/>
    <s v="C"/>
    <x v="1"/>
    <x v="0"/>
    <x v="0"/>
    <x v="4"/>
    <n v="87.1"/>
    <n v="10"/>
    <n v="43.55"/>
    <n v="914.55"/>
    <x v="12"/>
    <d v="1899-12-30T14:45:00"/>
    <x v="2"/>
    <n v="871"/>
    <n v="4.7619047620000003"/>
    <n v="43.55"/>
    <n v="9.9"/>
  </r>
  <r>
    <s v="714-02-3114"/>
    <s v="C"/>
    <x v="1"/>
    <x v="1"/>
    <x v="0"/>
    <x v="3"/>
    <n v="98.8"/>
    <n v="2"/>
    <n v="9.8800000000000008"/>
    <n v="207.48"/>
    <x v="81"/>
    <d v="1899-12-30T11:39:00"/>
    <x v="1"/>
    <n v="197.6"/>
    <n v="4.7619047620000003"/>
    <n v="9.8800000000000008"/>
    <n v="7.7"/>
  </r>
  <r>
    <s v="518-17-2983"/>
    <s v="A"/>
    <x v="0"/>
    <x v="1"/>
    <x v="0"/>
    <x v="5"/>
    <n v="48.63"/>
    <n v="4"/>
    <n v="9.7260000000000009"/>
    <n v="204.24600000000001"/>
    <x v="87"/>
    <d v="1899-12-30T15:44:00"/>
    <x v="0"/>
    <n v="194.52"/>
    <n v="4.7619047620000003"/>
    <n v="9.7260000000000009"/>
    <n v="7.6"/>
  </r>
  <r>
    <s v="779-42-2410"/>
    <s v="B"/>
    <x v="2"/>
    <x v="0"/>
    <x v="1"/>
    <x v="4"/>
    <n v="57.74"/>
    <n v="3"/>
    <n v="8.6609999999999996"/>
    <n v="181.881"/>
    <x v="9"/>
    <d v="1899-12-30T13:06:00"/>
    <x v="0"/>
    <n v="173.22"/>
    <n v="4.7619047620000003"/>
    <n v="8.6609999999999996"/>
    <n v="7.7"/>
  </r>
  <r>
    <s v="190-14-3147"/>
    <s v="B"/>
    <x v="2"/>
    <x v="1"/>
    <x v="0"/>
    <x v="0"/>
    <n v="17.97"/>
    <n v="4"/>
    <n v="3.5939999999999999"/>
    <n v="75.474000000000004"/>
    <x v="55"/>
    <d v="1899-12-30T20:43:00"/>
    <x v="0"/>
    <n v="71.88"/>
    <n v="4.7619047620000003"/>
    <n v="3.5939999999999999"/>
    <n v="6.4"/>
  </r>
  <r>
    <s v="408-66-6712"/>
    <s v="C"/>
    <x v="1"/>
    <x v="0"/>
    <x v="0"/>
    <x v="0"/>
    <n v="47.71"/>
    <n v="6"/>
    <n v="14.313000000000001"/>
    <n v="300.57299999999998"/>
    <x v="69"/>
    <d v="1899-12-30T14:19:00"/>
    <x v="0"/>
    <n v="286.26"/>
    <n v="4.7619047620000003"/>
    <n v="14.313000000000001"/>
    <n v="4.4000000000000004"/>
  </r>
  <r>
    <s v="679-22-6530"/>
    <s v="B"/>
    <x v="2"/>
    <x v="1"/>
    <x v="0"/>
    <x v="3"/>
    <n v="40.619999999999997"/>
    <n v="2"/>
    <n v="4.0620000000000003"/>
    <n v="85.302000000000007"/>
    <x v="29"/>
    <d v="1899-12-30T10:01:00"/>
    <x v="2"/>
    <n v="81.239999999999995"/>
    <n v="4.7619047620000003"/>
    <n v="4.0620000000000003"/>
    <n v="4.0999999999999996"/>
  </r>
  <r>
    <s v="588-47-8641"/>
    <s v="A"/>
    <x v="0"/>
    <x v="0"/>
    <x v="1"/>
    <x v="5"/>
    <n v="56.04"/>
    <n v="10"/>
    <n v="28.02"/>
    <n v="588.41999999999996"/>
    <x v="78"/>
    <d v="1899-12-30T19:30:00"/>
    <x v="0"/>
    <n v="560.4"/>
    <n v="4.7619047620000003"/>
    <n v="28.02"/>
    <n v="4.4000000000000004"/>
  </r>
  <r>
    <s v="642-61-4706"/>
    <s v="B"/>
    <x v="2"/>
    <x v="0"/>
    <x v="1"/>
    <x v="4"/>
    <n v="93.4"/>
    <n v="2"/>
    <n v="9.34"/>
    <n v="196.14"/>
    <x v="73"/>
    <d v="1899-12-30T16:34:00"/>
    <x v="1"/>
    <n v="186.8"/>
    <n v="4.7619047620000003"/>
    <n v="9.34"/>
    <n v="5.5"/>
  </r>
  <r>
    <s v="576-31-4774"/>
    <s v="B"/>
    <x v="2"/>
    <x v="1"/>
    <x v="0"/>
    <x v="0"/>
    <n v="73.41"/>
    <n v="3"/>
    <n v="11.0115"/>
    <n v="231.2415"/>
    <x v="22"/>
    <d v="1899-12-30T13:10:00"/>
    <x v="0"/>
    <n v="220.23"/>
    <n v="4.7619047620000003"/>
    <n v="11.0115"/>
    <n v="4"/>
  </r>
  <r>
    <s v="556-41-6224"/>
    <s v="C"/>
    <x v="1"/>
    <x v="1"/>
    <x v="1"/>
    <x v="0"/>
    <n v="33.64"/>
    <n v="8"/>
    <n v="13.456"/>
    <n v="282.57600000000002"/>
    <x v="42"/>
    <d v="1899-12-30T17:10:00"/>
    <x v="2"/>
    <n v="269.12"/>
    <n v="4.7619047620000003"/>
    <n v="13.456"/>
    <n v="9.3000000000000007"/>
  </r>
  <r>
    <s v="811-03-8790"/>
    <s v="A"/>
    <x v="0"/>
    <x v="1"/>
    <x v="0"/>
    <x v="1"/>
    <n v="45.48"/>
    <n v="10"/>
    <n v="22.74"/>
    <n v="477.54"/>
    <x v="59"/>
    <d v="1899-12-30T10:22:00"/>
    <x v="2"/>
    <n v="454.8"/>
    <n v="4.7619047620000003"/>
    <n v="22.74"/>
    <n v="4.8"/>
  </r>
  <r>
    <s v="242-11-3142"/>
    <s v="B"/>
    <x v="2"/>
    <x v="0"/>
    <x v="1"/>
    <x v="5"/>
    <n v="83.77"/>
    <n v="2"/>
    <n v="8.3770000000000007"/>
    <n v="175.917"/>
    <x v="7"/>
    <d v="1899-12-30T19:57:00"/>
    <x v="1"/>
    <n v="167.54"/>
    <n v="4.7619047620000003"/>
    <n v="8.3770000000000007"/>
    <n v="4.5999999999999996"/>
  </r>
  <r>
    <s v="752-23-3760"/>
    <s v="B"/>
    <x v="2"/>
    <x v="0"/>
    <x v="0"/>
    <x v="3"/>
    <n v="64.08"/>
    <n v="7"/>
    <n v="22.428000000000001"/>
    <n v="470.988"/>
    <x v="88"/>
    <d v="1899-12-30T19:29:00"/>
    <x v="2"/>
    <n v="448.56"/>
    <n v="4.7619047620000003"/>
    <n v="22.428000000000001"/>
    <n v="7.3"/>
  </r>
  <r>
    <s v="274-05-5470"/>
    <s v="A"/>
    <x v="0"/>
    <x v="0"/>
    <x v="0"/>
    <x v="4"/>
    <n v="73.47"/>
    <n v="4"/>
    <n v="14.694000000000001"/>
    <n v="308.57400000000001"/>
    <x v="55"/>
    <d v="1899-12-30T18:30:00"/>
    <x v="1"/>
    <n v="293.88"/>
    <n v="4.7619047620000003"/>
    <n v="14.694000000000001"/>
    <n v="6"/>
  </r>
  <r>
    <s v="648-94-3045"/>
    <s v="C"/>
    <x v="1"/>
    <x v="1"/>
    <x v="1"/>
    <x v="0"/>
    <n v="58.95"/>
    <n v="10"/>
    <n v="29.475000000000001"/>
    <n v="618.97500000000002"/>
    <x v="13"/>
    <d v="1899-12-30T14:27:00"/>
    <x v="0"/>
    <n v="589.5"/>
    <n v="4.7619047620000003"/>
    <n v="29.475000000000001"/>
    <n v="8.1"/>
  </r>
  <r>
    <s v="130-67-4723"/>
    <s v="A"/>
    <x v="0"/>
    <x v="0"/>
    <x v="1"/>
    <x v="4"/>
    <n v="48.5"/>
    <n v="6"/>
    <n v="14.55"/>
    <n v="305.55"/>
    <x v="83"/>
    <d v="1899-12-30T13:57:00"/>
    <x v="0"/>
    <n v="291"/>
    <n v="4.7619047620000003"/>
    <n v="14.55"/>
    <n v="9.4"/>
  </r>
  <r>
    <s v="528-87-5606"/>
    <s v="B"/>
    <x v="2"/>
    <x v="0"/>
    <x v="0"/>
    <x v="1"/>
    <n v="39.479999999999997"/>
    <n v="1"/>
    <n v="1.974"/>
    <n v="41.454000000000001"/>
    <x v="12"/>
    <d v="1899-12-30T19:43:00"/>
    <x v="1"/>
    <n v="39.479999999999997"/>
    <n v="4.7619047620000003"/>
    <n v="1.974"/>
    <n v="6.5"/>
  </r>
  <r>
    <s v="320-85-2052"/>
    <s v="B"/>
    <x v="2"/>
    <x v="1"/>
    <x v="0"/>
    <x v="3"/>
    <n v="34.81"/>
    <n v="1"/>
    <n v="1.7404999999999999"/>
    <n v="36.5505"/>
    <x v="78"/>
    <d v="1899-12-30T10:11:00"/>
    <x v="2"/>
    <n v="34.81"/>
    <n v="4.7619047620000003"/>
    <n v="1.7404999999999999"/>
    <n v="7"/>
  </r>
  <r>
    <s v="370-96-0655"/>
    <s v="C"/>
    <x v="1"/>
    <x v="1"/>
    <x v="0"/>
    <x v="5"/>
    <n v="49.32"/>
    <n v="6"/>
    <n v="14.795999999999999"/>
    <n v="310.71600000000001"/>
    <x v="51"/>
    <d v="1899-12-30T13:46:00"/>
    <x v="0"/>
    <n v="295.92"/>
    <n v="4.7619047620000003"/>
    <n v="14.795999999999999"/>
    <n v="7.1"/>
  </r>
  <r>
    <s v="105-10-6182"/>
    <s v="A"/>
    <x v="0"/>
    <x v="0"/>
    <x v="1"/>
    <x v="5"/>
    <n v="21.48"/>
    <n v="2"/>
    <n v="2.1480000000000001"/>
    <n v="45.107999999999997"/>
    <x v="33"/>
    <d v="1899-12-30T12:22:00"/>
    <x v="0"/>
    <n v="42.96"/>
    <n v="4.7619047620000003"/>
    <n v="2.1480000000000001"/>
    <n v="6.6"/>
  </r>
  <r>
    <s v="510-79-0415"/>
    <s v="B"/>
    <x v="2"/>
    <x v="0"/>
    <x v="0"/>
    <x v="3"/>
    <n v="23.08"/>
    <n v="6"/>
    <n v="6.9240000000000004"/>
    <n v="145.404"/>
    <x v="46"/>
    <d v="1899-12-30T19:20:00"/>
    <x v="0"/>
    <n v="138.47999999999999"/>
    <n v="4.7619047620000003"/>
    <n v="6.9240000000000004"/>
    <n v="4.9000000000000004"/>
  </r>
  <r>
    <s v="241-96-5076"/>
    <s v="B"/>
    <x v="2"/>
    <x v="0"/>
    <x v="0"/>
    <x v="2"/>
    <n v="49.1"/>
    <n v="2"/>
    <n v="4.91"/>
    <n v="103.11"/>
    <x v="66"/>
    <d v="1899-12-30T12:58:00"/>
    <x v="2"/>
    <n v="98.2"/>
    <n v="4.7619047620000003"/>
    <n v="4.91"/>
    <n v="6.4"/>
  </r>
  <r>
    <s v="767-97-4650"/>
    <s v="B"/>
    <x v="2"/>
    <x v="0"/>
    <x v="0"/>
    <x v="3"/>
    <n v="64.83"/>
    <n v="2"/>
    <n v="6.4829999999999997"/>
    <n v="136.143"/>
    <x v="66"/>
    <d v="1899-12-30T11:59:00"/>
    <x v="2"/>
    <n v="129.66"/>
    <n v="4.7619047620000003"/>
    <n v="6.4829999999999997"/>
    <n v="8"/>
  </r>
  <r>
    <s v="648-83-1321"/>
    <s v="A"/>
    <x v="0"/>
    <x v="0"/>
    <x v="1"/>
    <x v="2"/>
    <n v="63.56"/>
    <n v="10"/>
    <n v="31.78"/>
    <n v="667.38"/>
    <x v="65"/>
    <d v="1899-12-30T17:59:00"/>
    <x v="1"/>
    <n v="635.6"/>
    <n v="4.7619047620000003"/>
    <n v="31.78"/>
    <n v="4.3"/>
  </r>
  <r>
    <s v="173-57-2300"/>
    <s v="C"/>
    <x v="1"/>
    <x v="0"/>
    <x v="1"/>
    <x v="3"/>
    <n v="72.88"/>
    <n v="2"/>
    <n v="7.2880000000000003"/>
    <n v="153.048"/>
    <x v="45"/>
    <d v="1899-12-30T12:51:00"/>
    <x v="1"/>
    <n v="145.76"/>
    <n v="4.7619047620000003"/>
    <n v="7.2880000000000003"/>
    <n v="6.1"/>
  </r>
  <r>
    <s v="305-03-2383"/>
    <s v="A"/>
    <x v="0"/>
    <x v="1"/>
    <x v="0"/>
    <x v="4"/>
    <n v="67.099999999999994"/>
    <n v="3"/>
    <n v="10.065"/>
    <n v="211.36500000000001"/>
    <x v="42"/>
    <d v="1899-12-30T10:36:00"/>
    <x v="1"/>
    <n v="201.3"/>
    <n v="4.7619047620000003"/>
    <n v="10.065"/>
    <n v="7.5"/>
  </r>
  <r>
    <s v="394-55-6384"/>
    <s v="C"/>
    <x v="1"/>
    <x v="0"/>
    <x v="0"/>
    <x v="3"/>
    <n v="70.19"/>
    <n v="9"/>
    <n v="31.5855"/>
    <n v="663.29549999999995"/>
    <x v="25"/>
    <d v="1899-12-30T13:38:00"/>
    <x v="1"/>
    <n v="631.71"/>
    <n v="4.7619047620000003"/>
    <n v="31.5855"/>
    <n v="6.7"/>
  </r>
  <r>
    <s v="266-20-6657"/>
    <s v="C"/>
    <x v="1"/>
    <x v="0"/>
    <x v="1"/>
    <x v="4"/>
    <n v="55.04"/>
    <n v="7"/>
    <n v="19.263999999999999"/>
    <n v="404.54399999999998"/>
    <x v="41"/>
    <d v="1899-12-30T19:39:00"/>
    <x v="0"/>
    <n v="385.28"/>
    <n v="4.7619047620000003"/>
    <n v="19.263999999999999"/>
    <n v="5.2"/>
  </r>
  <r>
    <s v="689-05-1884"/>
    <s v="A"/>
    <x v="0"/>
    <x v="0"/>
    <x v="1"/>
    <x v="0"/>
    <n v="48.63"/>
    <n v="10"/>
    <n v="24.315000000000001"/>
    <n v="510.61500000000001"/>
    <x v="31"/>
    <d v="1899-12-30T12:44:00"/>
    <x v="1"/>
    <n v="486.3"/>
    <n v="4.7619047620000003"/>
    <n v="24.315000000000001"/>
    <n v="8.8000000000000007"/>
  </r>
  <r>
    <s v="196-01-2849"/>
    <s v="C"/>
    <x v="1"/>
    <x v="0"/>
    <x v="0"/>
    <x v="5"/>
    <n v="73.38"/>
    <n v="7"/>
    <n v="25.683"/>
    <n v="539.34299999999996"/>
    <x v="34"/>
    <d v="1899-12-30T13:56:00"/>
    <x v="1"/>
    <n v="513.66"/>
    <n v="4.7619047620000003"/>
    <n v="25.683"/>
    <n v="9.5"/>
  </r>
  <r>
    <s v="372-62-5264"/>
    <s v="C"/>
    <x v="1"/>
    <x v="1"/>
    <x v="0"/>
    <x v="4"/>
    <n v="52.6"/>
    <n v="9"/>
    <n v="23.67"/>
    <n v="497.07"/>
    <x v="65"/>
    <d v="1899-12-30T14:42:00"/>
    <x v="1"/>
    <n v="473.4"/>
    <n v="4.7619047620000003"/>
    <n v="23.67"/>
    <n v="7.6"/>
  </r>
  <r>
    <s v="800-09-8606"/>
    <s v="A"/>
    <x v="0"/>
    <x v="0"/>
    <x v="0"/>
    <x v="2"/>
    <n v="87.37"/>
    <n v="5"/>
    <n v="21.842500000000001"/>
    <n v="458.6925"/>
    <x v="71"/>
    <d v="1899-12-30T19:45:00"/>
    <x v="1"/>
    <n v="436.85"/>
    <n v="4.7619047620000003"/>
    <n v="21.842500000000001"/>
    <n v="6.6"/>
  </r>
  <r>
    <s v="182-52-7000"/>
    <s v="A"/>
    <x v="0"/>
    <x v="0"/>
    <x v="0"/>
    <x v="3"/>
    <n v="27.04"/>
    <n v="4"/>
    <n v="5.4080000000000004"/>
    <n v="113.568"/>
    <x v="17"/>
    <d v="1899-12-30T20:26:00"/>
    <x v="0"/>
    <n v="108.16"/>
    <n v="4.7619047620000003"/>
    <n v="5.4080000000000004"/>
    <n v="6.9"/>
  </r>
  <r>
    <s v="826-58-8051"/>
    <s v="B"/>
    <x v="2"/>
    <x v="1"/>
    <x v="1"/>
    <x v="2"/>
    <n v="62.19"/>
    <n v="4"/>
    <n v="12.438000000000001"/>
    <n v="261.19799999999998"/>
    <x v="47"/>
    <d v="1899-12-30T19:46:00"/>
    <x v="0"/>
    <n v="248.76"/>
    <n v="4.7619047620000003"/>
    <n v="12.438000000000001"/>
    <n v="4.3"/>
  </r>
  <r>
    <s v="868-06-0466"/>
    <s v="A"/>
    <x v="0"/>
    <x v="0"/>
    <x v="1"/>
    <x v="1"/>
    <n v="69.58"/>
    <n v="9"/>
    <n v="31.311"/>
    <n v="657.53099999999995"/>
    <x v="88"/>
    <d v="1899-12-30T19:38:00"/>
    <x v="2"/>
    <n v="626.22"/>
    <n v="4.7619047620000003"/>
    <n v="31.311"/>
    <n v="7.8"/>
  </r>
  <r>
    <s v="751-41-9720"/>
    <s v="C"/>
    <x v="1"/>
    <x v="1"/>
    <x v="1"/>
    <x v="2"/>
    <n v="97.5"/>
    <n v="10"/>
    <n v="48.75"/>
    <n v="1023.75"/>
    <x v="52"/>
    <d v="1899-12-30T16:18:00"/>
    <x v="0"/>
    <n v="975"/>
    <n v="4.7619047620000003"/>
    <n v="48.75"/>
    <n v="8"/>
  </r>
  <r>
    <s v="626-43-7888"/>
    <s v="C"/>
    <x v="1"/>
    <x v="1"/>
    <x v="0"/>
    <x v="5"/>
    <n v="60.41"/>
    <n v="8"/>
    <n v="24.164000000000001"/>
    <n v="507.44400000000002"/>
    <x v="13"/>
    <d v="1899-12-30T12:23:00"/>
    <x v="0"/>
    <n v="483.28"/>
    <n v="4.7619047620000003"/>
    <n v="24.164000000000001"/>
    <n v="9.6"/>
  </r>
  <r>
    <s v="176-64-7711"/>
    <s v="B"/>
    <x v="2"/>
    <x v="1"/>
    <x v="1"/>
    <x v="4"/>
    <n v="32.32"/>
    <n v="3"/>
    <n v="4.8479999999999999"/>
    <n v="101.80800000000001"/>
    <x v="39"/>
    <d v="1899-12-30T19:11:00"/>
    <x v="2"/>
    <n v="96.96"/>
    <n v="4.7619047620000003"/>
    <n v="4.8479999999999999"/>
    <n v="4.3"/>
  </r>
  <r>
    <s v="191-29-0321"/>
    <s v="B"/>
    <x v="2"/>
    <x v="0"/>
    <x v="0"/>
    <x v="5"/>
    <n v="19.77"/>
    <n v="10"/>
    <n v="9.8849999999999998"/>
    <n v="207.58500000000001"/>
    <x v="33"/>
    <d v="1899-12-30T18:57:00"/>
    <x v="2"/>
    <n v="197.7"/>
    <n v="4.7619047620000003"/>
    <n v="9.8849999999999998"/>
    <n v="5"/>
  </r>
  <r>
    <s v="729-06-2010"/>
    <s v="B"/>
    <x v="2"/>
    <x v="0"/>
    <x v="1"/>
    <x v="0"/>
    <n v="80.47"/>
    <n v="9"/>
    <n v="36.211500000000001"/>
    <n v="760.44150000000002"/>
    <x v="47"/>
    <d v="1899-12-30T11:18:00"/>
    <x v="1"/>
    <n v="724.23"/>
    <n v="4.7619047620000003"/>
    <n v="36.211500000000001"/>
    <n v="9.1999999999999993"/>
  </r>
  <r>
    <s v="640-48-5028"/>
    <s v="B"/>
    <x v="2"/>
    <x v="0"/>
    <x v="0"/>
    <x v="2"/>
    <n v="88.39"/>
    <n v="9"/>
    <n v="39.775500000000001"/>
    <n v="835.28549999999996"/>
    <x v="22"/>
    <d v="1899-12-30T12:40:00"/>
    <x v="1"/>
    <n v="795.51"/>
    <n v="4.7619047620000003"/>
    <n v="39.775500000000001"/>
    <n v="6.3"/>
  </r>
  <r>
    <s v="186-79-9562"/>
    <s v="B"/>
    <x v="2"/>
    <x v="1"/>
    <x v="1"/>
    <x v="0"/>
    <n v="71.77"/>
    <n v="7"/>
    <n v="25.119499999999999"/>
    <n v="527.5095"/>
    <x v="14"/>
    <d v="1899-12-30T14:06:00"/>
    <x v="1"/>
    <n v="502.39"/>
    <n v="4.7619047620000003"/>
    <n v="25.119499999999999"/>
    <n v="8.9"/>
  </r>
  <r>
    <s v="834-45-5519"/>
    <s v="B"/>
    <x v="2"/>
    <x v="1"/>
    <x v="0"/>
    <x v="1"/>
    <n v="43"/>
    <n v="4"/>
    <n v="8.6"/>
    <n v="180.6"/>
    <x v="82"/>
    <d v="1899-12-30T20:48:00"/>
    <x v="0"/>
    <n v="172"/>
    <n v="4.7619047620000003"/>
    <n v="8.6"/>
    <n v="7.6"/>
  </r>
  <r>
    <s v="162-65-8559"/>
    <s v="C"/>
    <x v="1"/>
    <x v="0"/>
    <x v="1"/>
    <x v="4"/>
    <n v="68.98"/>
    <n v="1"/>
    <n v="3.4489999999999998"/>
    <n v="72.429000000000002"/>
    <x v="18"/>
    <d v="1899-12-30T20:13:00"/>
    <x v="1"/>
    <n v="68.98"/>
    <n v="4.7619047620000003"/>
    <n v="3.4489999999999998"/>
    <n v="4.8"/>
  </r>
  <r>
    <s v="760-27-5490"/>
    <s v="C"/>
    <x v="1"/>
    <x v="1"/>
    <x v="1"/>
    <x v="5"/>
    <n v="15.62"/>
    <n v="8"/>
    <n v="6.2480000000000002"/>
    <n v="131.208"/>
    <x v="40"/>
    <d v="1899-12-30T20:37:00"/>
    <x v="0"/>
    <n v="124.96"/>
    <n v="4.7619047620000003"/>
    <n v="6.2480000000000002"/>
    <n v="9.1"/>
  </r>
  <r>
    <s v="445-30-9252"/>
    <s v="A"/>
    <x v="0"/>
    <x v="1"/>
    <x v="1"/>
    <x v="3"/>
    <n v="25.7"/>
    <n v="3"/>
    <n v="3.855"/>
    <n v="80.954999999999998"/>
    <x v="29"/>
    <d v="1899-12-30T17:59:00"/>
    <x v="0"/>
    <n v="77.099999999999994"/>
    <n v="4.7619047620000003"/>
    <n v="3.855"/>
    <n v="6.1"/>
  </r>
  <r>
    <s v="786-94-2700"/>
    <s v="A"/>
    <x v="0"/>
    <x v="0"/>
    <x v="1"/>
    <x v="4"/>
    <n v="80.62"/>
    <n v="6"/>
    <n v="24.186"/>
    <n v="507.90600000000001"/>
    <x v="38"/>
    <d v="1899-12-30T20:18:00"/>
    <x v="1"/>
    <n v="483.72"/>
    <n v="4.7619047620000003"/>
    <n v="24.186"/>
    <n v="9.1"/>
  </r>
  <r>
    <s v="728-88-7867"/>
    <s v="C"/>
    <x v="1"/>
    <x v="0"/>
    <x v="0"/>
    <x v="2"/>
    <n v="75.53"/>
    <n v="4"/>
    <n v="15.106"/>
    <n v="317.226"/>
    <x v="35"/>
    <d v="1899-12-30T15:52:00"/>
    <x v="0"/>
    <n v="302.12"/>
    <n v="4.7619047620000003"/>
    <n v="15.106"/>
    <n v="8.3000000000000007"/>
  </r>
  <r>
    <s v="183-21-3799"/>
    <s v="C"/>
    <x v="1"/>
    <x v="1"/>
    <x v="0"/>
    <x v="1"/>
    <n v="77.63"/>
    <n v="9"/>
    <n v="34.933500000000002"/>
    <n v="733.60350000000005"/>
    <x v="88"/>
    <d v="1899-12-30T15:14:00"/>
    <x v="0"/>
    <n v="698.67"/>
    <n v="4.7619047620000003"/>
    <n v="34.933500000000002"/>
    <n v="7.2"/>
  </r>
  <r>
    <s v="268-20-3585"/>
    <s v="C"/>
    <x v="1"/>
    <x v="1"/>
    <x v="0"/>
    <x v="0"/>
    <n v="13.85"/>
    <n v="9"/>
    <n v="6.2324999999999999"/>
    <n v="130.88249999999999"/>
    <x v="87"/>
    <d v="1899-12-30T12:50:00"/>
    <x v="0"/>
    <n v="124.65"/>
    <n v="4.7619047620000003"/>
    <n v="6.2324999999999999"/>
    <n v="6"/>
  </r>
  <r>
    <s v="735-32-9839"/>
    <s v="C"/>
    <x v="1"/>
    <x v="0"/>
    <x v="1"/>
    <x v="5"/>
    <n v="98.7"/>
    <n v="8"/>
    <n v="39.479999999999997"/>
    <n v="829.08"/>
    <x v="82"/>
    <d v="1899-12-30T10:36:00"/>
    <x v="0"/>
    <n v="789.6"/>
    <n v="4.7619047620000003"/>
    <n v="39.479999999999997"/>
    <n v="8.5"/>
  </r>
  <r>
    <s v="258-92-7466"/>
    <s v="A"/>
    <x v="0"/>
    <x v="1"/>
    <x v="0"/>
    <x v="0"/>
    <n v="35.68"/>
    <n v="5"/>
    <n v="8.92"/>
    <n v="187.32"/>
    <x v="10"/>
    <d v="1899-12-30T18:33:00"/>
    <x v="2"/>
    <n v="178.4"/>
    <n v="4.7619047620000003"/>
    <n v="8.92"/>
    <n v="6.6"/>
  </r>
  <r>
    <s v="857-16-3520"/>
    <s v="A"/>
    <x v="0"/>
    <x v="0"/>
    <x v="0"/>
    <x v="5"/>
    <n v="71.459999999999994"/>
    <n v="7"/>
    <n v="25.010999999999999"/>
    <n v="525.23099999999999"/>
    <x v="61"/>
    <d v="1899-12-30T16:06:00"/>
    <x v="0"/>
    <n v="500.22"/>
    <n v="4.7619047620000003"/>
    <n v="25.010999999999999"/>
    <n v="4.5"/>
  </r>
  <r>
    <s v="482-17-1179"/>
    <s v="A"/>
    <x v="0"/>
    <x v="0"/>
    <x v="1"/>
    <x v="1"/>
    <n v="11.94"/>
    <n v="3"/>
    <n v="1.7909999999999999"/>
    <n v="37.610999999999997"/>
    <x v="64"/>
    <d v="1899-12-30T12:47:00"/>
    <x v="2"/>
    <n v="35.82"/>
    <n v="4.7619047620000003"/>
    <n v="1.7909999999999999"/>
    <n v="8.1"/>
  </r>
  <r>
    <s v="788-21-5741"/>
    <s v="A"/>
    <x v="0"/>
    <x v="1"/>
    <x v="1"/>
    <x v="5"/>
    <n v="45.38"/>
    <n v="3"/>
    <n v="6.8070000000000004"/>
    <n v="142.947"/>
    <x v="21"/>
    <d v="1899-12-30T13:34:00"/>
    <x v="2"/>
    <n v="136.13999999999999"/>
    <n v="4.7619047620000003"/>
    <n v="6.8070000000000004"/>
    <n v="7.2"/>
  </r>
  <r>
    <s v="821-14-9046"/>
    <s v="B"/>
    <x v="2"/>
    <x v="0"/>
    <x v="0"/>
    <x v="5"/>
    <n v="17.48"/>
    <n v="6"/>
    <n v="5.2439999999999998"/>
    <n v="110.124"/>
    <x v="68"/>
    <d v="1899-12-30T15:04:00"/>
    <x v="2"/>
    <n v="104.88"/>
    <n v="4.7619047620000003"/>
    <n v="5.2439999999999998"/>
    <n v="6.1"/>
  </r>
  <r>
    <s v="418-05-0656"/>
    <s v="B"/>
    <x v="2"/>
    <x v="1"/>
    <x v="0"/>
    <x v="5"/>
    <n v="25.56"/>
    <n v="7"/>
    <n v="8.9459999999999997"/>
    <n v="187.86600000000001"/>
    <x v="30"/>
    <d v="1899-12-30T20:42:00"/>
    <x v="1"/>
    <n v="178.92"/>
    <n v="4.7619047620000003"/>
    <n v="8.9459999999999997"/>
    <n v="7.1"/>
  </r>
  <r>
    <s v="678-79-0726"/>
    <s v="C"/>
    <x v="1"/>
    <x v="0"/>
    <x v="0"/>
    <x v="3"/>
    <n v="90.63"/>
    <n v="9"/>
    <n v="40.783499999999997"/>
    <n v="856.45349999999996"/>
    <x v="68"/>
    <d v="1899-12-30T15:28:00"/>
    <x v="1"/>
    <n v="815.67"/>
    <n v="4.7619047620000003"/>
    <n v="40.783499999999997"/>
    <n v="5.0999999999999996"/>
  </r>
  <r>
    <s v="776-68-1096"/>
    <s v="B"/>
    <x v="2"/>
    <x v="1"/>
    <x v="1"/>
    <x v="2"/>
    <n v="44.12"/>
    <n v="3"/>
    <n v="6.6180000000000003"/>
    <n v="138.97800000000001"/>
    <x v="79"/>
    <d v="1899-12-30T13:45:00"/>
    <x v="2"/>
    <n v="132.36000000000001"/>
    <n v="4.7619047620000003"/>
    <n v="6.6180000000000003"/>
    <n v="7.9"/>
  </r>
  <r>
    <s v="592-46-1692"/>
    <s v="C"/>
    <x v="1"/>
    <x v="0"/>
    <x v="0"/>
    <x v="4"/>
    <n v="36.770000000000003"/>
    <n v="7"/>
    <n v="12.8695"/>
    <n v="270.2595"/>
    <x v="83"/>
    <d v="1899-12-30T20:10:00"/>
    <x v="1"/>
    <n v="257.39"/>
    <n v="4.7619047620000003"/>
    <n v="12.8695"/>
    <n v="7.4"/>
  </r>
  <r>
    <s v="434-35-9162"/>
    <s v="B"/>
    <x v="2"/>
    <x v="0"/>
    <x v="1"/>
    <x v="4"/>
    <n v="23.34"/>
    <n v="4"/>
    <n v="4.6680000000000001"/>
    <n v="98.028000000000006"/>
    <x v="87"/>
    <d v="1899-12-30T18:53:00"/>
    <x v="0"/>
    <n v="93.36"/>
    <n v="4.7619047620000003"/>
    <n v="4.6680000000000001"/>
    <n v="7.4"/>
  </r>
  <r>
    <s v="149-14-0304"/>
    <s v="C"/>
    <x v="1"/>
    <x v="0"/>
    <x v="0"/>
    <x v="0"/>
    <n v="28.5"/>
    <n v="8"/>
    <n v="11.4"/>
    <n v="239.4"/>
    <x v="10"/>
    <d v="1899-12-30T14:24:00"/>
    <x v="1"/>
    <n v="228"/>
    <n v="4.7619047620000003"/>
    <n v="11.4"/>
    <n v="6.6"/>
  </r>
  <r>
    <s v="442-44-6497"/>
    <s v="C"/>
    <x v="1"/>
    <x v="0"/>
    <x v="1"/>
    <x v="2"/>
    <n v="55.57"/>
    <n v="3"/>
    <n v="8.3354999999999997"/>
    <n v="175.0455"/>
    <x v="66"/>
    <d v="1899-12-30T11:42:00"/>
    <x v="2"/>
    <n v="166.71"/>
    <n v="4.7619047620000003"/>
    <n v="8.3354999999999997"/>
    <n v="5.9"/>
  </r>
  <r>
    <s v="174-64-0215"/>
    <s v="B"/>
    <x v="2"/>
    <x v="1"/>
    <x v="1"/>
    <x v="3"/>
    <n v="69.739999999999995"/>
    <n v="10"/>
    <n v="34.869999999999997"/>
    <n v="732.27"/>
    <x v="19"/>
    <d v="1899-12-30T17:49:00"/>
    <x v="2"/>
    <n v="697.4"/>
    <n v="4.7619047620000003"/>
    <n v="34.869999999999997"/>
    <n v="8.9"/>
  </r>
  <r>
    <s v="210-74-9613"/>
    <s v="C"/>
    <x v="1"/>
    <x v="1"/>
    <x v="1"/>
    <x v="5"/>
    <n v="97.26"/>
    <n v="4"/>
    <n v="19.452000000000002"/>
    <n v="408.49200000000002"/>
    <x v="32"/>
    <d v="1899-12-30T15:33:00"/>
    <x v="0"/>
    <n v="389.04"/>
    <n v="4.7619047620000003"/>
    <n v="19.452000000000002"/>
    <n v="6.8"/>
  </r>
  <r>
    <s v="299-29-0180"/>
    <s v="B"/>
    <x v="2"/>
    <x v="0"/>
    <x v="0"/>
    <x v="2"/>
    <n v="52.18"/>
    <n v="7"/>
    <n v="18.263000000000002"/>
    <n v="383.52300000000002"/>
    <x v="11"/>
    <d v="1899-12-30T10:54:00"/>
    <x v="1"/>
    <n v="365.26"/>
    <n v="4.7619047620000003"/>
    <n v="18.263000000000002"/>
    <n v="9.3000000000000007"/>
  </r>
  <r>
    <s v="247-11-2470"/>
    <s v="A"/>
    <x v="0"/>
    <x v="0"/>
    <x v="0"/>
    <x v="5"/>
    <n v="22.32"/>
    <n v="4"/>
    <n v="4.4640000000000004"/>
    <n v="93.744"/>
    <x v="59"/>
    <d v="1899-12-30T16:23:00"/>
    <x v="2"/>
    <n v="89.28"/>
    <n v="4.7619047620000003"/>
    <n v="4.4640000000000004"/>
    <n v="4.4000000000000004"/>
  </r>
  <r>
    <s v="635-28-5728"/>
    <s v="A"/>
    <x v="0"/>
    <x v="1"/>
    <x v="1"/>
    <x v="0"/>
    <n v="56"/>
    <n v="3"/>
    <n v="8.4"/>
    <n v="176.4"/>
    <x v="38"/>
    <d v="1899-12-30T19:33:00"/>
    <x v="0"/>
    <n v="168"/>
    <n v="4.7619047620000003"/>
    <n v="8.4"/>
    <n v="4.8"/>
  </r>
  <r>
    <s v="756-49-0168"/>
    <s v="A"/>
    <x v="0"/>
    <x v="0"/>
    <x v="1"/>
    <x v="5"/>
    <n v="19.7"/>
    <n v="1"/>
    <n v="0.98499999999999999"/>
    <n v="20.684999999999999"/>
    <x v="4"/>
    <d v="1899-12-30T11:39:00"/>
    <x v="0"/>
    <n v="19.7"/>
    <n v="4.7619047620000003"/>
    <n v="0.98499999999999999"/>
    <n v="9.5"/>
  </r>
  <r>
    <s v="438-23-1242"/>
    <s v="B"/>
    <x v="2"/>
    <x v="1"/>
    <x v="1"/>
    <x v="1"/>
    <n v="75.88"/>
    <n v="7"/>
    <n v="26.558"/>
    <n v="557.71799999999996"/>
    <x v="46"/>
    <d v="1899-12-30T10:38:00"/>
    <x v="0"/>
    <n v="531.16"/>
    <n v="4.7619047620000003"/>
    <n v="26.558"/>
    <n v="8.9"/>
  </r>
  <r>
    <s v="238-45-6950"/>
    <s v="B"/>
    <x v="2"/>
    <x v="0"/>
    <x v="1"/>
    <x v="4"/>
    <n v="53.72"/>
    <n v="1"/>
    <n v="2.6859999999999999"/>
    <n v="56.405999999999999"/>
    <x v="59"/>
    <d v="1899-12-30T20:03:00"/>
    <x v="0"/>
    <n v="53.72"/>
    <n v="4.7619047620000003"/>
    <n v="2.6859999999999999"/>
    <n v="6.4"/>
  </r>
  <r>
    <s v="607-65-2441"/>
    <s v="C"/>
    <x v="1"/>
    <x v="0"/>
    <x v="1"/>
    <x v="0"/>
    <n v="81.95"/>
    <n v="10"/>
    <n v="40.975000000000001"/>
    <n v="860.47500000000002"/>
    <x v="24"/>
    <d v="1899-12-30T12:39:00"/>
    <x v="2"/>
    <n v="819.5"/>
    <n v="4.7619047620000003"/>
    <n v="40.975000000000001"/>
    <n v="6"/>
  </r>
  <r>
    <s v="386-27-7606"/>
    <s v="C"/>
    <x v="1"/>
    <x v="0"/>
    <x v="0"/>
    <x v="2"/>
    <n v="81.2"/>
    <n v="7"/>
    <n v="28.42"/>
    <n v="596.82000000000005"/>
    <x v="28"/>
    <d v="1899-12-30T15:59:00"/>
    <x v="2"/>
    <n v="568.4"/>
    <n v="4.7619047620000003"/>
    <n v="28.42"/>
    <n v="8.1"/>
  </r>
  <r>
    <s v="137-63-5492"/>
    <s v="C"/>
    <x v="1"/>
    <x v="1"/>
    <x v="1"/>
    <x v="1"/>
    <n v="58.76"/>
    <n v="10"/>
    <n v="29.38"/>
    <n v="616.98"/>
    <x v="71"/>
    <d v="1899-12-30T14:26:00"/>
    <x v="0"/>
    <n v="587.6"/>
    <n v="4.7619047620000003"/>
    <n v="29.38"/>
    <n v="9"/>
  </r>
  <r>
    <s v="197-77-7132"/>
    <s v="B"/>
    <x v="2"/>
    <x v="0"/>
    <x v="1"/>
    <x v="1"/>
    <n v="91.56"/>
    <n v="8"/>
    <n v="36.624000000000002"/>
    <n v="769.10400000000004"/>
    <x v="52"/>
    <d v="1899-12-30T18:22:00"/>
    <x v="0"/>
    <n v="732.48"/>
    <n v="4.7619047620000003"/>
    <n v="36.624000000000002"/>
    <n v="6"/>
  </r>
  <r>
    <s v="805-86-0265"/>
    <s v="A"/>
    <x v="0"/>
    <x v="1"/>
    <x v="1"/>
    <x v="2"/>
    <n v="93.96"/>
    <n v="9"/>
    <n v="42.281999999999996"/>
    <n v="887.92200000000003"/>
    <x v="80"/>
    <d v="1899-12-30T11:32:00"/>
    <x v="1"/>
    <n v="845.64"/>
    <n v="4.7619047620000003"/>
    <n v="42.281999999999996"/>
    <n v="9.8000000000000007"/>
  </r>
  <r>
    <s v="733-29-1227"/>
    <s v="C"/>
    <x v="1"/>
    <x v="1"/>
    <x v="1"/>
    <x v="2"/>
    <n v="55.61"/>
    <n v="7"/>
    <n v="19.4635"/>
    <n v="408.73349999999999"/>
    <x v="28"/>
    <d v="1899-12-30T12:41:00"/>
    <x v="1"/>
    <n v="389.27"/>
    <n v="4.7619047620000003"/>
    <n v="19.4635"/>
    <n v="8.5"/>
  </r>
  <r>
    <s v="451-73-2711"/>
    <s v="C"/>
    <x v="1"/>
    <x v="1"/>
    <x v="1"/>
    <x v="4"/>
    <n v="84.83"/>
    <n v="1"/>
    <n v="4.2415000000000003"/>
    <n v="89.0715"/>
    <x v="78"/>
    <d v="1899-12-30T15:20:00"/>
    <x v="0"/>
    <n v="84.83"/>
    <n v="4.7619047620000003"/>
    <n v="4.2415000000000003"/>
    <n v="8.8000000000000007"/>
  </r>
  <r>
    <s v="373-14-0504"/>
    <s v="A"/>
    <x v="0"/>
    <x v="0"/>
    <x v="0"/>
    <x v="3"/>
    <n v="71.63"/>
    <n v="2"/>
    <n v="7.1630000000000003"/>
    <n v="150.423"/>
    <x v="12"/>
    <d v="1899-12-30T14:33:00"/>
    <x v="0"/>
    <n v="143.26"/>
    <n v="4.7619047620000003"/>
    <n v="7.1630000000000003"/>
    <n v="8.8000000000000007"/>
  </r>
  <r>
    <s v="546-80-2899"/>
    <s v="A"/>
    <x v="0"/>
    <x v="0"/>
    <x v="1"/>
    <x v="2"/>
    <n v="37.69"/>
    <n v="2"/>
    <n v="3.7690000000000001"/>
    <n v="79.149000000000001"/>
    <x v="9"/>
    <d v="1899-12-30T15:29:00"/>
    <x v="0"/>
    <n v="75.38"/>
    <n v="4.7619047620000003"/>
    <n v="3.7690000000000001"/>
    <n v="9.5"/>
  </r>
  <r>
    <s v="345-68-9016"/>
    <s v="C"/>
    <x v="1"/>
    <x v="0"/>
    <x v="0"/>
    <x v="3"/>
    <n v="31.67"/>
    <n v="8"/>
    <n v="12.667999999999999"/>
    <n v="266.02800000000002"/>
    <x v="56"/>
    <d v="1899-12-30T16:19:00"/>
    <x v="2"/>
    <n v="253.36"/>
    <n v="4.7619047620000003"/>
    <n v="12.667999999999999"/>
    <n v="5.6"/>
  </r>
  <r>
    <s v="390-17-5806"/>
    <s v="C"/>
    <x v="1"/>
    <x v="0"/>
    <x v="0"/>
    <x v="4"/>
    <n v="38.42"/>
    <n v="1"/>
    <n v="1.921"/>
    <n v="40.341000000000001"/>
    <x v="30"/>
    <d v="1899-12-30T16:33:00"/>
    <x v="1"/>
    <n v="38.42"/>
    <n v="4.7619047620000003"/>
    <n v="1.921"/>
    <n v="8.6"/>
  </r>
  <r>
    <s v="457-13-1708"/>
    <s v="B"/>
    <x v="2"/>
    <x v="0"/>
    <x v="1"/>
    <x v="5"/>
    <n v="65.23"/>
    <n v="10"/>
    <n v="32.615000000000002"/>
    <n v="684.91499999999996"/>
    <x v="66"/>
    <d v="1899-12-30T19:07:00"/>
    <x v="2"/>
    <n v="652.29999999999995"/>
    <n v="4.7619047620000003"/>
    <n v="32.615000000000002"/>
    <n v="5.2"/>
  </r>
  <r>
    <s v="664-14-2882"/>
    <s v="C"/>
    <x v="1"/>
    <x v="0"/>
    <x v="0"/>
    <x v="2"/>
    <n v="10.53"/>
    <n v="5"/>
    <n v="2.6324999999999998"/>
    <n v="55.282499999999999"/>
    <x v="74"/>
    <d v="1899-12-30T14:43:00"/>
    <x v="2"/>
    <n v="52.65"/>
    <n v="4.7619047620000003"/>
    <n v="2.6324999999999998"/>
    <n v="5.8"/>
  </r>
  <r>
    <s v="487-79-6868"/>
    <s v="B"/>
    <x v="2"/>
    <x v="0"/>
    <x v="0"/>
    <x v="2"/>
    <n v="12.29"/>
    <n v="9"/>
    <n v="5.5305"/>
    <n v="116.1405"/>
    <x v="58"/>
    <d v="1899-12-30T19:28:00"/>
    <x v="2"/>
    <n v="110.61"/>
    <n v="4.7619047620000003"/>
    <n v="5.5305"/>
    <n v="8"/>
  </r>
  <r>
    <s v="314-23-4520"/>
    <s v="C"/>
    <x v="1"/>
    <x v="0"/>
    <x v="1"/>
    <x v="0"/>
    <n v="81.23"/>
    <n v="7"/>
    <n v="28.430499999999999"/>
    <n v="597.04049999999995"/>
    <x v="15"/>
    <d v="1899-12-30T20:44:00"/>
    <x v="1"/>
    <n v="568.61"/>
    <n v="4.7619047620000003"/>
    <n v="28.430499999999999"/>
    <n v="9"/>
  </r>
  <r>
    <s v="210-30-7976"/>
    <s v="B"/>
    <x v="2"/>
    <x v="0"/>
    <x v="0"/>
    <x v="5"/>
    <n v="22.32"/>
    <n v="4"/>
    <n v="4.4640000000000004"/>
    <n v="93.744"/>
    <x v="86"/>
    <d v="1899-12-30T11:16:00"/>
    <x v="0"/>
    <n v="89.28"/>
    <n v="4.7619047620000003"/>
    <n v="4.4640000000000004"/>
    <n v="4.0999999999999996"/>
  </r>
  <r>
    <s v="585-86-8361"/>
    <s v="A"/>
    <x v="0"/>
    <x v="1"/>
    <x v="0"/>
    <x v="4"/>
    <n v="27.28"/>
    <n v="5"/>
    <n v="6.82"/>
    <n v="143.22"/>
    <x v="36"/>
    <d v="1899-12-30T10:31:00"/>
    <x v="2"/>
    <n v="136.4"/>
    <n v="4.7619047620000003"/>
    <n v="6.82"/>
    <n v="8.6"/>
  </r>
  <r>
    <s v="807-14-7833"/>
    <s v="A"/>
    <x v="0"/>
    <x v="0"/>
    <x v="0"/>
    <x v="1"/>
    <n v="17.420000000000002"/>
    <n v="10"/>
    <n v="8.7100000000000009"/>
    <n v="182.91"/>
    <x v="70"/>
    <d v="1899-12-30T12:30:00"/>
    <x v="0"/>
    <n v="174.2"/>
    <n v="4.7619047620000003"/>
    <n v="8.7100000000000009"/>
    <n v="7"/>
  </r>
  <r>
    <s v="775-72-1988"/>
    <s v="B"/>
    <x v="2"/>
    <x v="1"/>
    <x v="1"/>
    <x v="2"/>
    <n v="73.28"/>
    <n v="5"/>
    <n v="18.32"/>
    <n v="384.72"/>
    <x v="46"/>
    <d v="1899-12-30T15:05:00"/>
    <x v="0"/>
    <n v="366.4"/>
    <n v="4.7619047620000003"/>
    <n v="18.32"/>
    <n v="8.4"/>
  </r>
  <r>
    <s v="288-38-3758"/>
    <s v="C"/>
    <x v="1"/>
    <x v="0"/>
    <x v="0"/>
    <x v="5"/>
    <n v="84.87"/>
    <n v="3"/>
    <n v="12.730499999999999"/>
    <n v="267.34050000000002"/>
    <x v="25"/>
    <d v="1899-12-30T18:30:00"/>
    <x v="0"/>
    <n v="254.61"/>
    <n v="4.7619047620000003"/>
    <n v="12.730499999999999"/>
    <n v="7.4"/>
  </r>
  <r>
    <s v="652-43-6591"/>
    <s v="A"/>
    <x v="0"/>
    <x v="1"/>
    <x v="0"/>
    <x v="5"/>
    <n v="97.29"/>
    <n v="8"/>
    <n v="38.915999999999997"/>
    <n v="817.23599999999999"/>
    <x v="11"/>
    <d v="1899-12-30T13:18:00"/>
    <x v="2"/>
    <n v="778.32"/>
    <n v="4.7619047620000003"/>
    <n v="38.915999999999997"/>
    <n v="6.2"/>
  </r>
  <r>
    <s v="785-96-0615"/>
    <s v="B"/>
    <x v="2"/>
    <x v="0"/>
    <x v="0"/>
    <x v="1"/>
    <n v="35.74"/>
    <n v="8"/>
    <n v="14.295999999999999"/>
    <n v="300.21600000000001"/>
    <x v="21"/>
    <d v="1899-12-30T15:28:00"/>
    <x v="0"/>
    <n v="285.92"/>
    <n v="4.7619047620000003"/>
    <n v="14.295999999999999"/>
    <n v="4.9000000000000004"/>
  </r>
  <r>
    <s v="406-46-7107"/>
    <s v="A"/>
    <x v="0"/>
    <x v="1"/>
    <x v="0"/>
    <x v="2"/>
    <n v="96.52"/>
    <n v="6"/>
    <n v="28.956"/>
    <n v="608.07600000000002"/>
    <x v="83"/>
    <d v="1899-12-30T11:52:00"/>
    <x v="1"/>
    <n v="579.12"/>
    <n v="4.7619047620000003"/>
    <n v="28.956"/>
    <n v="4.5"/>
  </r>
  <r>
    <s v="250-17-5703"/>
    <s v="A"/>
    <x v="0"/>
    <x v="0"/>
    <x v="1"/>
    <x v="4"/>
    <n v="18.850000000000001"/>
    <n v="10"/>
    <n v="9.4250000000000007"/>
    <n v="197.92500000000001"/>
    <x v="33"/>
    <d v="1899-12-30T18:24:00"/>
    <x v="0"/>
    <n v="188.5"/>
    <n v="4.7619047620000003"/>
    <n v="9.4250000000000007"/>
    <n v="5.6"/>
  </r>
  <r>
    <s v="156-95-3964"/>
    <s v="A"/>
    <x v="0"/>
    <x v="1"/>
    <x v="0"/>
    <x v="4"/>
    <n v="55.39"/>
    <n v="4"/>
    <n v="11.077999999999999"/>
    <n v="232.63800000000001"/>
    <x v="5"/>
    <d v="1899-12-30T15:19:00"/>
    <x v="0"/>
    <n v="221.56"/>
    <n v="4.7619047620000003"/>
    <n v="11.077999999999999"/>
    <n v="8"/>
  </r>
  <r>
    <s v="842-40-8179"/>
    <s v="B"/>
    <x v="2"/>
    <x v="0"/>
    <x v="0"/>
    <x v="4"/>
    <n v="77.2"/>
    <n v="10"/>
    <n v="38.6"/>
    <n v="810.6"/>
    <x v="48"/>
    <d v="1899-12-30T10:38:00"/>
    <x v="2"/>
    <n v="772"/>
    <n v="4.7619047620000003"/>
    <n v="38.6"/>
    <n v="5.6"/>
  </r>
  <r>
    <s v="525-09-8450"/>
    <s v="B"/>
    <x v="2"/>
    <x v="1"/>
    <x v="1"/>
    <x v="1"/>
    <n v="72.13"/>
    <n v="10"/>
    <n v="36.064999999999998"/>
    <n v="757.36500000000001"/>
    <x v="82"/>
    <d v="1899-12-30T15:12:00"/>
    <x v="2"/>
    <n v="721.3"/>
    <n v="4.7619047620000003"/>
    <n v="36.064999999999998"/>
    <n v="4.2"/>
  </r>
  <r>
    <s v="410-67-1709"/>
    <s v="A"/>
    <x v="0"/>
    <x v="0"/>
    <x v="0"/>
    <x v="5"/>
    <n v="63.88"/>
    <n v="8"/>
    <n v="25.552"/>
    <n v="536.59199999999998"/>
    <x v="40"/>
    <d v="1899-12-30T17:48:00"/>
    <x v="0"/>
    <n v="511.04"/>
    <n v="4.7619047620000003"/>
    <n v="25.552"/>
    <n v="9.9"/>
  </r>
  <r>
    <s v="587-73-4862"/>
    <s v="A"/>
    <x v="0"/>
    <x v="0"/>
    <x v="0"/>
    <x v="0"/>
    <n v="10.69"/>
    <n v="5"/>
    <n v="2.6724999999999999"/>
    <n v="56.122500000000002"/>
    <x v="58"/>
    <d v="1899-12-30T11:07:00"/>
    <x v="0"/>
    <n v="53.45"/>
    <n v="4.7619047620000003"/>
    <n v="2.6724999999999999"/>
    <n v="7.6"/>
  </r>
  <r>
    <s v="787-87-2010"/>
    <s v="A"/>
    <x v="0"/>
    <x v="0"/>
    <x v="1"/>
    <x v="0"/>
    <n v="55.5"/>
    <n v="4"/>
    <n v="11.1"/>
    <n v="233.1"/>
    <x v="40"/>
    <d v="1899-12-30T15:48:00"/>
    <x v="2"/>
    <n v="222"/>
    <n v="4.7619047620000003"/>
    <n v="11.1"/>
    <n v="6.6"/>
  </r>
  <r>
    <s v="593-14-4239"/>
    <s v="B"/>
    <x v="2"/>
    <x v="1"/>
    <x v="0"/>
    <x v="2"/>
    <n v="95.46"/>
    <n v="8"/>
    <n v="38.183999999999997"/>
    <n v="801.86400000000003"/>
    <x v="19"/>
    <d v="1899-12-30T19:40:00"/>
    <x v="0"/>
    <n v="763.68"/>
    <n v="4.7619047620000003"/>
    <n v="38.183999999999997"/>
    <n v="4.7"/>
  </r>
  <r>
    <s v="801-88-0346"/>
    <s v="C"/>
    <x v="1"/>
    <x v="1"/>
    <x v="0"/>
    <x v="5"/>
    <n v="76.06"/>
    <n v="3"/>
    <n v="11.409000000000001"/>
    <n v="239.589"/>
    <x v="0"/>
    <d v="1899-12-30T20:30:00"/>
    <x v="2"/>
    <n v="228.18"/>
    <n v="4.7619047620000003"/>
    <n v="11.409000000000001"/>
    <n v="9.8000000000000007"/>
  </r>
  <r>
    <s v="388-76-2555"/>
    <s v="B"/>
    <x v="2"/>
    <x v="1"/>
    <x v="1"/>
    <x v="3"/>
    <n v="13.69"/>
    <n v="6"/>
    <n v="4.1070000000000002"/>
    <n v="86.247"/>
    <x v="77"/>
    <d v="1899-12-30T13:59:00"/>
    <x v="1"/>
    <n v="82.14"/>
    <n v="4.7619047620000003"/>
    <n v="4.1070000000000002"/>
    <n v="6.3"/>
  </r>
  <r>
    <s v="711-31-1234"/>
    <s v="B"/>
    <x v="2"/>
    <x v="1"/>
    <x v="0"/>
    <x v="1"/>
    <n v="95.64"/>
    <n v="4"/>
    <n v="19.128"/>
    <n v="401.68799999999999"/>
    <x v="32"/>
    <d v="1899-12-30T18:51:00"/>
    <x v="1"/>
    <n v="382.56"/>
    <n v="4.7619047620000003"/>
    <n v="19.128"/>
    <n v="7.9"/>
  </r>
  <r>
    <s v="886-54-6089"/>
    <s v="A"/>
    <x v="0"/>
    <x v="1"/>
    <x v="0"/>
    <x v="2"/>
    <n v="11.43"/>
    <n v="6"/>
    <n v="3.4289999999999998"/>
    <n v="72.009"/>
    <x v="15"/>
    <d v="1899-12-30T17:24:00"/>
    <x v="1"/>
    <n v="68.58"/>
    <n v="4.7619047620000003"/>
    <n v="3.4289999999999998"/>
    <n v="7.7"/>
  </r>
  <r>
    <s v="707-32-7409"/>
    <s v="B"/>
    <x v="2"/>
    <x v="0"/>
    <x v="0"/>
    <x v="3"/>
    <n v="95.54"/>
    <n v="4"/>
    <n v="19.108000000000001"/>
    <n v="401.26799999999997"/>
    <x v="84"/>
    <d v="1899-12-30T11:58:00"/>
    <x v="0"/>
    <n v="382.16"/>
    <n v="4.7619047620000003"/>
    <n v="19.108000000000001"/>
    <n v="4.5"/>
  </r>
  <r>
    <s v="759-98-4285"/>
    <s v="C"/>
    <x v="1"/>
    <x v="0"/>
    <x v="0"/>
    <x v="0"/>
    <n v="85.87"/>
    <n v="7"/>
    <n v="30.054500000000001"/>
    <n v="631.14449999999999"/>
    <x v="33"/>
    <d v="1899-12-30T19:01:00"/>
    <x v="2"/>
    <n v="601.09"/>
    <n v="4.7619047620000003"/>
    <n v="30.054500000000001"/>
    <n v="8"/>
  </r>
  <r>
    <s v="201-63-8275"/>
    <s v="C"/>
    <x v="1"/>
    <x v="0"/>
    <x v="0"/>
    <x v="3"/>
    <n v="67.989999999999995"/>
    <n v="7"/>
    <n v="23.796500000000002"/>
    <n v="499.72649999999999"/>
    <x v="21"/>
    <d v="1899-12-30T16:50:00"/>
    <x v="0"/>
    <n v="475.93"/>
    <n v="4.7619047620000003"/>
    <n v="23.796500000000002"/>
    <n v="5.7"/>
  </r>
  <r>
    <s v="471-06-8611"/>
    <s v="C"/>
    <x v="1"/>
    <x v="1"/>
    <x v="0"/>
    <x v="4"/>
    <n v="52.42"/>
    <n v="1"/>
    <n v="2.621"/>
    <n v="55.040999999999997"/>
    <x v="10"/>
    <d v="1899-12-30T10:22:00"/>
    <x v="2"/>
    <n v="52.42"/>
    <n v="4.7619047620000003"/>
    <n v="2.621"/>
    <n v="6.3"/>
  </r>
  <r>
    <s v="200-16-5952"/>
    <s v="C"/>
    <x v="1"/>
    <x v="0"/>
    <x v="1"/>
    <x v="4"/>
    <n v="65.650000000000006"/>
    <n v="2"/>
    <n v="6.5650000000000004"/>
    <n v="137.86500000000001"/>
    <x v="29"/>
    <d v="1899-12-30T16:46:00"/>
    <x v="1"/>
    <n v="131.30000000000001"/>
    <n v="4.7619047620000003"/>
    <n v="6.5650000000000004"/>
    <n v="6"/>
  </r>
  <r>
    <s v="120-54-2248"/>
    <s v="B"/>
    <x v="2"/>
    <x v="1"/>
    <x v="0"/>
    <x v="4"/>
    <n v="28.86"/>
    <n v="5"/>
    <n v="7.2149999999999999"/>
    <n v="151.51499999999999"/>
    <x v="49"/>
    <d v="1899-12-30T18:08:00"/>
    <x v="2"/>
    <n v="144.30000000000001"/>
    <n v="4.7619047620000003"/>
    <n v="7.2149999999999999"/>
    <n v="8"/>
  </r>
  <r>
    <s v="102-77-2261"/>
    <s v="C"/>
    <x v="1"/>
    <x v="0"/>
    <x v="1"/>
    <x v="0"/>
    <n v="65.31"/>
    <n v="7"/>
    <n v="22.858499999999999"/>
    <n v="480.02850000000001"/>
    <x v="19"/>
    <d v="1899-12-30T18:02:00"/>
    <x v="2"/>
    <n v="457.17"/>
    <n v="4.7619047620000003"/>
    <n v="22.858499999999999"/>
    <n v="4.2"/>
  </r>
  <r>
    <s v="875-31-8302"/>
    <s v="B"/>
    <x v="2"/>
    <x v="1"/>
    <x v="1"/>
    <x v="3"/>
    <n v="93.38"/>
    <n v="1"/>
    <n v="4.6689999999999996"/>
    <n v="98.049000000000007"/>
    <x v="75"/>
    <d v="1899-12-30T13:07:00"/>
    <x v="1"/>
    <n v="93.38"/>
    <n v="4.7619047620000003"/>
    <n v="4.6689999999999996"/>
    <n v="9.6"/>
  </r>
  <r>
    <s v="102-06-2002"/>
    <s v="C"/>
    <x v="1"/>
    <x v="0"/>
    <x v="1"/>
    <x v="3"/>
    <n v="25.25"/>
    <n v="5"/>
    <n v="6.3125"/>
    <n v="132.5625"/>
    <x v="80"/>
    <d v="1899-12-30T17:52:00"/>
    <x v="1"/>
    <n v="126.25"/>
    <n v="4.7619047620000003"/>
    <n v="6.3125"/>
    <n v="6.1"/>
  </r>
  <r>
    <s v="457-94-0464"/>
    <s v="B"/>
    <x v="2"/>
    <x v="0"/>
    <x v="1"/>
    <x v="1"/>
    <n v="87.87"/>
    <n v="9"/>
    <n v="39.541499999999999"/>
    <n v="830.37149999999997"/>
    <x v="82"/>
    <d v="1899-12-30T20:32:00"/>
    <x v="0"/>
    <n v="790.83"/>
    <n v="4.7619047620000003"/>
    <n v="39.541499999999999"/>
    <n v="5.6"/>
  </r>
  <r>
    <s v="629-42-4133"/>
    <s v="C"/>
    <x v="1"/>
    <x v="1"/>
    <x v="1"/>
    <x v="0"/>
    <n v="21.8"/>
    <n v="8"/>
    <n v="8.7200000000000006"/>
    <n v="183.12"/>
    <x v="88"/>
    <d v="1899-12-30T19:24:00"/>
    <x v="1"/>
    <n v="174.4"/>
    <n v="4.7619047620000003"/>
    <n v="8.7200000000000006"/>
    <n v="8.3000000000000007"/>
  </r>
  <r>
    <s v="534-53-3526"/>
    <s v="A"/>
    <x v="0"/>
    <x v="1"/>
    <x v="0"/>
    <x v="3"/>
    <n v="94.76"/>
    <n v="4"/>
    <n v="18.952000000000002"/>
    <n v="397.99200000000002"/>
    <x v="48"/>
    <d v="1899-12-30T16:06:00"/>
    <x v="0"/>
    <n v="379.04"/>
    <n v="4.7619047620000003"/>
    <n v="18.952000000000002"/>
    <n v="7.8"/>
  </r>
  <r>
    <s v="307-04-2070"/>
    <s v="A"/>
    <x v="0"/>
    <x v="0"/>
    <x v="0"/>
    <x v="5"/>
    <n v="30.62"/>
    <n v="1"/>
    <n v="1.5309999999999999"/>
    <n v="32.151000000000003"/>
    <x v="63"/>
    <d v="1899-12-30T14:14:00"/>
    <x v="2"/>
    <n v="30.62"/>
    <n v="4.7619047620000003"/>
    <n v="1.5309999999999999"/>
    <n v="4.0999999999999996"/>
  </r>
  <r>
    <s v="468-99-7231"/>
    <s v="C"/>
    <x v="1"/>
    <x v="1"/>
    <x v="0"/>
    <x v="2"/>
    <n v="44.01"/>
    <n v="8"/>
    <n v="17.603999999999999"/>
    <n v="369.68400000000003"/>
    <x v="2"/>
    <d v="1899-12-30T17:36:00"/>
    <x v="1"/>
    <n v="352.08"/>
    <n v="4.7619047620000003"/>
    <n v="17.603999999999999"/>
    <n v="8.8000000000000007"/>
  </r>
  <r>
    <s v="516-77-6464"/>
    <s v="C"/>
    <x v="1"/>
    <x v="0"/>
    <x v="0"/>
    <x v="0"/>
    <n v="10.16"/>
    <n v="5"/>
    <n v="2.54"/>
    <n v="53.34"/>
    <x v="7"/>
    <d v="1899-12-30T13:08:00"/>
    <x v="0"/>
    <n v="50.8"/>
    <n v="4.7619047620000003"/>
    <n v="2.54"/>
    <n v="4.0999999999999996"/>
  </r>
  <r>
    <s v="404-91-5964"/>
    <s v="A"/>
    <x v="0"/>
    <x v="1"/>
    <x v="1"/>
    <x v="1"/>
    <n v="74.58"/>
    <n v="7"/>
    <n v="26.103000000000002"/>
    <n v="548.16300000000001"/>
    <x v="87"/>
    <d v="1899-12-30T16:09:00"/>
    <x v="2"/>
    <n v="522.05999999999995"/>
    <n v="4.7619047620000003"/>
    <n v="26.103000000000002"/>
    <n v="9"/>
  </r>
  <r>
    <s v="886-77-9084"/>
    <s v="C"/>
    <x v="1"/>
    <x v="1"/>
    <x v="1"/>
    <x v="1"/>
    <n v="71.89"/>
    <n v="8"/>
    <n v="28.756"/>
    <n v="603.87599999999998"/>
    <x v="88"/>
    <d v="1899-12-30T11:33:00"/>
    <x v="0"/>
    <n v="575.12"/>
    <n v="4.7619047620000003"/>
    <n v="28.756"/>
    <n v="5.5"/>
  </r>
  <r>
    <s v="790-38-4466"/>
    <s v="C"/>
    <x v="1"/>
    <x v="1"/>
    <x v="0"/>
    <x v="0"/>
    <n v="10.99"/>
    <n v="5"/>
    <n v="2.7475000000000001"/>
    <n v="57.697499999999998"/>
    <x v="54"/>
    <d v="1899-12-30T10:18:00"/>
    <x v="2"/>
    <n v="54.95"/>
    <n v="4.7619047620000003"/>
    <n v="2.7475000000000001"/>
    <n v="9.3000000000000007"/>
  </r>
  <r>
    <s v="704-10-4056"/>
    <s v="C"/>
    <x v="1"/>
    <x v="0"/>
    <x v="1"/>
    <x v="0"/>
    <n v="60.47"/>
    <n v="3"/>
    <n v="9.0704999999999991"/>
    <n v="190.48050000000001"/>
    <x v="78"/>
    <d v="1899-12-30T10:55:00"/>
    <x v="2"/>
    <n v="181.41"/>
    <n v="4.7619047620000003"/>
    <n v="9.0704999999999991"/>
    <n v="5.6"/>
  </r>
  <r>
    <s v="497-37-6538"/>
    <s v="A"/>
    <x v="0"/>
    <x v="1"/>
    <x v="1"/>
    <x v="3"/>
    <n v="58.91"/>
    <n v="7"/>
    <n v="20.618500000000001"/>
    <n v="432.98849999999999"/>
    <x v="29"/>
    <d v="1899-12-30T15:15:00"/>
    <x v="0"/>
    <n v="412.37"/>
    <n v="4.7619047620000003"/>
    <n v="20.618500000000001"/>
    <n v="9.6999999999999993"/>
  </r>
  <r>
    <s v="651-96-5970"/>
    <s v="A"/>
    <x v="0"/>
    <x v="1"/>
    <x v="1"/>
    <x v="5"/>
    <n v="46.41"/>
    <n v="1"/>
    <n v="2.3205"/>
    <n v="48.730499999999999"/>
    <x v="2"/>
    <d v="1899-12-30T20:06:00"/>
    <x v="2"/>
    <n v="46.41"/>
    <n v="4.7619047620000003"/>
    <n v="2.3205"/>
    <n v="4"/>
  </r>
  <r>
    <s v="400-80-4065"/>
    <s v="C"/>
    <x v="1"/>
    <x v="0"/>
    <x v="1"/>
    <x v="0"/>
    <n v="68.55"/>
    <n v="4"/>
    <n v="13.71"/>
    <n v="287.91000000000003"/>
    <x v="42"/>
    <d v="1899-12-30T20:21:00"/>
    <x v="2"/>
    <n v="274.2"/>
    <n v="4.7619047620000003"/>
    <n v="13.71"/>
    <n v="9.1999999999999993"/>
  </r>
  <r>
    <s v="744-16-7898"/>
    <s v="B"/>
    <x v="2"/>
    <x v="1"/>
    <x v="0"/>
    <x v="2"/>
    <n v="97.37"/>
    <n v="10"/>
    <n v="48.685000000000002"/>
    <n v="1022.385"/>
    <x v="15"/>
    <d v="1899-12-30T13:48:00"/>
    <x v="2"/>
    <n v="973.7"/>
    <n v="4.7619047620000003"/>
    <n v="48.685000000000002"/>
    <n v="4.9000000000000004"/>
  </r>
  <r>
    <s v="263-12-5321"/>
    <s v="A"/>
    <x v="0"/>
    <x v="0"/>
    <x v="1"/>
    <x v="1"/>
    <n v="92.6"/>
    <n v="7"/>
    <n v="32.409999999999997"/>
    <n v="680.61"/>
    <x v="33"/>
    <d v="1899-12-30T12:52:00"/>
    <x v="2"/>
    <n v="648.20000000000005"/>
    <n v="4.7619047620000003"/>
    <n v="32.409999999999997"/>
    <n v="9.3000000000000007"/>
  </r>
  <r>
    <s v="702-72-0487"/>
    <s v="A"/>
    <x v="0"/>
    <x v="1"/>
    <x v="0"/>
    <x v="1"/>
    <n v="46.61"/>
    <n v="2"/>
    <n v="4.6609999999999996"/>
    <n v="97.881"/>
    <x v="84"/>
    <d v="1899-12-30T12:28:00"/>
    <x v="2"/>
    <n v="93.22"/>
    <n v="4.7619047620000003"/>
    <n v="4.6609999999999996"/>
    <n v="6.6"/>
  </r>
  <r>
    <s v="605-83-1050"/>
    <s v="B"/>
    <x v="2"/>
    <x v="1"/>
    <x v="1"/>
    <x v="5"/>
    <n v="27.18"/>
    <n v="2"/>
    <n v="2.718"/>
    <n v="57.078000000000003"/>
    <x v="20"/>
    <d v="1899-12-30T16:26:00"/>
    <x v="0"/>
    <n v="54.36"/>
    <n v="4.7619047620000003"/>
    <n v="2.718"/>
    <n v="4.3"/>
  </r>
  <r>
    <s v="443-60-9639"/>
    <s v="C"/>
    <x v="1"/>
    <x v="0"/>
    <x v="0"/>
    <x v="2"/>
    <n v="60.87"/>
    <n v="1"/>
    <n v="3.0434999999999999"/>
    <n v="63.913499999999999"/>
    <x v="46"/>
    <d v="1899-12-30T13:24:00"/>
    <x v="1"/>
    <n v="60.87"/>
    <n v="4.7619047620000003"/>
    <n v="3.0434999999999999"/>
    <n v="5.5"/>
  </r>
  <r>
    <s v="864-24-7918"/>
    <s v="A"/>
    <x v="0"/>
    <x v="0"/>
    <x v="0"/>
    <x v="3"/>
    <n v="24.49"/>
    <n v="10"/>
    <n v="12.244999999999999"/>
    <n v="257.14499999999998"/>
    <x v="70"/>
    <d v="1899-12-30T15:15:00"/>
    <x v="1"/>
    <n v="244.9"/>
    <n v="4.7619047620000003"/>
    <n v="12.244999999999999"/>
    <n v="8.1"/>
  </r>
  <r>
    <s v="359-94-5395"/>
    <s v="B"/>
    <x v="2"/>
    <x v="1"/>
    <x v="1"/>
    <x v="0"/>
    <n v="92.78"/>
    <n v="1"/>
    <n v="4.6390000000000002"/>
    <n v="97.418999999999997"/>
    <x v="20"/>
    <d v="1899-12-30T10:50:00"/>
    <x v="2"/>
    <n v="92.78"/>
    <n v="4.7619047620000003"/>
    <n v="4.6390000000000002"/>
    <n v="9.8000000000000007"/>
  </r>
  <r>
    <s v="401-09-4232"/>
    <s v="C"/>
    <x v="1"/>
    <x v="0"/>
    <x v="1"/>
    <x v="2"/>
    <n v="86.69"/>
    <n v="5"/>
    <n v="21.672499999999999"/>
    <n v="455.1225"/>
    <x v="48"/>
    <d v="1899-12-30T18:38:00"/>
    <x v="0"/>
    <n v="433.45"/>
    <n v="4.7619047620000003"/>
    <n v="21.672499999999999"/>
    <n v="9.4"/>
  </r>
  <r>
    <s v="751-15-6198"/>
    <s v="B"/>
    <x v="2"/>
    <x v="1"/>
    <x v="1"/>
    <x v="3"/>
    <n v="23.01"/>
    <n v="6"/>
    <n v="6.9029999999999996"/>
    <n v="144.96299999999999"/>
    <x v="52"/>
    <d v="1899-12-30T16:45:00"/>
    <x v="0"/>
    <n v="138.06"/>
    <n v="4.7619047620000003"/>
    <n v="6.9029999999999996"/>
    <n v="7.9"/>
  </r>
  <r>
    <s v="324-41-6833"/>
    <s v="C"/>
    <x v="1"/>
    <x v="0"/>
    <x v="0"/>
    <x v="1"/>
    <n v="30.2"/>
    <n v="8"/>
    <n v="12.08"/>
    <n v="253.68"/>
    <x v="2"/>
    <d v="1899-12-30T19:30:00"/>
    <x v="0"/>
    <n v="241.6"/>
    <n v="4.7619047620000003"/>
    <n v="12.08"/>
    <n v="5.0999999999999996"/>
  </r>
  <r>
    <s v="474-33-8305"/>
    <s v="C"/>
    <x v="1"/>
    <x v="0"/>
    <x v="1"/>
    <x v="5"/>
    <n v="67.39"/>
    <n v="7"/>
    <n v="23.586500000000001"/>
    <n v="495.31650000000002"/>
    <x v="28"/>
    <d v="1899-12-30T13:23:00"/>
    <x v="0"/>
    <n v="471.73"/>
    <n v="4.7619047620000003"/>
    <n v="23.586500000000001"/>
    <n v="6.9"/>
  </r>
  <r>
    <s v="759-29-9521"/>
    <s v="A"/>
    <x v="0"/>
    <x v="0"/>
    <x v="0"/>
    <x v="5"/>
    <n v="48.96"/>
    <n v="9"/>
    <n v="22.032"/>
    <n v="462.67200000000003"/>
    <x v="31"/>
    <d v="1899-12-30T11:27:00"/>
    <x v="1"/>
    <n v="440.64"/>
    <n v="4.7619047620000003"/>
    <n v="22.032"/>
    <n v="8"/>
  </r>
  <r>
    <s v="831-81-6575"/>
    <s v="B"/>
    <x v="2"/>
    <x v="0"/>
    <x v="0"/>
    <x v="1"/>
    <n v="75.59"/>
    <n v="9"/>
    <n v="34.015500000000003"/>
    <n v="714.32550000000003"/>
    <x v="55"/>
    <d v="1899-12-30T11:12:00"/>
    <x v="1"/>
    <n v="680.31"/>
    <n v="4.7619047620000003"/>
    <n v="34.015500000000003"/>
    <n v="8"/>
  </r>
  <r>
    <s v="220-68-6701"/>
    <s v="A"/>
    <x v="0"/>
    <x v="1"/>
    <x v="0"/>
    <x v="2"/>
    <n v="77.47"/>
    <n v="4"/>
    <n v="15.494"/>
    <n v="325.37400000000002"/>
    <x v="85"/>
    <d v="1899-12-30T16:36:00"/>
    <x v="1"/>
    <n v="309.88"/>
    <n v="4.7619047620000003"/>
    <n v="15.494"/>
    <n v="4.2"/>
  </r>
  <r>
    <s v="618-34-8551"/>
    <s v="A"/>
    <x v="0"/>
    <x v="1"/>
    <x v="0"/>
    <x v="3"/>
    <n v="93.18"/>
    <n v="2"/>
    <n v="9.3179999999999996"/>
    <n v="195.678"/>
    <x v="65"/>
    <d v="1899-12-30T18:41:00"/>
    <x v="2"/>
    <n v="186.36"/>
    <n v="4.7619047620000003"/>
    <n v="9.3179999999999996"/>
    <n v="8.5"/>
  </r>
  <r>
    <s v="257-60-7754"/>
    <s v="A"/>
    <x v="0"/>
    <x v="1"/>
    <x v="0"/>
    <x v="1"/>
    <n v="50.23"/>
    <n v="4"/>
    <n v="10.045999999999999"/>
    <n v="210.96600000000001"/>
    <x v="66"/>
    <d v="1899-12-30T17:12:00"/>
    <x v="1"/>
    <n v="200.92"/>
    <n v="4.7619047620000003"/>
    <n v="10.045999999999999"/>
    <n v="9"/>
  </r>
  <r>
    <s v="559-61-5987"/>
    <s v="B"/>
    <x v="2"/>
    <x v="1"/>
    <x v="0"/>
    <x v="0"/>
    <n v="17.75"/>
    <n v="1"/>
    <n v="0.88749999999999996"/>
    <n v="18.637499999999999"/>
    <x v="78"/>
    <d v="1899-12-30T10:38:00"/>
    <x v="1"/>
    <n v="17.75"/>
    <n v="4.7619047620000003"/>
    <n v="0.88749999999999996"/>
    <n v="8.6"/>
  </r>
  <r>
    <s v="189-55-2313"/>
    <s v="C"/>
    <x v="1"/>
    <x v="1"/>
    <x v="0"/>
    <x v="5"/>
    <n v="62.18"/>
    <n v="10"/>
    <n v="31.09"/>
    <n v="652.89"/>
    <x v="82"/>
    <d v="1899-12-30T10:33:00"/>
    <x v="0"/>
    <n v="621.79999999999995"/>
    <n v="4.7619047620000003"/>
    <n v="31.09"/>
    <n v="6"/>
  </r>
  <r>
    <s v="565-91-4567"/>
    <s v="B"/>
    <x v="2"/>
    <x v="1"/>
    <x v="1"/>
    <x v="0"/>
    <n v="10.75"/>
    <n v="8"/>
    <n v="4.3"/>
    <n v="90.3"/>
    <x v="20"/>
    <d v="1899-12-30T14:38:00"/>
    <x v="0"/>
    <n v="86"/>
    <n v="4.7619047620000003"/>
    <n v="4.3"/>
    <n v="6.2"/>
  </r>
  <r>
    <s v="380-60-5336"/>
    <s v="A"/>
    <x v="0"/>
    <x v="1"/>
    <x v="0"/>
    <x v="1"/>
    <n v="40.26"/>
    <n v="10"/>
    <n v="20.13"/>
    <n v="422.73"/>
    <x v="7"/>
    <d v="1899-12-30T18:06:00"/>
    <x v="2"/>
    <n v="402.6"/>
    <n v="4.7619047620000003"/>
    <n v="20.13"/>
    <n v="5"/>
  </r>
  <r>
    <s v="815-04-6282"/>
    <s v="C"/>
    <x v="1"/>
    <x v="0"/>
    <x v="0"/>
    <x v="3"/>
    <n v="64.97"/>
    <n v="5"/>
    <n v="16.2425"/>
    <n v="341.09249999999997"/>
    <x v="4"/>
    <d v="1899-12-30T12:52:00"/>
    <x v="2"/>
    <n v="324.85000000000002"/>
    <n v="4.7619047620000003"/>
    <n v="16.2425"/>
    <n v="6.5"/>
  </r>
  <r>
    <s v="674-56-6360"/>
    <s v="A"/>
    <x v="0"/>
    <x v="1"/>
    <x v="1"/>
    <x v="1"/>
    <n v="95.15"/>
    <n v="1"/>
    <n v="4.7575000000000003"/>
    <n v="99.907499999999999"/>
    <x v="23"/>
    <d v="1899-12-30T14:00:00"/>
    <x v="1"/>
    <n v="95.15"/>
    <n v="4.7619047620000003"/>
    <n v="4.7575000000000003"/>
    <n v="6"/>
  </r>
  <r>
    <s v="778-34-2523"/>
    <s v="A"/>
    <x v="0"/>
    <x v="0"/>
    <x v="0"/>
    <x v="1"/>
    <n v="48.62"/>
    <n v="8"/>
    <n v="19.448"/>
    <n v="408.40800000000002"/>
    <x v="46"/>
    <d v="1899-12-30T10:57:00"/>
    <x v="1"/>
    <n v="388.96"/>
    <n v="4.7619047620000003"/>
    <n v="19.448"/>
    <n v="5"/>
  </r>
  <r>
    <s v="499-27-7781"/>
    <s v="B"/>
    <x v="2"/>
    <x v="1"/>
    <x v="0"/>
    <x v="4"/>
    <n v="53.21"/>
    <n v="8"/>
    <n v="21.283999999999999"/>
    <n v="446.964"/>
    <x v="86"/>
    <d v="1899-12-30T16:45:00"/>
    <x v="0"/>
    <n v="425.68"/>
    <n v="4.7619047620000003"/>
    <n v="21.283999999999999"/>
    <n v="5"/>
  </r>
  <r>
    <s v="477-59-2456"/>
    <s v="C"/>
    <x v="1"/>
    <x v="1"/>
    <x v="0"/>
    <x v="5"/>
    <n v="45.44"/>
    <n v="7"/>
    <n v="15.904"/>
    <n v="333.98399999999998"/>
    <x v="54"/>
    <d v="1899-12-30T11:15:00"/>
    <x v="1"/>
    <n v="318.08"/>
    <n v="4.7619047620000003"/>
    <n v="15.904"/>
    <n v="9.1999999999999993"/>
  </r>
  <r>
    <s v="832-51-6761"/>
    <s v="A"/>
    <x v="0"/>
    <x v="1"/>
    <x v="1"/>
    <x v="4"/>
    <n v="33.880000000000003"/>
    <n v="8"/>
    <n v="13.552"/>
    <n v="284.59199999999998"/>
    <x v="64"/>
    <d v="1899-12-30T20:29:00"/>
    <x v="0"/>
    <n v="271.04000000000002"/>
    <n v="4.7619047620000003"/>
    <n v="13.552"/>
    <n v="9.6"/>
  </r>
  <r>
    <s v="869-11-3082"/>
    <s v="B"/>
    <x v="2"/>
    <x v="0"/>
    <x v="1"/>
    <x v="0"/>
    <n v="96.16"/>
    <n v="4"/>
    <n v="19.231999999999999"/>
    <n v="403.87200000000001"/>
    <x v="3"/>
    <d v="1899-12-30T20:03:00"/>
    <x v="2"/>
    <n v="384.64"/>
    <n v="4.7619047620000003"/>
    <n v="19.231999999999999"/>
    <n v="8.4"/>
  </r>
  <r>
    <s v="190-59-3964"/>
    <s v="B"/>
    <x v="2"/>
    <x v="0"/>
    <x v="1"/>
    <x v="4"/>
    <n v="47.16"/>
    <n v="5"/>
    <n v="11.79"/>
    <n v="247.59"/>
    <x v="36"/>
    <d v="1899-12-30T14:35:00"/>
    <x v="2"/>
    <n v="235.8"/>
    <n v="4.7619047620000003"/>
    <n v="11.79"/>
    <n v="6"/>
  </r>
  <r>
    <s v="366-43-6862"/>
    <s v="B"/>
    <x v="2"/>
    <x v="1"/>
    <x v="1"/>
    <x v="1"/>
    <n v="52.89"/>
    <n v="4"/>
    <n v="10.577999999999999"/>
    <n v="222.13800000000001"/>
    <x v="5"/>
    <d v="1899-12-30T16:32:00"/>
    <x v="0"/>
    <n v="211.56"/>
    <n v="4.7619047620000003"/>
    <n v="10.577999999999999"/>
    <n v="6.7"/>
  </r>
  <r>
    <s v="186-43-8965"/>
    <s v="A"/>
    <x v="0"/>
    <x v="0"/>
    <x v="0"/>
    <x v="2"/>
    <n v="47.68"/>
    <n v="2"/>
    <n v="4.7679999999999998"/>
    <n v="100.128"/>
    <x v="7"/>
    <d v="1899-12-30T10:10:00"/>
    <x v="2"/>
    <n v="95.36"/>
    <n v="4.7619047620000003"/>
    <n v="4.7679999999999998"/>
    <n v="4.0999999999999996"/>
  </r>
  <r>
    <s v="784-21-9238"/>
    <s v="C"/>
    <x v="1"/>
    <x v="0"/>
    <x v="1"/>
    <x v="3"/>
    <n v="10.17"/>
    <n v="1"/>
    <n v="0.50849999999999995"/>
    <n v="10.6785"/>
    <x v="13"/>
    <d v="1899-12-30T14:15:00"/>
    <x v="1"/>
    <n v="10.17"/>
    <n v="4.7619047620000003"/>
    <n v="0.50849999999999995"/>
    <n v="5.9"/>
  </r>
  <r>
    <s v="276-75-6884"/>
    <s v="A"/>
    <x v="0"/>
    <x v="1"/>
    <x v="0"/>
    <x v="0"/>
    <n v="68.709999999999994"/>
    <n v="3"/>
    <n v="10.3065"/>
    <n v="216.4365"/>
    <x v="31"/>
    <d v="1899-12-30T10:05:00"/>
    <x v="1"/>
    <n v="206.13"/>
    <n v="4.7619047620000003"/>
    <n v="10.3065"/>
    <n v="8.6999999999999993"/>
  </r>
  <r>
    <s v="109-86-4363"/>
    <s v="B"/>
    <x v="2"/>
    <x v="0"/>
    <x v="0"/>
    <x v="3"/>
    <n v="60.08"/>
    <n v="7"/>
    <n v="21.027999999999999"/>
    <n v="441.58800000000002"/>
    <x v="44"/>
    <d v="1899-12-30T11:36:00"/>
    <x v="2"/>
    <n v="420.56"/>
    <n v="4.7619047620000003"/>
    <n v="21.027999999999999"/>
    <n v="4.5"/>
  </r>
  <r>
    <s v="569-76-2760"/>
    <s v="A"/>
    <x v="0"/>
    <x v="0"/>
    <x v="0"/>
    <x v="3"/>
    <n v="22.01"/>
    <n v="4"/>
    <n v="4.4020000000000001"/>
    <n v="92.441999999999993"/>
    <x v="71"/>
    <d v="1899-12-30T18:15:00"/>
    <x v="2"/>
    <n v="88.04"/>
    <n v="4.7619047620000003"/>
    <n v="4.4020000000000001"/>
    <n v="6.6"/>
  </r>
  <r>
    <s v="222-42-0244"/>
    <s v="B"/>
    <x v="2"/>
    <x v="0"/>
    <x v="0"/>
    <x v="0"/>
    <n v="72.11"/>
    <n v="9"/>
    <n v="32.4495"/>
    <n v="681.43949999999995"/>
    <x v="26"/>
    <d v="1899-12-30T13:53:00"/>
    <x v="2"/>
    <n v="648.99"/>
    <n v="4.7619047620000003"/>
    <n v="32.4495"/>
    <n v="7.7"/>
  </r>
  <r>
    <s v="760-53-9233"/>
    <s v="A"/>
    <x v="0"/>
    <x v="0"/>
    <x v="1"/>
    <x v="5"/>
    <n v="41.28"/>
    <n v="3"/>
    <n v="6.1920000000000002"/>
    <n v="130.03200000000001"/>
    <x v="58"/>
    <d v="1899-12-30T18:37:00"/>
    <x v="2"/>
    <n v="123.84"/>
    <n v="4.7619047620000003"/>
    <n v="6.1920000000000002"/>
    <n v="8.5"/>
  </r>
  <r>
    <s v="538-22-0304"/>
    <s v="C"/>
    <x v="1"/>
    <x v="1"/>
    <x v="1"/>
    <x v="1"/>
    <n v="64.95"/>
    <n v="10"/>
    <n v="32.475000000000001"/>
    <n v="681.97500000000002"/>
    <x v="62"/>
    <d v="1899-12-30T18:27:00"/>
    <x v="1"/>
    <n v="649.5"/>
    <n v="4.7619047620000003"/>
    <n v="32.475000000000001"/>
    <n v="5.2"/>
  </r>
  <r>
    <s v="416-17-9926"/>
    <s v="A"/>
    <x v="0"/>
    <x v="0"/>
    <x v="0"/>
    <x v="1"/>
    <n v="74.22"/>
    <n v="10"/>
    <n v="37.11"/>
    <n v="779.31"/>
    <x v="17"/>
    <d v="1899-12-30T14:42:00"/>
    <x v="2"/>
    <n v="742.2"/>
    <n v="4.7619047620000003"/>
    <n v="37.11"/>
    <n v="4.3"/>
  </r>
  <r>
    <s v="237-44-6163"/>
    <s v="A"/>
    <x v="0"/>
    <x v="1"/>
    <x v="1"/>
    <x v="1"/>
    <n v="10.56"/>
    <n v="8"/>
    <n v="4.2240000000000002"/>
    <n v="88.703999999999994"/>
    <x v="46"/>
    <d v="1899-12-30T17:43:00"/>
    <x v="1"/>
    <n v="84.48"/>
    <n v="4.7619047620000003"/>
    <n v="4.2240000000000002"/>
    <n v="7.6"/>
  </r>
  <r>
    <s v="636-17-0325"/>
    <s v="B"/>
    <x v="2"/>
    <x v="1"/>
    <x v="1"/>
    <x v="0"/>
    <n v="62.57"/>
    <n v="4"/>
    <n v="12.513999999999999"/>
    <n v="262.79399999999998"/>
    <x v="6"/>
    <d v="1899-12-30T18:37:00"/>
    <x v="1"/>
    <n v="250.28"/>
    <n v="4.7619047620000003"/>
    <n v="12.513999999999999"/>
    <n v="9.5"/>
  </r>
  <r>
    <s v="343-75-9322"/>
    <s v="B"/>
    <x v="2"/>
    <x v="0"/>
    <x v="0"/>
    <x v="3"/>
    <n v="11.85"/>
    <n v="8"/>
    <n v="4.74"/>
    <n v="99.54"/>
    <x v="51"/>
    <d v="1899-12-30T16:34:00"/>
    <x v="1"/>
    <n v="94.8"/>
    <n v="4.7619047620000003"/>
    <n v="4.74"/>
    <n v="4.0999999999999996"/>
  </r>
  <r>
    <s v="528-14-9470"/>
    <s v="A"/>
    <x v="0"/>
    <x v="0"/>
    <x v="1"/>
    <x v="0"/>
    <n v="91.3"/>
    <n v="1"/>
    <n v="4.5650000000000004"/>
    <n v="95.864999999999995"/>
    <x v="44"/>
    <d v="1899-12-30T14:42:00"/>
    <x v="0"/>
    <n v="91.3"/>
    <n v="4.7619047620000003"/>
    <n v="4.5650000000000004"/>
    <n v="9.1999999999999993"/>
  </r>
  <r>
    <s v="427-45-9297"/>
    <s v="B"/>
    <x v="2"/>
    <x v="0"/>
    <x v="0"/>
    <x v="2"/>
    <n v="40.729999999999997"/>
    <n v="7"/>
    <n v="14.2555"/>
    <n v="299.3655"/>
    <x v="41"/>
    <d v="1899-12-30T11:01:00"/>
    <x v="0"/>
    <n v="285.11"/>
    <n v="4.7619047620000003"/>
    <n v="14.2555"/>
    <n v="5.4"/>
  </r>
  <r>
    <s v="807-34-3742"/>
    <s v="A"/>
    <x v="0"/>
    <x v="1"/>
    <x v="1"/>
    <x v="5"/>
    <n v="52.38"/>
    <n v="1"/>
    <n v="2.6190000000000002"/>
    <n v="54.999000000000002"/>
    <x v="58"/>
    <d v="1899-12-30T19:44:00"/>
    <x v="1"/>
    <n v="52.38"/>
    <n v="4.7619047620000003"/>
    <n v="2.6190000000000002"/>
    <n v="5.8"/>
  </r>
  <r>
    <s v="288-62-1085"/>
    <s v="A"/>
    <x v="0"/>
    <x v="0"/>
    <x v="1"/>
    <x v="5"/>
    <n v="38.54"/>
    <n v="5"/>
    <n v="9.6349999999999998"/>
    <n v="202.33500000000001"/>
    <x v="51"/>
    <d v="1899-12-30T13:34:00"/>
    <x v="0"/>
    <n v="192.7"/>
    <n v="4.7619047620000003"/>
    <n v="9.6349999999999998"/>
    <n v="5.6"/>
  </r>
  <r>
    <s v="670-71-7306"/>
    <s v="B"/>
    <x v="2"/>
    <x v="1"/>
    <x v="1"/>
    <x v="3"/>
    <n v="44.63"/>
    <n v="6"/>
    <n v="13.388999999999999"/>
    <n v="281.16899999999998"/>
    <x v="56"/>
    <d v="1899-12-30T20:08:00"/>
    <x v="2"/>
    <n v="267.77999999999997"/>
    <n v="4.7619047620000003"/>
    <n v="13.388999999999999"/>
    <n v="5.0999999999999996"/>
  </r>
  <r>
    <s v="660-29-7083"/>
    <s v="C"/>
    <x v="1"/>
    <x v="1"/>
    <x v="1"/>
    <x v="1"/>
    <n v="55.87"/>
    <n v="10"/>
    <n v="27.934999999999999"/>
    <n v="586.63499999999999"/>
    <x v="15"/>
    <d v="1899-12-30T15:01:00"/>
    <x v="1"/>
    <n v="558.70000000000005"/>
    <n v="4.7619047620000003"/>
    <n v="27.934999999999999"/>
    <n v="5.8"/>
  </r>
  <r>
    <s v="271-77-8740"/>
    <s v="C"/>
    <x v="1"/>
    <x v="0"/>
    <x v="0"/>
    <x v="3"/>
    <n v="29.22"/>
    <n v="6"/>
    <n v="8.766"/>
    <n v="184.08600000000001"/>
    <x v="17"/>
    <d v="1899-12-30T11:40:00"/>
    <x v="0"/>
    <n v="175.32"/>
    <n v="4.7619047620000003"/>
    <n v="8.766"/>
    <n v="5"/>
  </r>
  <r>
    <s v="497-36-0989"/>
    <s v="A"/>
    <x v="0"/>
    <x v="1"/>
    <x v="1"/>
    <x v="5"/>
    <n v="51.94"/>
    <n v="3"/>
    <n v="7.7910000000000004"/>
    <n v="163.61099999999999"/>
    <x v="42"/>
    <d v="1899-12-30T15:21:00"/>
    <x v="1"/>
    <n v="155.82"/>
    <n v="4.7619047620000003"/>
    <n v="7.7910000000000004"/>
    <n v="7.9"/>
  </r>
  <r>
    <s v="291-59-1384"/>
    <s v="B"/>
    <x v="2"/>
    <x v="1"/>
    <x v="1"/>
    <x v="1"/>
    <n v="60.3"/>
    <n v="1"/>
    <n v="3.0150000000000001"/>
    <n v="63.314999999999998"/>
    <x v="38"/>
    <d v="1899-12-30T17:38:00"/>
    <x v="1"/>
    <n v="60.3"/>
    <n v="4.7619047620000003"/>
    <n v="3.0150000000000001"/>
    <n v="6"/>
  </r>
  <r>
    <s v="860-73-6466"/>
    <s v="A"/>
    <x v="0"/>
    <x v="0"/>
    <x v="0"/>
    <x v="3"/>
    <n v="39.47"/>
    <n v="2"/>
    <n v="3.9470000000000001"/>
    <n v="82.887"/>
    <x v="22"/>
    <d v="1899-12-30T16:16:00"/>
    <x v="2"/>
    <n v="78.94"/>
    <n v="4.7619047620000003"/>
    <n v="3.9470000000000001"/>
    <n v="5"/>
  </r>
  <r>
    <s v="549-23-9016"/>
    <s v="C"/>
    <x v="1"/>
    <x v="0"/>
    <x v="0"/>
    <x v="4"/>
    <n v="14.87"/>
    <n v="2"/>
    <n v="1.4870000000000001"/>
    <n v="31.227"/>
    <x v="77"/>
    <d v="1899-12-30T18:15:00"/>
    <x v="2"/>
    <n v="29.74"/>
    <n v="4.7619047620000003"/>
    <n v="1.4870000000000001"/>
    <n v="8.9"/>
  </r>
  <r>
    <s v="896-34-0956"/>
    <s v="A"/>
    <x v="0"/>
    <x v="1"/>
    <x v="1"/>
    <x v="5"/>
    <n v="21.32"/>
    <n v="1"/>
    <n v="1.0660000000000001"/>
    <n v="22.385999999999999"/>
    <x v="53"/>
    <d v="1899-12-30T12:43:00"/>
    <x v="1"/>
    <n v="21.32"/>
    <n v="4.7619047620000003"/>
    <n v="1.0660000000000001"/>
    <n v="5.9"/>
  </r>
  <r>
    <s v="804-38-3935"/>
    <s v="A"/>
    <x v="0"/>
    <x v="0"/>
    <x v="1"/>
    <x v="1"/>
    <n v="93.78"/>
    <n v="3"/>
    <n v="14.067"/>
    <n v="295.40699999999998"/>
    <x v="74"/>
    <d v="1899-12-30T11:32:00"/>
    <x v="2"/>
    <n v="281.33999999999997"/>
    <n v="4.7619047620000003"/>
    <n v="14.067"/>
    <n v="5.9"/>
  </r>
  <r>
    <s v="585-90-0249"/>
    <s v="A"/>
    <x v="0"/>
    <x v="0"/>
    <x v="1"/>
    <x v="1"/>
    <n v="73.260000000000005"/>
    <n v="1"/>
    <n v="3.6629999999999998"/>
    <n v="76.923000000000002"/>
    <x v="3"/>
    <d v="1899-12-30T18:08:00"/>
    <x v="0"/>
    <n v="73.260000000000005"/>
    <n v="4.7619047620000003"/>
    <n v="3.6629999999999998"/>
    <n v="9.6999999999999993"/>
  </r>
  <r>
    <s v="862-29-5914"/>
    <s v="C"/>
    <x v="1"/>
    <x v="1"/>
    <x v="0"/>
    <x v="3"/>
    <n v="22.38"/>
    <n v="1"/>
    <n v="1.119"/>
    <n v="23.498999999999999"/>
    <x v="74"/>
    <d v="1899-12-30T17:08:00"/>
    <x v="2"/>
    <n v="22.38"/>
    <n v="4.7619047620000003"/>
    <n v="1.119"/>
    <n v="8.6"/>
  </r>
  <r>
    <s v="845-94-6841"/>
    <s v="C"/>
    <x v="1"/>
    <x v="0"/>
    <x v="0"/>
    <x v="4"/>
    <n v="72.88"/>
    <n v="9"/>
    <n v="32.795999999999999"/>
    <n v="688.71600000000001"/>
    <x v="66"/>
    <d v="1899-12-30T19:38:00"/>
    <x v="1"/>
    <n v="655.92"/>
    <n v="4.7619047620000003"/>
    <n v="32.795999999999999"/>
    <n v="4"/>
  </r>
  <r>
    <s v="125-45-2293"/>
    <s v="A"/>
    <x v="0"/>
    <x v="1"/>
    <x v="0"/>
    <x v="5"/>
    <n v="99.1"/>
    <n v="6"/>
    <n v="29.73"/>
    <n v="624.33000000000004"/>
    <x v="64"/>
    <d v="1899-12-30T13:11:00"/>
    <x v="1"/>
    <n v="594.6"/>
    <n v="4.7619047620000003"/>
    <n v="29.73"/>
    <n v="4.2"/>
  </r>
  <r>
    <s v="843-73-4724"/>
    <s v="A"/>
    <x v="0"/>
    <x v="1"/>
    <x v="1"/>
    <x v="5"/>
    <n v="74.099999999999994"/>
    <n v="1"/>
    <n v="3.7050000000000001"/>
    <n v="77.805000000000007"/>
    <x v="25"/>
    <d v="1899-12-30T11:05:00"/>
    <x v="1"/>
    <n v="74.099999999999994"/>
    <n v="4.7619047620000003"/>
    <n v="3.7050000000000001"/>
    <n v="9.1999999999999993"/>
  </r>
  <r>
    <s v="409-33-9708"/>
    <s v="A"/>
    <x v="0"/>
    <x v="1"/>
    <x v="0"/>
    <x v="5"/>
    <n v="98.48"/>
    <n v="2"/>
    <n v="9.8480000000000008"/>
    <n v="206.80799999999999"/>
    <x v="88"/>
    <d v="1899-12-30T10:12:00"/>
    <x v="0"/>
    <n v="196.96"/>
    <n v="4.7619047620000003"/>
    <n v="9.8480000000000008"/>
    <n v="9.1999999999999993"/>
  </r>
  <r>
    <s v="658-66-3967"/>
    <s v="C"/>
    <x v="1"/>
    <x v="1"/>
    <x v="1"/>
    <x v="0"/>
    <n v="53.19"/>
    <n v="7"/>
    <n v="18.616499999999998"/>
    <n v="390.94650000000001"/>
    <x v="78"/>
    <d v="1899-12-30T15:42:00"/>
    <x v="0"/>
    <n v="372.33"/>
    <n v="4.7619047620000003"/>
    <n v="18.616499999999998"/>
    <n v="5"/>
  </r>
  <r>
    <s v="866-70-2814"/>
    <s v="B"/>
    <x v="2"/>
    <x v="1"/>
    <x v="0"/>
    <x v="1"/>
    <n v="52.79"/>
    <n v="10"/>
    <n v="26.395"/>
    <n v="554.29499999999996"/>
    <x v="6"/>
    <d v="1899-12-30T11:58:00"/>
    <x v="0"/>
    <n v="527.9"/>
    <n v="4.7619047620000003"/>
    <n v="26.395"/>
    <n v="10"/>
  </r>
  <r>
    <s v="160-22-2687"/>
    <s v="A"/>
    <x v="0"/>
    <x v="0"/>
    <x v="0"/>
    <x v="0"/>
    <n v="95.95"/>
    <n v="5"/>
    <n v="23.987500000000001"/>
    <n v="503.73750000000001"/>
    <x v="54"/>
    <d v="1899-12-30T14:21:00"/>
    <x v="0"/>
    <n v="479.75"/>
    <n v="4.7619047620000003"/>
    <n v="23.987500000000001"/>
    <n v="8.8000000000000007"/>
  </r>
  <r>
    <s v="895-03-6665"/>
    <s v="B"/>
    <x v="2"/>
    <x v="1"/>
    <x v="0"/>
    <x v="5"/>
    <n v="36.51"/>
    <n v="9"/>
    <n v="16.429500000000001"/>
    <n v="345.01949999999999"/>
    <x v="69"/>
    <d v="1899-12-30T10:52:00"/>
    <x v="1"/>
    <n v="328.59"/>
    <n v="4.7619047620000003"/>
    <n v="16.429500000000001"/>
    <n v="4.2"/>
  </r>
  <r>
    <s v="770-42-8960"/>
    <s v="B"/>
    <x v="2"/>
    <x v="1"/>
    <x v="1"/>
    <x v="4"/>
    <n v="21.12"/>
    <n v="8"/>
    <n v="8.4480000000000004"/>
    <n v="177.40799999999999"/>
    <x v="17"/>
    <d v="1899-12-30T19:31:00"/>
    <x v="1"/>
    <n v="168.96"/>
    <n v="4.7619047620000003"/>
    <n v="8.4480000000000004"/>
    <n v="6.3"/>
  </r>
  <r>
    <s v="748-45-2862"/>
    <s v="A"/>
    <x v="0"/>
    <x v="0"/>
    <x v="0"/>
    <x v="2"/>
    <n v="28.31"/>
    <n v="4"/>
    <n v="5.6619999999999999"/>
    <n v="118.902"/>
    <x v="37"/>
    <d v="1899-12-30T18:35:00"/>
    <x v="1"/>
    <n v="113.24"/>
    <n v="4.7619047620000003"/>
    <n v="5.6619999999999999"/>
    <n v="8.1999999999999993"/>
  </r>
  <r>
    <s v="234-36-2483"/>
    <s v="B"/>
    <x v="2"/>
    <x v="1"/>
    <x v="1"/>
    <x v="0"/>
    <n v="57.59"/>
    <n v="6"/>
    <n v="17.277000000000001"/>
    <n v="362.81700000000001"/>
    <x v="42"/>
    <d v="1899-12-30T13:51:00"/>
    <x v="1"/>
    <n v="345.54"/>
    <n v="4.7619047620000003"/>
    <n v="17.277000000000001"/>
    <n v="5.0999999999999996"/>
  </r>
  <r>
    <s v="316-66-3011"/>
    <s v="A"/>
    <x v="0"/>
    <x v="0"/>
    <x v="0"/>
    <x v="4"/>
    <n v="47.63"/>
    <n v="9"/>
    <n v="21.433499999999999"/>
    <n v="450.1035"/>
    <x v="54"/>
    <d v="1899-12-30T12:35:00"/>
    <x v="1"/>
    <n v="428.67"/>
    <n v="4.7619047620000003"/>
    <n v="21.433499999999999"/>
    <n v="5"/>
  </r>
  <r>
    <s v="848-95-6252"/>
    <s v="C"/>
    <x v="1"/>
    <x v="0"/>
    <x v="0"/>
    <x v="2"/>
    <n v="86.27"/>
    <n v="1"/>
    <n v="4.3135000000000003"/>
    <n v="90.583500000000001"/>
    <x v="9"/>
    <d v="1899-12-30T13:24:00"/>
    <x v="0"/>
    <n v="86.27"/>
    <n v="4.7619047620000003"/>
    <n v="4.3135000000000003"/>
    <n v="7"/>
  </r>
  <r>
    <s v="840-76-5966"/>
    <s v="A"/>
    <x v="0"/>
    <x v="0"/>
    <x v="1"/>
    <x v="3"/>
    <n v="12.76"/>
    <n v="2"/>
    <n v="1.276"/>
    <n v="26.795999999999999"/>
    <x v="66"/>
    <d v="1899-12-30T18:06:00"/>
    <x v="0"/>
    <n v="25.52"/>
    <n v="4.7619047620000003"/>
    <n v="1.276"/>
    <n v="7.8"/>
  </r>
  <r>
    <s v="152-03-4217"/>
    <s v="B"/>
    <x v="2"/>
    <x v="1"/>
    <x v="0"/>
    <x v="2"/>
    <n v="11.28"/>
    <n v="9"/>
    <n v="5.0759999999999996"/>
    <n v="106.596"/>
    <x v="85"/>
    <d v="1899-12-30T11:55:00"/>
    <x v="2"/>
    <n v="101.52"/>
    <n v="4.7619047620000003"/>
    <n v="5.0759999999999996"/>
    <n v="4.3"/>
  </r>
  <r>
    <s v="533-66-5566"/>
    <s v="B"/>
    <x v="2"/>
    <x v="1"/>
    <x v="0"/>
    <x v="2"/>
    <n v="51.07"/>
    <n v="7"/>
    <n v="17.874500000000001"/>
    <n v="375.36450000000002"/>
    <x v="52"/>
    <d v="1899-12-30T11:42:00"/>
    <x v="1"/>
    <n v="357.49"/>
    <n v="4.7619047620000003"/>
    <n v="17.874500000000001"/>
    <n v="7"/>
  </r>
  <r>
    <s v="124-31-1458"/>
    <s v="A"/>
    <x v="0"/>
    <x v="0"/>
    <x v="0"/>
    <x v="1"/>
    <n v="79.59"/>
    <n v="3"/>
    <n v="11.938499999999999"/>
    <n v="250.70849999999999"/>
    <x v="66"/>
    <d v="1899-12-30T14:30:00"/>
    <x v="1"/>
    <n v="238.77"/>
    <n v="4.7619047620000003"/>
    <n v="11.938499999999999"/>
    <n v="6.6"/>
  </r>
  <r>
    <s v="176-78-1170"/>
    <s v="C"/>
    <x v="1"/>
    <x v="0"/>
    <x v="1"/>
    <x v="0"/>
    <n v="33.81"/>
    <n v="3"/>
    <n v="5.0715000000000003"/>
    <n v="106.50149999999999"/>
    <x v="53"/>
    <d v="1899-12-30T15:11:00"/>
    <x v="0"/>
    <n v="101.43"/>
    <n v="4.7619047620000003"/>
    <n v="5.0715000000000003"/>
    <n v="7.3"/>
  </r>
  <r>
    <s v="361-59-0574"/>
    <s v="B"/>
    <x v="2"/>
    <x v="0"/>
    <x v="1"/>
    <x v="3"/>
    <n v="90.53"/>
    <n v="8"/>
    <n v="36.212000000000003"/>
    <n v="760.452"/>
    <x v="20"/>
    <d v="1899-12-30T14:48:00"/>
    <x v="2"/>
    <n v="724.24"/>
    <n v="4.7619047620000003"/>
    <n v="36.212000000000003"/>
    <n v="6.5"/>
  </r>
  <r>
    <s v="101-81-4070"/>
    <s v="C"/>
    <x v="1"/>
    <x v="0"/>
    <x v="0"/>
    <x v="0"/>
    <n v="62.82"/>
    <n v="2"/>
    <n v="6.282"/>
    <n v="131.922"/>
    <x v="29"/>
    <d v="1899-12-30T12:36:00"/>
    <x v="0"/>
    <n v="125.64"/>
    <n v="4.7619047620000003"/>
    <n v="6.282"/>
    <n v="4.9000000000000004"/>
  </r>
  <r>
    <s v="631-34-1880"/>
    <s v="C"/>
    <x v="1"/>
    <x v="0"/>
    <x v="1"/>
    <x v="4"/>
    <n v="24.31"/>
    <n v="3"/>
    <n v="3.6465000000000001"/>
    <n v="76.576499999999996"/>
    <x v="66"/>
    <d v="1899-12-30T19:09:00"/>
    <x v="2"/>
    <n v="72.930000000000007"/>
    <n v="4.7619047620000003"/>
    <n v="3.6465000000000001"/>
    <n v="4.3"/>
  </r>
  <r>
    <s v="852-82-2749"/>
    <s v="A"/>
    <x v="0"/>
    <x v="1"/>
    <x v="1"/>
    <x v="3"/>
    <n v="64.59"/>
    <n v="4"/>
    <n v="12.917999999999999"/>
    <n v="271.27800000000002"/>
    <x v="47"/>
    <d v="1899-12-30T13:35:00"/>
    <x v="0"/>
    <n v="258.36"/>
    <n v="4.7619047620000003"/>
    <n v="12.917999999999999"/>
    <n v="9.3000000000000007"/>
  </r>
  <r>
    <s v="873-14-6353"/>
    <s v="A"/>
    <x v="0"/>
    <x v="0"/>
    <x v="1"/>
    <x v="4"/>
    <n v="24.82"/>
    <n v="7"/>
    <n v="8.6869999999999994"/>
    <n v="182.42699999999999"/>
    <x v="69"/>
    <d v="1899-12-30T10:33:00"/>
    <x v="2"/>
    <n v="173.74"/>
    <n v="4.7619047620000003"/>
    <n v="8.6869999999999994"/>
    <n v="7.1"/>
  </r>
  <r>
    <s v="584-66-4073"/>
    <s v="C"/>
    <x v="1"/>
    <x v="1"/>
    <x v="1"/>
    <x v="5"/>
    <n v="56.5"/>
    <n v="1"/>
    <n v="2.8250000000000002"/>
    <n v="59.325000000000003"/>
    <x v="45"/>
    <d v="1899-12-30T15:45:00"/>
    <x v="0"/>
    <n v="56.5"/>
    <n v="4.7619047620000003"/>
    <n v="2.8250000000000002"/>
    <n v="9.6"/>
  </r>
  <r>
    <s v="544-55-9589"/>
    <s v="B"/>
    <x v="2"/>
    <x v="0"/>
    <x v="0"/>
    <x v="1"/>
    <n v="21.43"/>
    <n v="10"/>
    <n v="10.715"/>
    <n v="225.01499999999999"/>
    <x v="26"/>
    <d v="1899-12-30T11:51:00"/>
    <x v="1"/>
    <n v="214.3"/>
    <n v="4.7619047620000003"/>
    <n v="10.715"/>
    <n v="6.2"/>
  </r>
  <r>
    <s v="166-19-2553"/>
    <s v="A"/>
    <x v="0"/>
    <x v="0"/>
    <x v="1"/>
    <x v="3"/>
    <n v="89.06"/>
    <n v="6"/>
    <n v="26.718"/>
    <n v="561.07799999999997"/>
    <x v="68"/>
    <d v="1899-12-30T17:26:00"/>
    <x v="1"/>
    <n v="534.36"/>
    <n v="4.7619047620000003"/>
    <n v="26.718"/>
    <n v="9.9"/>
  </r>
  <r>
    <s v="737-88-5876"/>
    <s v="A"/>
    <x v="0"/>
    <x v="0"/>
    <x v="1"/>
    <x v="2"/>
    <n v="23.29"/>
    <n v="4"/>
    <n v="4.6580000000000004"/>
    <n v="97.817999999999998"/>
    <x v="35"/>
    <d v="1899-12-30T11:52:00"/>
    <x v="2"/>
    <n v="93.16"/>
    <n v="4.7619047620000003"/>
    <n v="4.6580000000000004"/>
    <n v="5.9"/>
  </r>
  <r>
    <s v="154-87-7367"/>
    <s v="C"/>
    <x v="1"/>
    <x v="1"/>
    <x v="1"/>
    <x v="2"/>
    <n v="65.260000000000005"/>
    <n v="8"/>
    <n v="26.103999999999999"/>
    <n v="548.18399999999997"/>
    <x v="20"/>
    <d v="1899-12-30T14:04:00"/>
    <x v="0"/>
    <n v="522.08000000000004"/>
    <n v="4.7619047620000003"/>
    <n v="26.103999999999999"/>
    <n v="6.3"/>
  </r>
  <r>
    <s v="885-56-0389"/>
    <s v="C"/>
    <x v="1"/>
    <x v="0"/>
    <x v="1"/>
    <x v="5"/>
    <n v="52.35"/>
    <n v="1"/>
    <n v="2.6175000000000002"/>
    <n v="54.967500000000001"/>
    <x v="12"/>
    <d v="1899-12-30T17:49:00"/>
    <x v="1"/>
    <n v="52.35"/>
    <n v="4.7619047620000003"/>
    <n v="2.6175000000000002"/>
    <n v="4"/>
  </r>
  <r>
    <s v="608-05-3804"/>
    <s v="B"/>
    <x v="2"/>
    <x v="0"/>
    <x v="1"/>
    <x v="1"/>
    <n v="39.75"/>
    <n v="1"/>
    <n v="1.9875"/>
    <n v="41.737499999999997"/>
    <x v="6"/>
    <d v="1899-12-30T20:19:00"/>
    <x v="1"/>
    <n v="39.75"/>
    <n v="4.7619047620000003"/>
    <n v="1.9875"/>
    <n v="6.1"/>
  </r>
  <r>
    <s v="448-61-3783"/>
    <s v="A"/>
    <x v="0"/>
    <x v="1"/>
    <x v="0"/>
    <x v="1"/>
    <n v="90.02"/>
    <n v="8"/>
    <n v="36.008000000000003"/>
    <n v="756.16800000000001"/>
    <x v="76"/>
    <d v="1899-12-30T16:08:00"/>
    <x v="2"/>
    <n v="720.16"/>
    <n v="4.7619047620000003"/>
    <n v="36.008000000000003"/>
    <n v="4.5"/>
  </r>
  <r>
    <s v="761-49-0439"/>
    <s v="B"/>
    <x v="2"/>
    <x v="0"/>
    <x v="0"/>
    <x v="1"/>
    <n v="12.1"/>
    <n v="8"/>
    <n v="4.84"/>
    <n v="101.64"/>
    <x v="64"/>
    <d v="1899-12-30T10:17:00"/>
    <x v="0"/>
    <n v="96.8"/>
    <n v="4.7619047620000003"/>
    <n v="4.84"/>
    <n v="8.6"/>
  </r>
  <r>
    <s v="490-95-0021"/>
    <s v="B"/>
    <x v="2"/>
    <x v="0"/>
    <x v="0"/>
    <x v="4"/>
    <n v="33.21"/>
    <n v="10"/>
    <n v="16.605"/>
    <n v="348.70499999999998"/>
    <x v="66"/>
    <d v="1899-12-30T14:25:00"/>
    <x v="0"/>
    <n v="332.1"/>
    <n v="4.7619047620000003"/>
    <n v="16.605"/>
    <n v="6"/>
  </r>
  <r>
    <s v="115-38-7388"/>
    <s v="C"/>
    <x v="1"/>
    <x v="0"/>
    <x v="0"/>
    <x v="5"/>
    <n v="10.18"/>
    <n v="8"/>
    <n v="4.0720000000000001"/>
    <n v="85.512"/>
    <x v="73"/>
    <d v="1899-12-30T12:51:00"/>
    <x v="2"/>
    <n v="81.44"/>
    <n v="4.7619047620000003"/>
    <n v="4.0720000000000001"/>
    <n v="9.5"/>
  </r>
  <r>
    <s v="311-13-6971"/>
    <s v="B"/>
    <x v="2"/>
    <x v="0"/>
    <x v="1"/>
    <x v="3"/>
    <n v="31.99"/>
    <n v="10"/>
    <n v="15.994999999999999"/>
    <n v="335.89499999999998"/>
    <x v="9"/>
    <d v="1899-12-30T15:18:00"/>
    <x v="2"/>
    <n v="319.89999999999998"/>
    <n v="4.7619047620000003"/>
    <n v="15.994999999999999"/>
    <n v="9.9"/>
  </r>
  <r>
    <s v="291-55-6563"/>
    <s v="A"/>
    <x v="0"/>
    <x v="0"/>
    <x v="0"/>
    <x v="2"/>
    <n v="34.42"/>
    <n v="6"/>
    <n v="10.326000000000001"/>
    <n v="216.846"/>
    <x v="73"/>
    <d v="1899-12-30T12:45:00"/>
    <x v="0"/>
    <n v="206.52"/>
    <n v="4.7619047620000003"/>
    <n v="10.326000000000001"/>
    <n v="7.5"/>
  </r>
  <r>
    <s v="548-48-3156"/>
    <s v="A"/>
    <x v="0"/>
    <x v="0"/>
    <x v="0"/>
    <x v="4"/>
    <n v="83.34"/>
    <n v="2"/>
    <n v="8.3339999999999996"/>
    <n v="175.01400000000001"/>
    <x v="35"/>
    <d v="1899-12-30T13:37:00"/>
    <x v="1"/>
    <n v="166.68"/>
    <n v="4.7619047620000003"/>
    <n v="8.3339999999999996"/>
    <n v="7.6"/>
  </r>
  <r>
    <s v="460-93-5834"/>
    <s v="A"/>
    <x v="0"/>
    <x v="1"/>
    <x v="1"/>
    <x v="3"/>
    <n v="45.58"/>
    <n v="7"/>
    <n v="15.952999999999999"/>
    <n v="335.01299999999998"/>
    <x v="50"/>
    <d v="1899-12-30T10:03:00"/>
    <x v="1"/>
    <n v="319.06"/>
    <n v="4.7619047620000003"/>
    <n v="15.952999999999999"/>
    <n v="5"/>
  </r>
  <r>
    <s v="325-89-4209"/>
    <s v="A"/>
    <x v="0"/>
    <x v="0"/>
    <x v="1"/>
    <x v="4"/>
    <n v="87.9"/>
    <n v="1"/>
    <n v="4.3949999999999996"/>
    <n v="92.295000000000002"/>
    <x v="63"/>
    <d v="1899-12-30T19:42:00"/>
    <x v="0"/>
    <n v="87.9"/>
    <n v="4.7619047620000003"/>
    <n v="4.3949999999999996"/>
    <n v="6.7"/>
  </r>
  <r>
    <s v="884-80-6021"/>
    <s v="A"/>
    <x v="0"/>
    <x v="0"/>
    <x v="0"/>
    <x v="1"/>
    <n v="73.47"/>
    <n v="10"/>
    <n v="36.734999999999999"/>
    <n v="771.43499999999995"/>
    <x v="28"/>
    <d v="1899-12-30T13:14:00"/>
    <x v="0"/>
    <n v="734.7"/>
    <n v="4.7619047620000003"/>
    <n v="36.734999999999999"/>
    <n v="9.5"/>
  </r>
  <r>
    <s v="137-74-8729"/>
    <s v="C"/>
    <x v="1"/>
    <x v="1"/>
    <x v="0"/>
    <x v="5"/>
    <n v="12.19"/>
    <n v="8"/>
    <n v="4.8760000000000003"/>
    <n v="102.396"/>
    <x v="45"/>
    <d v="1899-12-30T12:47:00"/>
    <x v="0"/>
    <n v="97.52"/>
    <n v="4.7619047620000003"/>
    <n v="4.8760000000000003"/>
    <n v="6.8"/>
  </r>
  <r>
    <s v="880-46-5796"/>
    <s v="A"/>
    <x v="0"/>
    <x v="0"/>
    <x v="1"/>
    <x v="3"/>
    <n v="76.92"/>
    <n v="10"/>
    <n v="38.46"/>
    <n v="807.66"/>
    <x v="85"/>
    <d v="1899-12-30T19:53:00"/>
    <x v="0"/>
    <n v="769.2"/>
    <n v="4.7619047620000003"/>
    <n v="38.46"/>
    <n v="5.6"/>
  </r>
  <r>
    <s v="389-70-2397"/>
    <s v="C"/>
    <x v="1"/>
    <x v="1"/>
    <x v="0"/>
    <x v="0"/>
    <n v="83.66"/>
    <n v="5"/>
    <n v="20.914999999999999"/>
    <n v="439.21499999999997"/>
    <x v="81"/>
    <d v="1899-12-30T10:26:00"/>
    <x v="1"/>
    <n v="418.3"/>
    <n v="4.7619047620000003"/>
    <n v="20.914999999999999"/>
    <n v="7.2"/>
  </r>
  <r>
    <s v="114-35-5271"/>
    <s v="B"/>
    <x v="2"/>
    <x v="1"/>
    <x v="0"/>
    <x v="1"/>
    <n v="57.91"/>
    <n v="8"/>
    <n v="23.164000000000001"/>
    <n v="486.44400000000002"/>
    <x v="13"/>
    <d v="1899-12-30T15:06:00"/>
    <x v="1"/>
    <n v="463.28"/>
    <n v="4.7619047620000003"/>
    <n v="23.164000000000001"/>
    <n v="8.1"/>
  </r>
  <r>
    <s v="607-76-6216"/>
    <s v="C"/>
    <x v="1"/>
    <x v="0"/>
    <x v="0"/>
    <x v="5"/>
    <n v="92.49"/>
    <n v="5"/>
    <n v="23.122499999999999"/>
    <n v="485.57249999999999"/>
    <x v="22"/>
    <d v="1899-12-30T16:35:00"/>
    <x v="2"/>
    <n v="462.45"/>
    <n v="4.7619047620000003"/>
    <n v="23.122499999999999"/>
    <n v="8.6"/>
  </r>
  <r>
    <s v="715-20-1673"/>
    <s v="B"/>
    <x v="2"/>
    <x v="1"/>
    <x v="1"/>
    <x v="1"/>
    <n v="28.38"/>
    <n v="5"/>
    <n v="7.0949999999999998"/>
    <n v="148.995"/>
    <x v="43"/>
    <d v="1899-12-30T20:57:00"/>
    <x v="1"/>
    <n v="141.9"/>
    <n v="4.7619047620000003"/>
    <n v="7.0949999999999998"/>
    <n v="9.4"/>
  </r>
  <r>
    <s v="811-35-1094"/>
    <s v="B"/>
    <x v="2"/>
    <x v="0"/>
    <x v="1"/>
    <x v="1"/>
    <n v="50.45"/>
    <n v="6"/>
    <n v="15.135"/>
    <n v="317.83499999999998"/>
    <x v="10"/>
    <d v="1899-12-30T15:16:00"/>
    <x v="2"/>
    <n v="302.7"/>
    <n v="4.7619047620000003"/>
    <n v="15.135"/>
    <n v="8.9"/>
  </r>
  <r>
    <s v="699-88-1972"/>
    <s v="B"/>
    <x v="2"/>
    <x v="1"/>
    <x v="1"/>
    <x v="0"/>
    <n v="99.16"/>
    <n v="8"/>
    <n v="39.664000000000001"/>
    <n v="832.94399999999996"/>
    <x v="26"/>
    <d v="1899-12-30T17:47:00"/>
    <x v="2"/>
    <n v="793.28"/>
    <n v="4.7619047620000003"/>
    <n v="39.664000000000001"/>
    <n v="4.2"/>
  </r>
  <r>
    <s v="781-84-8059"/>
    <s v="C"/>
    <x v="1"/>
    <x v="1"/>
    <x v="1"/>
    <x v="5"/>
    <n v="60.74"/>
    <n v="7"/>
    <n v="21.259"/>
    <n v="446.43900000000002"/>
    <x v="68"/>
    <d v="1899-12-30T16:23:00"/>
    <x v="0"/>
    <n v="425.18"/>
    <n v="4.7619047620000003"/>
    <n v="21.259"/>
    <n v="5"/>
  </r>
  <r>
    <s v="409-49-6995"/>
    <s v="C"/>
    <x v="1"/>
    <x v="0"/>
    <x v="0"/>
    <x v="4"/>
    <n v="47.27"/>
    <n v="6"/>
    <n v="14.180999999999999"/>
    <n v="297.80099999999999"/>
    <x v="63"/>
    <d v="1899-12-30T10:17:00"/>
    <x v="1"/>
    <n v="283.62"/>
    <n v="4.7619047620000003"/>
    <n v="14.180999999999999"/>
    <n v="8.8000000000000007"/>
  </r>
  <r>
    <s v="725-54-0677"/>
    <s v="C"/>
    <x v="1"/>
    <x v="0"/>
    <x v="1"/>
    <x v="0"/>
    <n v="85.6"/>
    <n v="7"/>
    <n v="29.96"/>
    <n v="629.16"/>
    <x v="22"/>
    <d v="1899-12-30T13:50:00"/>
    <x v="1"/>
    <n v="599.20000000000005"/>
    <n v="4.7619047620000003"/>
    <n v="29.96"/>
    <n v="5.3"/>
  </r>
  <r>
    <s v="146-09-5432"/>
    <s v="A"/>
    <x v="0"/>
    <x v="0"/>
    <x v="1"/>
    <x v="4"/>
    <n v="35.04"/>
    <n v="9"/>
    <n v="15.768000000000001"/>
    <n v="331.12799999999999"/>
    <x v="57"/>
    <d v="1899-12-30T19:17:00"/>
    <x v="0"/>
    <n v="315.36"/>
    <n v="4.7619047620000003"/>
    <n v="15.768000000000001"/>
    <n v="4.5999999999999996"/>
  </r>
  <r>
    <s v="377-79-7592"/>
    <s v="C"/>
    <x v="1"/>
    <x v="0"/>
    <x v="0"/>
    <x v="1"/>
    <n v="44.84"/>
    <n v="9"/>
    <n v="20.178000000000001"/>
    <n v="423.738"/>
    <x v="78"/>
    <d v="1899-12-30T14:00:00"/>
    <x v="2"/>
    <n v="403.56"/>
    <n v="4.7619047620000003"/>
    <n v="20.178000000000001"/>
    <n v="7.5"/>
  </r>
  <r>
    <s v="509-10-0516"/>
    <s v="B"/>
    <x v="2"/>
    <x v="1"/>
    <x v="1"/>
    <x v="2"/>
    <n v="45.97"/>
    <n v="4"/>
    <n v="9.1940000000000008"/>
    <n v="193.07400000000001"/>
    <x v="57"/>
    <d v="1899-12-30T12:02:00"/>
    <x v="0"/>
    <n v="183.88"/>
    <n v="4.7619047620000003"/>
    <n v="9.1940000000000008"/>
    <n v="5.0999999999999996"/>
  </r>
  <r>
    <s v="595-94-9924"/>
    <s v="A"/>
    <x v="0"/>
    <x v="0"/>
    <x v="0"/>
    <x v="0"/>
    <n v="27.73"/>
    <n v="5"/>
    <n v="6.9325000000000001"/>
    <n v="145.58250000000001"/>
    <x v="58"/>
    <d v="1899-12-30T20:21:00"/>
    <x v="2"/>
    <n v="138.65"/>
    <n v="4.7619047620000003"/>
    <n v="6.9325000000000001"/>
    <n v="4.2"/>
  </r>
  <r>
    <s v="865-41-9075"/>
    <s v="A"/>
    <x v="0"/>
    <x v="1"/>
    <x v="1"/>
    <x v="4"/>
    <n v="11.53"/>
    <n v="7"/>
    <n v="4.0354999999999999"/>
    <n v="84.745500000000007"/>
    <x v="26"/>
    <d v="1899-12-30T17:35:00"/>
    <x v="1"/>
    <n v="80.709999999999994"/>
    <n v="4.7619047620000003"/>
    <n v="4.0354999999999999"/>
    <n v="8.1"/>
  </r>
  <r>
    <s v="545-07-8534"/>
    <s v="C"/>
    <x v="1"/>
    <x v="1"/>
    <x v="0"/>
    <x v="0"/>
    <n v="58.32"/>
    <n v="2"/>
    <n v="5.8319999999999999"/>
    <n v="122.47199999999999"/>
    <x v="44"/>
    <d v="1899-12-30T12:42:00"/>
    <x v="0"/>
    <n v="116.64"/>
    <n v="4.7619047620000003"/>
    <n v="5.8319999999999999"/>
    <n v="6"/>
  </r>
  <r>
    <s v="118-62-1812"/>
    <s v="C"/>
    <x v="1"/>
    <x v="0"/>
    <x v="0"/>
    <x v="2"/>
    <n v="78.38"/>
    <n v="4"/>
    <n v="15.676"/>
    <n v="329.19600000000003"/>
    <x v="62"/>
    <d v="1899-12-30T17:56:00"/>
    <x v="1"/>
    <n v="313.52"/>
    <n v="4.7619047620000003"/>
    <n v="15.676"/>
    <n v="7.9"/>
  </r>
  <r>
    <s v="450-42-3339"/>
    <s v="C"/>
    <x v="1"/>
    <x v="1"/>
    <x v="1"/>
    <x v="0"/>
    <n v="84.61"/>
    <n v="10"/>
    <n v="42.305"/>
    <n v="888.40499999999997"/>
    <x v="57"/>
    <d v="1899-12-30T18:58:00"/>
    <x v="2"/>
    <n v="846.1"/>
    <n v="4.7619047620000003"/>
    <n v="42.305"/>
    <n v="8.8000000000000007"/>
  </r>
  <r>
    <s v="851-98-3555"/>
    <s v="B"/>
    <x v="2"/>
    <x v="1"/>
    <x v="0"/>
    <x v="0"/>
    <n v="82.88"/>
    <n v="5"/>
    <n v="20.72"/>
    <n v="435.12"/>
    <x v="62"/>
    <d v="1899-12-30T14:08:00"/>
    <x v="2"/>
    <n v="414.4"/>
    <n v="4.7619047620000003"/>
    <n v="20.72"/>
    <n v="6.6"/>
  </r>
  <r>
    <s v="186-71-5196"/>
    <s v="A"/>
    <x v="0"/>
    <x v="0"/>
    <x v="0"/>
    <x v="4"/>
    <n v="79.540000000000006"/>
    <n v="2"/>
    <n v="7.9539999999999997"/>
    <n v="167.03399999999999"/>
    <x v="39"/>
    <d v="1899-12-30T16:30:00"/>
    <x v="0"/>
    <n v="159.08000000000001"/>
    <n v="4.7619047620000003"/>
    <n v="7.9539999999999997"/>
    <n v="6.2"/>
  </r>
  <r>
    <s v="624-01-8356"/>
    <s v="B"/>
    <x v="2"/>
    <x v="1"/>
    <x v="0"/>
    <x v="2"/>
    <n v="49.01"/>
    <n v="10"/>
    <n v="24.504999999999999"/>
    <n v="514.60500000000002"/>
    <x v="3"/>
    <d v="1899-12-30T10:44:00"/>
    <x v="2"/>
    <n v="490.1"/>
    <n v="4.7619047620000003"/>
    <n v="24.504999999999999"/>
    <n v="4.2"/>
  </r>
  <r>
    <s v="313-66-9943"/>
    <s v="B"/>
    <x v="2"/>
    <x v="0"/>
    <x v="0"/>
    <x v="4"/>
    <n v="29.15"/>
    <n v="3"/>
    <n v="4.3724999999999996"/>
    <n v="91.822500000000005"/>
    <x v="39"/>
    <d v="1899-12-30T20:29:00"/>
    <x v="2"/>
    <n v="87.45"/>
    <n v="4.7619047620000003"/>
    <n v="4.3724999999999996"/>
    <n v="7.3"/>
  </r>
  <r>
    <s v="151-27-8496"/>
    <s v="C"/>
    <x v="1"/>
    <x v="1"/>
    <x v="0"/>
    <x v="1"/>
    <n v="56.13"/>
    <n v="4"/>
    <n v="11.226000000000001"/>
    <n v="235.74600000000001"/>
    <x v="64"/>
    <d v="1899-12-30T11:43:00"/>
    <x v="0"/>
    <n v="224.52"/>
    <n v="4.7619047620000003"/>
    <n v="11.226000000000001"/>
    <n v="8.6"/>
  </r>
  <r>
    <s v="453-33-6436"/>
    <s v="A"/>
    <x v="0"/>
    <x v="1"/>
    <x v="0"/>
    <x v="2"/>
    <n v="93.12"/>
    <n v="8"/>
    <n v="37.247999999999998"/>
    <n v="782.20799999999997"/>
    <x v="13"/>
    <d v="1899-12-30T10:09:00"/>
    <x v="1"/>
    <n v="744.96"/>
    <n v="4.7619047620000003"/>
    <n v="37.247999999999998"/>
    <n v="6.8"/>
  </r>
  <r>
    <s v="522-57-8364"/>
    <s v="A"/>
    <x v="0"/>
    <x v="0"/>
    <x v="1"/>
    <x v="5"/>
    <n v="51.34"/>
    <n v="8"/>
    <n v="20.536000000000001"/>
    <n v="431.25599999999997"/>
    <x v="82"/>
    <d v="1899-12-30T10:00:00"/>
    <x v="0"/>
    <n v="410.72"/>
    <n v="4.7619047620000003"/>
    <n v="20.536000000000001"/>
    <n v="7.6"/>
  </r>
  <r>
    <s v="459-45-2396"/>
    <s v="A"/>
    <x v="0"/>
    <x v="0"/>
    <x v="0"/>
    <x v="4"/>
    <n v="99.6"/>
    <n v="3"/>
    <n v="14.94"/>
    <n v="313.74"/>
    <x v="6"/>
    <d v="1899-12-30T18:45:00"/>
    <x v="1"/>
    <n v="298.8"/>
    <n v="4.7619047620000003"/>
    <n v="14.94"/>
    <n v="5.8"/>
  </r>
  <r>
    <s v="717-96-4189"/>
    <s v="C"/>
    <x v="1"/>
    <x v="1"/>
    <x v="0"/>
    <x v="1"/>
    <n v="35.49"/>
    <n v="6"/>
    <n v="10.647"/>
    <n v="223.58699999999999"/>
    <x v="30"/>
    <d v="1899-12-30T12:40:00"/>
    <x v="1"/>
    <n v="212.94"/>
    <n v="4.7619047620000003"/>
    <n v="10.647"/>
    <n v="4.0999999999999996"/>
  </r>
  <r>
    <s v="722-13-2115"/>
    <s v="C"/>
    <x v="1"/>
    <x v="0"/>
    <x v="1"/>
    <x v="3"/>
    <n v="42.85"/>
    <n v="1"/>
    <n v="2.1425000000000001"/>
    <n v="44.9925"/>
    <x v="86"/>
    <d v="1899-12-30T15:36:00"/>
    <x v="2"/>
    <n v="42.85"/>
    <n v="4.7619047620000003"/>
    <n v="2.1425000000000001"/>
    <n v="9.3000000000000007"/>
  </r>
  <r>
    <s v="749-81-8133"/>
    <s v="A"/>
    <x v="0"/>
    <x v="1"/>
    <x v="0"/>
    <x v="5"/>
    <n v="94.67"/>
    <n v="4"/>
    <n v="18.934000000000001"/>
    <n v="397.61399999999998"/>
    <x v="16"/>
    <d v="1899-12-30T12:04:00"/>
    <x v="1"/>
    <n v="378.68"/>
    <n v="4.7619047620000003"/>
    <n v="18.934000000000001"/>
    <n v="6.8"/>
  </r>
  <r>
    <s v="777-67-2495"/>
    <s v="B"/>
    <x v="2"/>
    <x v="1"/>
    <x v="1"/>
    <x v="2"/>
    <n v="68.97"/>
    <n v="3"/>
    <n v="10.345499999999999"/>
    <n v="217.25550000000001"/>
    <x v="70"/>
    <d v="1899-12-30T11:26:00"/>
    <x v="0"/>
    <n v="206.91"/>
    <n v="4.7619047620000003"/>
    <n v="10.345499999999999"/>
    <n v="8.6999999999999993"/>
  </r>
  <r>
    <s v="636-98-3364"/>
    <s v="B"/>
    <x v="2"/>
    <x v="0"/>
    <x v="0"/>
    <x v="1"/>
    <n v="26.26"/>
    <n v="3"/>
    <n v="3.9390000000000001"/>
    <n v="82.718999999999994"/>
    <x v="22"/>
    <d v="1899-12-30T12:36:00"/>
    <x v="0"/>
    <n v="78.78"/>
    <n v="4.7619047620000003"/>
    <n v="3.9390000000000001"/>
    <n v="6.3"/>
  </r>
  <r>
    <s v="246-55-6923"/>
    <s v="C"/>
    <x v="1"/>
    <x v="0"/>
    <x v="0"/>
    <x v="2"/>
    <n v="35.79"/>
    <n v="9"/>
    <n v="16.105499999999999"/>
    <n v="338.21550000000002"/>
    <x v="24"/>
    <d v="1899-12-30T15:06:00"/>
    <x v="2"/>
    <n v="322.11"/>
    <n v="4.7619047620000003"/>
    <n v="16.105499999999999"/>
    <n v="5.0999999999999996"/>
  </r>
  <r>
    <s v="181-82-6255"/>
    <s v="B"/>
    <x v="2"/>
    <x v="1"/>
    <x v="0"/>
    <x v="2"/>
    <n v="16.37"/>
    <n v="6"/>
    <n v="4.9109999999999996"/>
    <n v="103.131"/>
    <x v="4"/>
    <d v="1899-12-30T10:58:00"/>
    <x v="1"/>
    <n v="98.22"/>
    <n v="4.7619047620000003"/>
    <n v="4.9109999999999996"/>
    <n v="7"/>
  </r>
  <r>
    <s v="838-02-1821"/>
    <s v="C"/>
    <x v="1"/>
    <x v="0"/>
    <x v="0"/>
    <x v="2"/>
    <n v="12.73"/>
    <n v="2"/>
    <n v="1.2729999999999999"/>
    <n v="26.733000000000001"/>
    <x v="70"/>
    <d v="1899-12-30T12:10:00"/>
    <x v="2"/>
    <n v="25.46"/>
    <n v="4.7619047620000003"/>
    <n v="1.2729999999999999"/>
    <n v="5.2"/>
  </r>
  <r>
    <s v="887-42-0517"/>
    <s v="C"/>
    <x v="1"/>
    <x v="1"/>
    <x v="0"/>
    <x v="3"/>
    <n v="83.14"/>
    <n v="7"/>
    <n v="29.099"/>
    <n v="611.07899999999995"/>
    <x v="8"/>
    <d v="1899-12-30T10:31:00"/>
    <x v="2"/>
    <n v="581.98"/>
    <n v="4.7619047620000003"/>
    <n v="29.099"/>
    <n v="6.6"/>
  </r>
  <r>
    <s v="457-12-0244"/>
    <s v="C"/>
    <x v="1"/>
    <x v="0"/>
    <x v="0"/>
    <x v="3"/>
    <n v="35.22"/>
    <n v="6"/>
    <n v="10.566000000000001"/>
    <n v="221.886"/>
    <x v="86"/>
    <d v="1899-12-30T13:49:00"/>
    <x v="0"/>
    <n v="211.32"/>
    <n v="4.7619047620000003"/>
    <n v="10.566000000000001"/>
    <n v="6.5"/>
  </r>
  <r>
    <s v="226-34-0034"/>
    <s v="B"/>
    <x v="2"/>
    <x v="1"/>
    <x v="0"/>
    <x v="1"/>
    <n v="13.78"/>
    <n v="4"/>
    <n v="2.7559999999999998"/>
    <n v="57.875999999999998"/>
    <x v="8"/>
    <d v="1899-12-30T11:10:00"/>
    <x v="0"/>
    <n v="55.12"/>
    <n v="4.7619047620000003"/>
    <n v="2.7559999999999998"/>
    <n v="9"/>
  </r>
  <r>
    <s v="321-49-7382"/>
    <s v="B"/>
    <x v="2"/>
    <x v="0"/>
    <x v="1"/>
    <x v="3"/>
    <n v="88.31"/>
    <n v="1"/>
    <n v="4.4154999999999998"/>
    <n v="92.725499999999997"/>
    <x v="42"/>
    <d v="1899-12-30T17:38:00"/>
    <x v="2"/>
    <n v="88.31"/>
    <n v="4.7619047620000003"/>
    <n v="4.4154999999999998"/>
    <n v="5.2"/>
  </r>
  <r>
    <s v="397-25-8725"/>
    <s v="A"/>
    <x v="0"/>
    <x v="0"/>
    <x v="0"/>
    <x v="0"/>
    <n v="39.619999999999997"/>
    <n v="9"/>
    <n v="17.829000000000001"/>
    <n v="374.40899999999999"/>
    <x v="50"/>
    <d v="1899-12-30T17:54:00"/>
    <x v="2"/>
    <n v="356.58"/>
    <n v="4.7619047620000003"/>
    <n v="17.829000000000001"/>
    <n v="6.8"/>
  </r>
  <r>
    <s v="431-66-2305"/>
    <s v="B"/>
    <x v="2"/>
    <x v="1"/>
    <x v="0"/>
    <x v="1"/>
    <n v="88.25"/>
    <n v="9"/>
    <n v="39.712499999999999"/>
    <n v="833.96249999999998"/>
    <x v="42"/>
    <d v="1899-12-30T20:51:00"/>
    <x v="2"/>
    <n v="794.25"/>
    <n v="4.7619047620000003"/>
    <n v="39.712499999999999"/>
    <n v="7.6"/>
  </r>
  <r>
    <s v="825-94-5922"/>
    <s v="B"/>
    <x v="2"/>
    <x v="1"/>
    <x v="1"/>
    <x v="3"/>
    <n v="25.31"/>
    <n v="2"/>
    <n v="2.5310000000000001"/>
    <n v="53.151000000000003"/>
    <x v="22"/>
    <d v="1899-12-30T19:26:00"/>
    <x v="0"/>
    <n v="50.62"/>
    <n v="4.7619047620000003"/>
    <n v="2.5310000000000001"/>
    <n v="7.2"/>
  </r>
  <r>
    <s v="641-62-7288"/>
    <s v="B"/>
    <x v="2"/>
    <x v="1"/>
    <x v="1"/>
    <x v="2"/>
    <n v="99.92"/>
    <n v="6"/>
    <n v="29.975999999999999"/>
    <n v="629.49599999999998"/>
    <x v="62"/>
    <d v="1899-12-30T13:33:00"/>
    <x v="0"/>
    <n v="599.52"/>
    <n v="4.7619047620000003"/>
    <n v="29.975999999999999"/>
    <n v="7.1"/>
  </r>
  <r>
    <s v="756-93-1854"/>
    <s v="C"/>
    <x v="1"/>
    <x v="0"/>
    <x v="0"/>
    <x v="5"/>
    <n v="83.35"/>
    <n v="2"/>
    <n v="8.3350000000000009"/>
    <n v="175.035"/>
    <x v="30"/>
    <d v="1899-12-30T14:05:00"/>
    <x v="2"/>
    <n v="166.7"/>
    <n v="4.7619047620000003"/>
    <n v="8.3350000000000009"/>
    <n v="9.5"/>
  </r>
  <r>
    <s v="243-55-8457"/>
    <s v="A"/>
    <x v="0"/>
    <x v="1"/>
    <x v="0"/>
    <x v="4"/>
    <n v="74.44"/>
    <n v="10"/>
    <n v="37.22"/>
    <n v="781.62"/>
    <x v="33"/>
    <d v="1899-12-30T11:40:00"/>
    <x v="0"/>
    <n v="744.4"/>
    <n v="4.7619047620000003"/>
    <n v="37.22"/>
    <n v="5.0999999999999996"/>
  </r>
  <r>
    <s v="458-10-8612"/>
    <s v="C"/>
    <x v="1"/>
    <x v="1"/>
    <x v="1"/>
    <x v="0"/>
    <n v="64.08"/>
    <n v="7"/>
    <n v="22.428000000000001"/>
    <n v="470.988"/>
    <x v="40"/>
    <d v="1899-12-30T12:27:00"/>
    <x v="0"/>
    <n v="448.56"/>
    <n v="4.7619047620000003"/>
    <n v="22.428000000000001"/>
    <n v="7.6"/>
  </r>
  <r>
    <s v="501-61-1753"/>
    <s v="B"/>
    <x v="2"/>
    <x v="1"/>
    <x v="0"/>
    <x v="2"/>
    <n v="63.15"/>
    <n v="6"/>
    <n v="18.945"/>
    <n v="397.84500000000003"/>
    <x v="75"/>
    <d v="1899-12-30T20:24:00"/>
    <x v="0"/>
    <n v="378.9"/>
    <n v="4.7619047620000003"/>
    <n v="18.945"/>
    <n v="9.8000000000000007"/>
  </r>
  <r>
    <s v="235-06-8510"/>
    <s v="C"/>
    <x v="1"/>
    <x v="0"/>
    <x v="1"/>
    <x v="2"/>
    <n v="85.72"/>
    <n v="3"/>
    <n v="12.858000000000001"/>
    <n v="270.01799999999997"/>
    <x v="46"/>
    <d v="1899-12-30T20:59:00"/>
    <x v="0"/>
    <n v="257.16000000000003"/>
    <n v="4.7619047620000003"/>
    <n v="12.858000000000001"/>
    <n v="5.0999999999999996"/>
  </r>
  <r>
    <s v="433-08-7822"/>
    <s v="C"/>
    <x v="1"/>
    <x v="1"/>
    <x v="0"/>
    <x v="0"/>
    <n v="78.89"/>
    <n v="7"/>
    <n v="27.611499999999999"/>
    <n v="579.8415"/>
    <x v="0"/>
    <d v="1899-12-30T19:48:00"/>
    <x v="0"/>
    <n v="552.23"/>
    <n v="4.7619047620000003"/>
    <n v="27.611499999999999"/>
    <n v="7.5"/>
  </r>
  <r>
    <s v="361-85-2571"/>
    <s v="A"/>
    <x v="0"/>
    <x v="1"/>
    <x v="0"/>
    <x v="3"/>
    <n v="89.48"/>
    <n v="5"/>
    <n v="22.37"/>
    <n v="469.77"/>
    <x v="73"/>
    <d v="1899-12-30T10:18:00"/>
    <x v="1"/>
    <n v="447.4"/>
    <n v="4.7619047620000003"/>
    <n v="22.37"/>
    <n v="7.4"/>
  </r>
  <r>
    <s v="131-70-8179"/>
    <s v="A"/>
    <x v="0"/>
    <x v="0"/>
    <x v="0"/>
    <x v="0"/>
    <n v="92.09"/>
    <n v="3"/>
    <n v="13.813499999999999"/>
    <n v="290.08350000000002"/>
    <x v="21"/>
    <d v="1899-12-30T16:27:00"/>
    <x v="1"/>
    <n v="276.27"/>
    <n v="4.7619047620000003"/>
    <n v="13.813499999999999"/>
    <n v="4.2"/>
  </r>
  <r>
    <s v="500-02-2261"/>
    <s v="C"/>
    <x v="1"/>
    <x v="1"/>
    <x v="0"/>
    <x v="4"/>
    <n v="57.29"/>
    <n v="6"/>
    <n v="17.187000000000001"/>
    <n v="360.92700000000002"/>
    <x v="76"/>
    <d v="1899-12-30T17:04:00"/>
    <x v="0"/>
    <n v="343.74"/>
    <n v="4.7619047620000003"/>
    <n v="17.187000000000001"/>
    <n v="5.9"/>
  </r>
  <r>
    <s v="720-72-2436"/>
    <s v="A"/>
    <x v="0"/>
    <x v="1"/>
    <x v="1"/>
    <x v="4"/>
    <n v="66.52"/>
    <n v="4"/>
    <n v="13.304"/>
    <n v="279.38400000000001"/>
    <x v="22"/>
    <d v="1899-12-30T18:14:00"/>
    <x v="0"/>
    <n v="266.08"/>
    <n v="4.7619047620000003"/>
    <n v="13.304"/>
    <n v="6.9"/>
  </r>
  <r>
    <s v="702-83-5291"/>
    <s v="C"/>
    <x v="1"/>
    <x v="0"/>
    <x v="1"/>
    <x v="5"/>
    <n v="99.82"/>
    <n v="9"/>
    <n v="44.918999999999997"/>
    <n v="943.29899999999998"/>
    <x v="39"/>
    <d v="1899-12-30T10:43:00"/>
    <x v="1"/>
    <n v="898.38"/>
    <n v="4.7619047620000003"/>
    <n v="44.918999999999997"/>
    <n v="6.6"/>
  </r>
  <r>
    <s v="809-69-9497"/>
    <s v="A"/>
    <x v="0"/>
    <x v="1"/>
    <x v="0"/>
    <x v="2"/>
    <n v="45.68"/>
    <n v="10"/>
    <n v="22.84"/>
    <n v="479.64"/>
    <x v="64"/>
    <d v="1899-12-30T19:30:00"/>
    <x v="0"/>
    <n v="456.8"/>
    <n v="4.7619047620000003"/>
    <n v="22.84"/>
    <n v="5.7"/>
  </r>
  <r>
    <s v="449-16-6770"/>
    <s v="A"/>
    <x v="0"/>
    <x v="1"/>
    <x v="1"/>
    <x v="0"/>
    <n v="50.79"/>
    <n v="5"/>
    <n v="12.6975"/>
    <n v="266.64749999999998"/>
    <x v="88"/>
    <d v="1899-12-30T14:53:00"/>
    <x v="2"/>
    <n v="253.95"/>
    <n v="4.7619047620000003"/>
    <n v="12.6975"/>
    <n v="5.3"/>
  </r>
  <r>
    <s v="333-23-2632"/>
    <s v="A"/>
    <x v="0"/>
    <x v="0"/>
    <x v="1"/>
    <x v="0"/>
    <n v="10.08"/>
    <n v="7"/>
    <n v="3.528"/>
    <n v="74.087999999999994"/>
    <x v="61"/>
    <d v="1899-12-30T20:14:00"/>
    <x v="1"/>
    <n v="70.56"/>
    <n v="4.7619047620000003"/>
    <n v="3.528"/>
    <n v="4.2"/>
  </r>
  <r>
    <s v="489-82-1237"/>
    <s v="A"/>
    <x v="0"/>
    <x v="1"/>
    <x v="0"/>
    <x v="1"/>
    <n v="93.88"/>
    <n v="7"/>
    <n v="32.857999999999997"/>
    <n v="690.01800000000003"/>
    <x v="0"/>
    <d v="1899-12-30T11:51:00"/>
    <x v="2"/>
    <n v="657.16"/>
    <n v="4.7619047620000003"/>
    <n v="32.857999999999997"/>
    <n v="7.3"/>
  </r>
  <r>
    <s v="859-97-6048"/>
    <s v="C"/>
    <x v="1"/>
    <x v="0"/>
    <x v="1"/>
    <x v="1"/>
    <n v="84.25"/>
    <n v="2"/>
    <n v="8.4250000000000007"/>
    <n v="176.92500000000001"/>
    <x v="58"/>
    <d v="1899-12-30T14:13:00"/>
    <x v="2"/>
    <n v="168.5"/>
    <n v="4.7619047620000003"/>
    <n v="8.4250000000000007"/>
    <n v="5.3"/>
  </r>
  <r>
    <s v="676-10-2200"/>
    <s v="B"/>
    <x v="2"/>
    <x v="0"/>
    <x v="1"/>
    <x v="5"/>
    <n v="53.78"/>
    <n v="1"/>
    <n v="2.6890000000000001"/>
    <n v="56.469000000000001"/>
    <x v="36"/>
    <d v="1899-12-30T20:13:00"/>
    <x v="0"/>
    <n v="53.78"/>
    <n v="4.7619047620000003"/>
    <n v="2.6890000000000001"/>
    <n v="4.7"/>
  </r>
  <r>
    <s v="373-88-1424"/>
    <s v="C"/>
    <x v="1"/>
    <x v="0"/>
    <x v="1"/>
    <x v="2"/>
    <n v="35.81"/>
    <n v="5"/>
    <n v="8.9525000000000006"/>
    <n v="188.0025"/>
    <x v="10"/>
    <d v="1899-12-30T18:44:00"/>
    <x v="0"/>
    <n v="179.05"/>
    <n v="4.7619047620000003"/>
    <n v="8.9525000000000006"/>
    <n v="7.9"/>
  </r>
  <r>
    <s v="365-16-4334"/>
    <s v="B"/>
    <x v="2"/>
    <x v="1"/>
    <x v="0"/>
    <x v="4"/>
    <n v="26.43"/>
    <n v="8"/>
    <n v="10.571999999999999"/>
    <n v="222.012"/>
    <x v="7"/>
    <d v="1899-12-30T14:26:00"/>
    <x v="0"/>
    <n v="211.44"/>
    <n v="4.7619047620000003"/>
    <n v="10.571999999999999"/>
    <n v="8.9"/>
  </r>
  <r>
    <s v="503-21-4385"/>
    <s v="B"/>
    <x v="2"/>
    <x v="0"/>
    <x v="1"/>
    <x v="0"/>
    <n v="39.909999999999997"/>
    <n v="3"/>
    <n v="5.9865000000000004"/>
    <n v="125.7165"/>
    <x v="81"/>
    <d v="1899-12-30T12:40:00"/>
    <x v="0"/>
    <n v="119.73"/>
    <n v="4.7619047620000003"/>
    <n v="5.9865000000000004"/>
    <n v="9.3000000000000007"/>
  </r>
  <r>
    <s v="305-89-2768"/>
    <s v="B"/>
    <x v="2"/>
    <x v="0"/>
    <x v="0"/>
    <x v="2"/>
    <n v="21.9"/>
    <n v="3"/>
    <n v="3.2850000000000001"/>
    <n v="68.984999999999999"/>
    <x v="51"/>
    <d v="1899-12-30T18:43:00"/>
    <x v="0"/>
    <n v="65.7"/>
    <n v="4.7619047620000003"/>
    <n v="3.2850000000000001"/>
    <n v="4.7"/>
  </r>
  <r>
    <s v="574-80-1489"/>
    <s v="B"/>
    <x v="2"/>
    <x v="0"/>
    <x v="0"/>
    <x v="4"/>
    <n v="62.85"/>
    <n v="4"/>
    <n v="12.57"/>
    <n v="263.97000000000003"/>
    <x v="6"/>
    <d v="1899-12-30T13:22:00"/>
    <x v="0"/>
    <n v="251.4"/>
    <n v="4.7619047620000003"/>
    <n v="12.57"/>
    <n v="8.6999999999999993"/>
  </r>
  <r>
    <s v="784-08-0310"/>
    <s v="C"/>
    <x v="1"/>
    <x v="0"/>
    <x v="0"/>
    <x v="4"/>
    <n v="21.04"/>
    <n v="4"/>
    <n v="4.2080000000000002"/>
    <n v="88.367999999999995"/>
    <x v="50"/>
    <d v="1899-12-30T13:58:00"/>
    <x v="1"/>
    <n v="84.16"/>
    <n v="4.7619047620000003"/>
    <n v="4.2080000000000002"/>
    <n v="7.6"/>
  </r>
  <r>
    <s v="200-40-6154"/>
    <s v="B"/>
    <x v="2"/>
    <x v="0"/>
    <x v="1"/>
    <x v="2"/>
    <n v="65.91"/>
    <n v="6"/>
    <n v="19.773"/>
    <n v="415.233"/>
    <x v="57"/>
    <d v="1899-12-30T11:45:00"/>
    <x v="1"/>
    <n v="395.46"/>
    <n v="4.7619047620000003"/>
    <n v="19.773"/>
    <n v="5.7"/>
  </r>
  <r>
    <s v="846-10-0341"/>
    <s v="A"/>
    <x v="0"/>
    <x v="1"/>
    <x v="0"/>
    <x v="5"/>
    <n v="42.57"/>
    <n v="7"/>
    <n v="14.8995"/>
    <n v="312.8895"/>
    <x v="47"/>
    <d v="1899-12-30T11:51:00"/>
    <x v="1"/>
    <n v="297.99"/>
    <n v="4.7619047620000003"/>
    <n v="14.8995"/>
    <n v="6.8"/>
  </r>
  <r>
    <s v="577-34-7579"/>
    <s v="C"/>
    <x v="1"/>
    <x v="0"/>
    <x v="1"/>
    <x v="4"/>
    <n v="50.49"/>
    <n v="9"/>
    <n v="22.720500000000001"/>
    <n v="477.13049999999998"/>
    <x v="8"/>
    <d v="1899-12-30T17:16:00"/>
    <x v="1"/>
    <n v="454.41"/>
    <n v="4.7619047620000003"/>
    <n v="22.720500000000001"/>
    <n v="5.4"/>
  </r>
  <r>
    <s v="430-02-3888"/>
    <s v="B"/>
    <x v="2"/>
    <x v="1"/>
    <x v="1"/>
    <x v="1"/>
    <n v="46.02"/>
    <n v="6"/>
    <n v="13.805999999999999"/>
    <n v="289.92599999999999"/>
    <x v="13"/>
    <d v="1899-12-30T15:55:00"/>
    <x v="1"/>
    <n v="276.12"/>
    <n v="4.7619047620000003"/>
    <n v="13.805999999999999"/>
    <n v="7.1"/>
  </r>
  <r>
    <s v="867-47-1948"/>
    <s v="C"/>
    <x v="1"/>
    <x v="1"/>
    <x v="0"/>
    <x v="2"/>
    <n v="15.8"/>
    <n v="10"/>
    <n v="7.9"/>
    <n v="165.9"/>
    <x v="51"/>
    <d v="1899-12-30T12:07:00"/>
    <x v="1"/>
    <n v="158"/>
    <n v="4.7619047620000003"/>
    <n v="7.9"/>
    <n v="7.8"/>
  </r>
  <r>
    <s v="384-59-6655"/>
    <s v="A"/>
    <x v="0"/>
    <x v="0"/>
    <x v="0"/>
    <x v="4"/>
    <n v="98.66"/>
    <n v="9"/>
    <n v="44.396999999999998"/>
    <n v="932.33699999999999"/>
    <x v="88"/>
    <d v="1899-12-30T15:07:00"/>
    <x v="1"/>
    <n v="887.94"/>
    <n v="4.7619047620000003"/>
    <n v="44.396999999999998"/>
    <n v="8.4"/>
  </r>
  <r>
    <s v="256-58-3609"/>
    <s v="C"/>
    <x v="1"/>
    <x v="0"/>
    <x v="1"/>
    <x v="5"/>
    <n v="91.98"/>
    <n v="1"/>
    <n v="4.5990000000000002"/>
    <n v="96.578999999999994"/>
    <x v="79"/>
    <d v="1899-12-30T15:29:00"/>
    <x v="1"/>
    <n v="91.98"/>
    <n v="4.7619047620000003"/>
    <n v="4.5990000000000002"/>
    <n v="9.8000000000000007"/>
  </r>
  <r>
    <s v="324-92-3863"/>
    <s v="A"/>
    <x v="0"/>
    <x v="0"/>
    <x v="1"/>
    <x v="1"/>
    <n v="20.89"/>
    <n v="2"/>
    <n v="2.089"/>
    <n v="43.869"/>
    <x v="63"/>
    <d v="1899-12-30T18:45:00"/>
    <x v="1"/>
    <n v="41.78"/>
    <n v="4.7619047620000003"/>
    <n v="2.089"/>
    <n v="9.8000000000000007"/>
  </r>
  <r>
    <s v="593-08-5916"/>
    <s v="A"/>
    <x v="0"/>
    <x v="1"/>
    <x v="0"/>
    <x v="5"/>
    <n v="15.5"/>
    <n v="1"/>
    <n v="0.77500000000000002"/>
    <n v="16.274999999999999"/>
    <x v="35"/>
    <d v="1899-12-30T15:23:00"/>
    <x v="2"/>
    <n v="15.5"/>
    <n v="4.7619047620000003"/>
    <n v="0.77500000000000002"/>
    <n v="7.4"/>
  </r>
  <r>
    <s v="364-34-2972"/>
    <s v="C"/>
    <x v="1"/>
    <x v="0"/>
    <x v="1"/>
    <x v="1"/>
    <n v="96.82"/>
    <n v="3"/>
    <n v="14.523"/>
    <n v="304.983"/>
    <x v="73"/>
    <d v="1899-12-30T20:37:00"/>
    <x v="1"/>
    <n v="290.45999999999998"/>
    <n v="4.7619047620000003"/>
    <n v="14.523"/>
    <n v="6.7"/>
  </r>
  <r>
    <s v="794-42-3736"/>
    <s v="B"/>
    <x v="2"/>
    <x v="1"/>
    <x v="1"/>
    <x v="4"/>
    <n v="33.33"/>
    <n v="2"/>
    <n v="3.3330000000000002"/>
    <n v="69.992999999999995"/>
    <x v="53"/>
    <d v="1899-12-30T14:41:00"/>
    <x v="2"/>
    <n v="66.66"/>
    <n v="4.7619047620000003"/>
    <n v="3.3330000000000002"/>
    <n v="6.4"/>
  </r>
  <r>
    <s v="172-42-8274"/>
    <s v="B"/>
    <x v="2"/>
    <x v="1"/>
    <x v="0"/>
    <x v="1"/>
    <n v="38.270000000000003"/>
    <n v="2"/>
    <n v="3.827"/>
    <n v="80.367000000000004"/>
    <x v="22"/>
    <d v="1899-12-30T18:18:00"/>
    <x v="2"/>
    <n v="76.540000000000006"/>
    <n v="4.7619047620000003"/>
    <n v="3.827"/>
    <n v="5.8"/>
  </r>
  <r>
    <s v="558-60-5016"/>
    <s v="A"/>
    <x v="0"/>
    <x v="1"/>
    <x v="0"/>
    <x v="2"/>
    <n v="33.299999999999997"/>
    <n v="9"/>
    <n v="14.984999999999999"/>
    <n v="314.685"/>
    <x v="31"/>
    <d v="1899-12-30T15:27:00"/>
    <x v="0"/>
    <n v="299.7"/>
    <n v="4.7619047620000003"/>
    <n v="14.984999999999999"/>
    <n v="7.2"/>
  </r>
  <r>
    <s v="195-06-0432"/>
    <s v="A"/>
    <x v="0"/>
    <x v="0"/>
    <x v="1"/>
    <x v="2"/>
    <n v="81.010000000000005"/>
    <n v="3"/>
    <n v="12.1515"/>
    <n v="255.1815"/>
    <x v="50"/>
    <d v="1899-12-30T12:55:00"/>
    <x v="2"/>
    <n v="243.03"/>
    <n v="4.7619047620000003"/>
    <n v="12.1515"/>
    <n v="9.3000000000000007"/>
  </r>
  <r>
    <s v="605-03-2706"/>
    <s v="A"/>
    <x v="0"/>
    <x v="1"/>
    <x v="0"/>
    <x v="0"/>
    <n v="15.8"/>
    <n v="3"/>
    <n v="2.37"/>
    <n v="49.77"/>
    <x v="5"/>
    <d v="1899-12-30T18:02:00"/>
    <x v="1"/>
    <n v="47.4"/>
    <n v="4.7619047620000003"/>
    <n v="2.37"/>
    <n v="9.5"/>
  </r>
  <r>
    <s v="214-30-2776"/>
    <s v="B"/>
    <x v="2"/>
    <x v="0"/>
    <x v="0"/>
    <x v="1"/>
    <n v="34.49"/>
    <n v="5"/>
    <n v="8.6225000000000005"/>
    <n v="181.07249999999999"/>
    <x v="16"/>
    <d v="1899-12-30T19:44:00"/>
    <x v="2"/>
    <n v="172.45"/>
    <n v="4.7619047620000003"/>
    <n v="8.6225000000000005"/>
    <n v="9"/>
  </r>
  <r>
    <s v="746-04-1077"/>
    <s v="B"/>
    <x v="2"/>
    <x v="0"/>
    <x v="0"/>
    <x v="4"/>
    <n v="84.63"/>
    <n v="10"/>
    <n v="42.314999999999998"/>
    <n v="888.61500000000001"/>
    <x v="17"/>
    <d v="1899-12-30T11:36:00"/>
    <x v="2"/>
    <n v="846.3"/>
    <n v="4.7619047620000003"/>
    <n v="42.314999999999998"/>
    <n v="9"/>
  </r>
  <r>
    <s v="448-34-8700"/>
    <s v="B"/>
    <x v="2"/>
    <x v="0"/>
    <x v="1"/>
    <x v="2"/>
    <n v="36.909999999999997"/>
    <n v="7"/>
    <n v="12.9185"/>
    <n v="271.2885"/>
    <x v="34"/>
    <d v="1899-12-30T13:51:00"/>
    <x v="0"/>
    <n v="258.37"/>
    <n v="4.7619047620000003"/>
    <n v="12.9185"/>
    <n v="6.7"/>
  </r>
  <r>
    <s v="452-04-8808"/>
    <s v="B"/>
    <x v="2"/>
    <x v="1"/>
    <x v="1"/>
    <x v="1"/>
    <n v="87.08"/>
    <n v="7"/>
    <n v="30.478000000000002"/>
    <n v="640.03800000000001"/>
    <x v="53"/>
    <d v="1899-12-30T15:17:00"/>
    <x v="1"/>
    <n v="609.55999999999995"/>
    <n v="4.7619047620000003"/>
    <n v="30.478000000000002"/>
    <n v="5.5"/>
  </r>
  <r>
    <s v="531-56-4728"/>
    <s v="A"/>
    <x v="0"/>
    <x v="1"/>
    <x v="1"/>
    <x v="2"/>
    <n v="80.08"/>
    <n v="3"/>
    <n v="12.012"/>
    <n v="252.25200000000001"/>
    <x v="48"/>
    <d v="1899-12-30T15:29:00"/>
    <x v="1"/>
    <n v="240.24"/>
    <n v="4.7619047620000003"/>
    <n v="12.012"/>
    <n v="5.4"/>
  </r>
  <r>
    <s v="744-82-9138"/>
    <s v="C"/>
    <x v="1"/>
    <x v="1"/>
    <x v="1"/>
    <x v="5"/>
    <n v="86.13"/>
    <n v="2"/>
    <n v="8.6129999999999995"/>
    <n v="180.87299999999999"/>
    <x v="13"/>
    <d v="1899-12-30T17:59:00"/>
    <x v="1"/>
    <n v="172.26"/>
    <n v="4.7619047620000003"/>
    <n v="8.6129999999999995"/>
    <n v="8.1999999999999993"/>
  </r>
  <r>
    <s v="883-69-1285"/>
    <s v="B"/>
    <x v="2"/>
    <x v="0"/>
    <x v="1"/>
    <x v="5"/>
    <n v="49.92"/>
    <n v="2"/>
    <n v="4.992"/>
    <n v="104.83199999999999"/>
    <x v="43"/>
    <d v="1899-12-30T11:55:00"/>
    <x v="2"/>
    <n v="99.84"/>
    <n v="4.7619047620000003"/>
    <n v="4.992"/>
    <n v="7"/>
  </r>
  <r>
    <s v="221-25-5073"/>
    <s v="A"/>
    <x v="0"/>
    <x v="1"/>
    <x v="0"/>
    <x v="4"/>
    <n v="74.66"/>
    <n v="4"/>
    <n v="14.932"/>
    <n v="313.572"/>
    <x v="31"/>
    <d v="1899-12-30T10:39:00"/>
    <x v="1"/>
    <n v="298.64"/>
    <n v="4.7619047620000003"/>
    <n v="14.932"/>
    <n v="8.5"/>
  </r>
  <r>
    <s v="518-71-6847"/>
    <s v="B"/>
    <x v="2"/>
    <x v="0"/>
    <x v="1"/>
    <x v="4"/>
    <n v="26.6"/>
    <n v="6"/>
    <n v="7.98"/>
    <n v="167.58"/>
    <x v="84"/>
    <d v="1899-12-30T15:10:00"/>
    <x v="0"/>
    <n v="159.6"/>
    <n v="4.7619047620000003"/>
    <n v="7.98"/>
    <n v="4.9000000000000004"/>
  </r>
  <r>
    <s v="156-20-0370"/>
    <s v="B"/>
    <x v="2"/>
    <x v="1"/>
    <x v="0"/>
    <x v="1"/>
    <n v="25.45"/>
    <n v="1"/>
    <n v="1.2725"/>
    <n v="26.7225"/>
    <x v="24"/>
    <d v="1899-12-30T18:10:00"/>
    <x v="2"/>
    <n v="25.45"/>
    <n v="4.7619047620000003"/>
    <n v="1.2725"/>
    <n v="5.0999999999999996"/>
  </r>
  <r>
    <s v="151-33-7434"/>
    <s v="B"/>
    <x v="2"/>
    <x v="1"/>
    <x v="0"/>
    <x v="4"/>
    <n v="67.77"/>
    <n v="1"/>
    <n v="3.3885000000000001"/>
    <n v="71.158500000000004"/>
    <x v="87"/>
    <d v="1899-12-30T20:43:00"/>
    <x v="2"/>
    <n v="67.77"/>
    <n v="4.7619047620000003"/>
    <n v="3.3885000000000001"/>
    <n v="6.5"/>
  </r>
  <r>
    <s v="728-47-9078"/>
    <s v="C"/>
    <x v="1"/>
    <x v="0"/>
    <x v="1"/>
    <x v="4"/>
    <n v="59.59"/>
    <n v="4"/>
    <n v="11.917999999999999"/>
    <n v="250.27799999999999"/>
    <x v="64"/>
    <d v="1899-12-30T12:46:00"/>
    <x v="1"/>
    <n v="238.36"/>
    <n v="4.7619047620000003"/>
    <n v="11.917999999999999"/>
    <n v="9.8000000000000007"/>
  </r>
  <r>
    <s v="809-46-1866"/>
    <s v="A"/>
    <x v="0"/>
    <x v="1"/>
    <x v="1"/>
    <x v="0"/>
    <n v="58.15"/>
    <n v="4"/>
    <n v="11.63"/>
    <n v="244.23"/>
    <x v="54"/>
    <d v="1899-12-30T17:44:00"/>
    <x v="1"/>
    <n v="232.6"/>
    <n v="4.7619047620000003"/>
    <n v="11.63"/>
    <n v="8.4"/>
  </r>
  <r>
    <s v="139-32-4183"/>
    <s v="A"/>
    <x v="0"/>
    <x v="0"/>
    <x v="0"/>
    <x v="3"/>
    <n v="97.48"/>
    <n v="9"/>
    <n v="43.866"/>
    <n v="921.18600000000004"/>
    <x v="86"/>
    <d v="1899-12-30T14:19:00"/>
    <x v="0"/>
    <n v="877.32"/>
    <n v="4.7619047620000003"/>
    <n v="43.866"/>
    <n v="7.4"/>
  </r>
  <r>
    <s v="148-41-7930"/>
    <s v="C"/>
    <x v="1"/>
    <x v="1"/>
    <x v="1"/>
    <x v="0"/>
    <n v="99.96"/>
    <n v="7"/>
    <n v="34.985999999999997"/>
    <n v="734.70600000000002"/>
    <x v="54"/>
    <d v="1899-12-30T10:33:00"/>
    <x v="1"/>
    <n v="699.72"/>
    <n v="4.7619047620000003"/>
    <n v="34.985999999999997"/>
    <n v="6.1"/>
  </r>
  <r>
    <s v="189-40-5216"/>
    <s v="C"/>
    <x v="1"/>
    <x v="1"/>
    <x v="1"/>
    <x v="1"/>
    <n v="96.37"/>
    <n v="7"/>
    <n v="33.729500000000002"/>
    <n v="708.31949999999995"/>
    <x v="51"/>
    <d v="1899-12-30T11:40:00"/>
    <x v="1"/>
    <n v="674.59"/>
    <n v="4.7619047620000003"/>
    <n v="33.729500000000002"/>
    <n v="6"/>
  </r>
  <r>
    <s v="374-38-5555"/>
    <s v="B"/>
    <x v="2"/>
    <x v="1"/>
    <x v="0"/>
    <x v="5"/>
    <n v="63.71"/>
    <n v="5"/>
    <n v="15.9275"/>
    <n v="334.47750000000002"/>
    <x v="13"/>
    <d v="1899-12-30T19:30:00"/>
    <x v="0"/>
    <n v="318.55"/>
    <n v="4.7619047620000003"/>
    <n v="15.9275"/>
    <n v="8.5"/>
  </r>
  <r>
    <s v="764-44-8999"/>
    <s v="B"/>
    <x v="2"/>
    <x v="1"/>
    <x v="0"/>
    <x v="0"/>
    <n v="14.76"/>
    <n v="2"/>
    <n v="1.476"/>
    <n v="30.995999999999999"/>
    <x v="67"/>
    <d v="1899-12-30T14:42:00"/>
    <x v="0"/>
    <n v="29.52"/>
    <n v="4.7619047620000003"/>
    <n v="1.476"/>
    <n v="4.3"/>
  </r>
  <r>
    <s v="552-44-5977"/>
    <s v="B"/>
    <x v="2"/>
    <x v="0"/>
    <x v="1"/>
    <x v="0"/>
    <n v="62"/>
    <n v="8"/>
    <n v="24.8"/>
    <n v="520.79999999999995"/>
    <x v="75"/>
    <d v="1899-12-30T19:08:00"/>
    <x v="2"/>
    <n v="496"/>
    <n v="4.7619047620000003"/>
    <n v="24.8"/>
    <n v="6.2"/>
  </r>
  <r>
    <s v="267-62-7380"/>
    <s v="C"/>
    <x v="1"/>
    <x v="0"/>
    <x v="1"/>
    <x v="1"/>
    <n v="82.34"/>
    <n v="10"/>
    <n v="41.17"/>
    <n v="864.57"/>
    <x v="14"/>
    <d v="1899-12-30T19:12:00"/>
    <x v="0"/>
    <n v="823.4"/>
    <n v="4.7619047620000003"/>
    <n v="41.17"/>
    <n v="4.3"/>
  </r>
  <r>
    <s v="430-53-4718"/>
    <s v="B"/>
    <x v="2"/>
    <x v="0"/>
    <x v="1"/>
    <x v="0"/>
    <n v="75.37"/>
    <n v="8"/>
    <n v="30.148"/>
    <n v="633.10799999999995"/>
    <x v="26"/>
    <d v="1899-12-30T15:46:00"/>
    <x v="2"/>
    <n v="602.96"/>
    <n v="4.7619047620000003"/>
    <n v="30.148"/>
    <n v="8.4"/>
  </r>
  <r>
    <s v="886-18-2897"/>
    <s v="A"/>
    <x v="0"/>
    <x v="1"/>
    <x v="0"/>
    <x v="4"/>
    <n v="56.56"/>
    <n v="5"/>
    <n v="14.14"/>
    <n v="296.94"/>
    <x v="23"/>
    <d v="1899-12-30T19:06:00"/>
    <x v="2"/>
    <n v="282.8"/>
    <n v="4.7619047620000003"/>
    <n v="14.14"/>
    <n v="4.5"/>
  </r>
  <r>
    <s v="602-16-6955"/>
    <s v="B"/>
    <x v="2"/>
    <x v="1"/>
    <x v="0"/>
    <x v="3"/>
    <n v="76.599999999999994"/>
    <n v="10"/>
    <n v="38.299999999999997"/>
    <n v="804.3"/>
    <x v="46"/>
    <d v="1899-12-30T18:10:00"/>
    <x v="0"/>
    <n v="766"/>
    <n v="4.7619047620000003"/>
    <n v="38.299999999999997"/>
    <n v="6"/>
  </r>
  <r>
    <s v="745-74-0715"/>
    <s v="A"/>
    <x v="0"/>
    <x v="1"/>
    <x v="1"/>
    <x v="1"/>
    <n v="58.03"/>
    <n v="2"/>
    <n v="5.8029999999999999"/>
    <n v="121.863"/>
    <x v="24"/>
    <d v="1899-12-30T20:46:00"/>
    <x v="0"/>
    <n v="116.06"/>
    <n v="4.7619047620000003"/>
    <n v="5.8029999999999999"/>
    <n v="8.8000000000000007"/>
  </r>
  <r>
    <s v="690-01-6631"/>
    <s v="B"/>
    <x v="2"/>
    <x v="1"/>
    <x v="1"/>
    <x v="5"/>
    <n v="17.489999999999998"/>
    <n v="10"/>
    <n v="8.7449999999999992"/>
    <n v="183.64500000000001"/>
    <x v="70"/>
    <d v="1899-12-30T18:35:00"/>
    <x v="0"/>
    <n v="174.9"/>
    <n v="4.7619047620000003"/>
    <n v="8.7449999999999992"/>
    <n v="6.6"/>
  </r>
  <r>
    <s v="652-49-6720"/>
    <s v="C"/>
    <x v="1"/>
    <x v="0"/>
    <x v="0"/>
    <x v="1"/>
    <n v="60.95"/>
    <n v="1"/>
    <n v="3.0474999999999999"/>
    <n v="63.997500000000002"/>
    <x v="67"/>
    <d v="1899-12-30T11:40:00"/>
    <x v="0"/>
    <n v="60.95"/>
    <n v="4.7619047620000003"/>
    <n v="3.0474999999999999"/>
    <n v="5.9"/>
  </r>
  <r>
    <s v="233-67-5758"/>
    <s v="C"/>
    <x v="1"/>
    <x v="1"/>
    <x v="1"/>
    <x v="0"/>
    <n v="40.35"/>
    <n v="1"/>
    <n v="2.0175000000000001"/>
    <n v="42.3675"/>
    <x v="71"/>
    <d v="1899-12-30T13:46:00"/>
    <x v="0"/>
    <n v="40.35"/>
    <n v="4.7619047620000003"/>
    <n v="2.0175000000000001"/>
    <n v="6.2"/>
  </r>
  <r>
    <s v="303-96-2227"/>
    <s v="B"/>
    <x v="2"/>
    <x v="1"/>
    <x v="0"/>
    <x v="2"/>
    <n v="97.38"/>
    <n v="10"/>
    <n v="48.69"/>
    <n v="1022.49"/>
    <x v="22"/>
    <d v="1899-12-30T17:16:00"/>
    <x v="0"/>
    <n v="973.8"/>
    <n v="4.7619047620000003"/>
    <n v="48.69"/>
    <n v="4.4000000000000004"/>
  </r>
  <r>
    <s v="727-02-1313"/>
    <s v="A"/>
    <x v="0"/>
    <x v="0"/>
    <x v="1"/>
    <x v="4"/>
    <n v="31.84"/>
    <n v="1"/>
    <n v="1.5920000000000001"/>
    <n v="33.432000000000002"/>
    <x v="57"/>
    <d v="1899-12-30T13:22:00"/>
    <x v="1"/>
    <n v="31.84"/>
    <n v="4.7619047620000003"/>
    <n v="1.5920000000000001"/>
    <n v="7.7"/>
  </r>
  <r>
    <s v="347-56-2442"/>
    <s v="A"/>
    <x v="0"/>
    <x v="1"/>
    <x v="1"/>
    <x v="2"/>
    <n v="65.819999999999993"/>
    <n v="1"/>
    <n v="3.2909999999999999"/>
    <n v="69.111000000000004"/>
    <x v="70"/>
    <d v="1899-12-30T15:33:00"/>
    <x v="1"/>
    <n v="65.819999999999993"/>
    <n v="4.7619047620000003"/>
    <n v="3.2909999999999999"/>
    <n v="4.0999999999999996"/>
  </r>
  <r>
    <s v="849-09-3807"/>
    <s v="A"/>
    <x v="0"/>
    <x v="0"/>
    <x v="0"/>
    <x v="5"/>
    <n v="88.34"/>
    <n v="7"/>
    <n v="30.919"/>
    <n v="649.29899999999998"/>
    <x v="67"/>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F6B66F-A25D-4B03-94A9-E5C17E1690F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9" firstHeaderRow="1" firstDataRow="1" firstDataCol="1"/>
  <pivotFields count="18">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items count="4">
        <item x="1"/>
        <item x="2"/>
        <item x="0"/>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x v="5"/>
    </i>
  </rowItems>
  <colItems count="1">
    <i/>
  </colItems>
  <dataFields count="1">
    <dataField name="Average of Rating" fld="16" subtotal="average" baseField="5"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C87A94-B1E2-4D8E-93CE-8E93AE219EB3}" name="Product with most Gross Incom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70:B76" firstHeaderRow="1" firstDataRow="1" firstDataCol="1"/>
  <pivotFields count="18">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items count="4">
        <item x="1"/>
        <item x="2"/>
        <item x="0"/>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x v="5"/>
    </i>
  </rowItems>
  <colItems count="1">
    <i/>
  </colItems>
  <dataFields count="1">
    <dataField name="Sum of gross income" fld="15"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B785EC-FA04-4632-9A8F-70226D4A7D17}" name="Most used Payment Method"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57:B60" firstHeaderRow="1" firstDataRow="1" firstDataCol="1"/>
  <pivotFields count="18">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axis="axisRow" dataField="1" showAll="0">
      <items count="4">
        <item x="1"/>
        <item x="2"/>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2"/>
  </rowFields>
  <rowItems count="3">
    <i>
      <x/>
    </i>
    <i>
      <x v="1"/>
    </i>
    <i>
      <x v="2"/>
    </i>
  </rowItems>
  <colItems count="1">
    <i/>
  </colItems>
  <dataFields count="1">
    <dataField name="Count of Payment" fld="12" subtotal="count" baseField="0" baseItem="0"/>
  </dataFields>
  <chartFormats count="8">
    <chartFormat chart="7"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2" count="1" selected="0">
            <x v="0"/>
          </reference>
        </references>
      </pivotArea>
    </chartFormat>
    <chartFormat chart="9" format="7">
      <pivotArea type="data" outline="0" fieldPosition="0">
        <references count="2">
          <reference field="4294967294" count="1" selected="0">
            <x v="0"/>
          </reference>
          <reference field="12" count="1" selected="0">
            <x v="1"/>
          </reference>
        </references>
      </pivotArea>
    </chartFormat>
    <chartFormat chart="9" format="8">
      <pivotArea type="data" outline="0" fieldPosition="0">
        <references count="2">
          <reference field="4294967294" count="1" selected="0">
            <x v="0"/>
          </reference>
          <reference field="12" count="1" selected="0">
            <x v="2"/>
          </reference>
        </references>
      </pivotArea>
    </chartFormat>
    <chartFormat chart="7" format="1">
      <pivotArea type="data" outline="0" fieldPosition="0">
        <references count="2">
          <reference field="4294967294" count="1" selected="0">
            <x v="0"/>
          </reference>
          <reference field="12" count="1" selected="0">
            <x v="0"/>
          </reference>
        </references>
      </pivotArea>
    </chartFormat>
    <chartFormat chart="7" format="2">
      <pivotArea type="data" outline="0" fieldPosition="0">
        <references count="2">
          <reference field="4294967294" count="1" selected="0">
            <x v="0"/>
          </reference>
          <reference field="12" count="1" selected="0">
            <x v="1"/>
          </reference>
        </references>
      </pivotArea>
    </chartFormat>
    <chartFormat chart="7"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BC7171-4CF8-4190-B56B-FDB39336591E}" name="Most Revenue Cit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43:B46" firstHeaderRow="1" firstDataRow="1" firstDataCol="1"/>
  <pivotFields count="18">
    <pivotField showAll="0"/>
    <pivotField showAll="0"/>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items count="4">
        <item x="1"/>
        <item x="2"/>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3">
    <i>
      <x/>
    </i>
    <i>
      <x v="1"/>
    </i>
    <i>
      <x v="2"/>
    </i>
  </rowItems>
  <colItems count="1">
    <i/>
  </colItems>
  <dataFields count="1">
    <dataField name="Sum of Total" fld="9"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652694-D25D-4D89-AFBB-4518D4F593FE}" name="Product by Cit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19:B40" firstHeaderRow="1" firstDataRow="1" firstDataCol="1"/>
  <pivotFields count="18">
    <pivotField showAll="0"/>
    <pivotField showAll="0"/>
    <pivotField axis="axisRow" showAll="0">
      <items count="4">
        <item x="2"/>
        <item x="1"/>
        <item x="0"/>
        <item t="default"/>
      </items>
    </pivotField>
    <pivotField showAll="0">
      <items count="3">
        <item x="0"/>
        <item x="1"/>
        <item t="default"/>
      </items>
    </pivotField>
    <pivotField showAll="0">
      <items count="3">
        <item x="0"/>
        <item x="1"/>
        <item t="default"/>
      </items>
    </pivotField>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items count="4">
        <item x="1"/>
        <item x="2"/>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2">
    <field x="2"/>
    <field x="5"/>
  </rowFields>
  <rowItems count="21">
    <i>
      <x/>
    </i>
    <i r="1">
      <x v="5"/>
    </i>
    <i r="1">
      <x v="3"/>
    </i>
    <i r="1">
      <x/>
    </i>
    <i r="1">
      <x v="1"/>
    </i>
    <i r="1">
      <x v="4"/>
    </i>
    <i r="1">
      <x v="2"/>
    </i>
    <i>
      <x v="1"/>
    </i>
    <i r="1">
      <x v="2"/>
    </i>
    <i r="1">
      <x v="1"/>
    </i>
    <i r="1">
      <x/>
    </i>
    <i r="1">
      <x v="3"/>
    </i>
    <i r="1">
      <x v="5"/>
    </i>
    <i r="1">
      <x v="4"/>
    </i>
    <i>
      <x v="2"/>
    </i>
    <i r="1">
      <x v="4"/>
    </i>
    <i r="1">
      <x v="5"/>
    </i>
    <i r="1">
      <x/>
    </i>
    <i r="1">
      <x v="2"/>
    </i>
    <i r="1">
      <x v="1"/>
    </i>
    <i r="1">
      <x v="3"/>
    </i>
  </rowItems>
  <colItems count="1">
    <i/>
  </colItems>
  <dataFields count="1">
    <dataField name="Sum of Quantity" fld="7"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866D83-745E-4605-AA87-2ABE2F009476}"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97:E98" firstHeaderRow="0" firstDataRow="1" firstDataCol="0"/>
  <pivotFields count="18">
    <pivotField dataField="1"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dataField="1"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items count="4">
        <item x="1"/>
        <item x="2"/>
        <item x="0"/>
        <item t="default"/>
      </items>
    </pivotField>
    <pivotField showAll="0"/>
    <pivotField showAll="0"/>
    <pivotField dataField="1" showAll="0"/>
    <pivotField dataField="1" showAll="0"/>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Sum of Total" fld="9" baseField="0" baseItem="0"/>
    <dataField name="Count of Invoice ID" fld="0" subtotal="count" baseField="0" baseItem="0"/>
    <dataField name="Average of Rating" fld="16" subtotal="average" baseField="0" baseItem="1"/>
    <dataField name="Sum of gross income" fld="15" baseField="0" baseItem="0"/>
    <dataField name="Sum of Quantity" fld="7" baseField="0" baseItem="0"/>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9E4A2E-CD72-43A0-BD50-DE22C045F2C6}" name="Trend by 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82:B85" firstHeaderRow="1" firstDataRow="1" firstDataCol="1"/>
  <pivotFields count="18">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items count="4">
        <item x="1"/>
        <item x="2"/>
        <item x="0"/>
        <item t="default"/>
      </items>
    </pivotField>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17"/>
  </rowFields>
  <rowItems count="3">
    <i>
      <x v="1"/>
    </i>
    <i>
      <x v="2"/>
    </i>
    <i>
      <x v="3"/>
    </i>
  </rowItems>
  <colItems count="1">
    <i/>
  </colItems>
  <dataFields count="1">
    <dataField name="Sum of Total" fld="9" baseField="0" baseItem="0"/>
  </dataFields>
  <chartFormats count="3">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0450E13-4940-4544-8A44-3FA235575E45}" sourceName="City">
  <pivotTables>
    <pivotTable tabId="2" name="Most used Payment Method"/>
    <pivotTable tabId="2" name="Most Revenue City"/>
    <pivotTable tabId="2" name="PivotTable1"/>
    <pivotTable tabId="2" name="PivotTable7"/>
    <pivotTable tabId="2" name="Product by City"/>
    <pivotTable tabId="2" name="Product with most Gross Income"/>
    <pivotTable tabId="2" name="Trend by Sales"/>
  </pivotTables>
  <data>
    <tabular pivotCacheId="141052568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84C988EA-084A-4249-865B-9D05264DDC85}" sourceName="Customer type">
  <pivotTables>
    <pivotTable tabId="2" name="Most used Payment Method"/>
    <pivotTable tabId="2" name="Most Revenue City"/>
    <pivotTable tabId="2" name="PivotTable1"/>
    <pivotTable tabId="2" name="PivotTable7"/>
    <pivotTable tabId="2" name="Product by City"/>
    <pivotTable tabId="2" name="Product with most Gross Income"/>
    <pivotTable tabId="2" name="Trend by Sales"/>
  </pivotTables>
  <data>
    <tabular pivotCacheId="141052568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D8EA695-B3C7-4ABB-8C8B-7C29CEBDED24}" sourceName="Gender">
  <pivotTables>
    <pivotTable tabId="2" name="Most used Payment Method"/>
    <pivotTable tabId="2" name="Most Revenue City"/>
    <pivotTable tabId="2" name="PivotTable1"/>
    <pivotTable tabId="2" name="PivotTable7"/>
    <pivotTable tabId="2" name="Product by City"/>
    <pivotTable tabId="2" name="Product with most Gross Income"/>
    <pivotTable tabId="2" name="Trend by Sales"/>
  </pivotTables>
  <data>
    <tabular pivotCacheId="141052568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3DA51C74-6068-4AA1-827D-F8A70F822D30}" sourceName="Product line">
  <pivotTables>
    <pivotTable tabId="2" name="Most used Payment Method"/>
    <pivotTable tabId="2" name="Most Revenue City"/>
    <pivotTable tabId="2" name="PivotTable1"/>
    <pivotTable tabId="2" name="PivotTable7"/>
    <pivotTable tabId="2" name="Product by City"/>
    <pivotTable tabId="2" name="Product with most Gross Income"/>
    <pivotTable tabId="2" name="Trend by Sales"/>
  </pivotTables>
  <data>
    <tabular pivotCacheId="1410525688">
      <items count="6">
        <i x="1" s="1"/>
        <i x="5" s="1"/>
        <i x="4"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C29B3F44-EB58-446A-88B0-5A4BC4FCA5B3}" sourceName="Payment">
  <pivotTables>
    <pivotTable tabId="2" name="Most used Payment Method"/>
    <pivotTable tabId="2" name="Most Revenue City"/>
    <pivotTable tabId="2" name="PivotTable1"/>
    <pivotTable tabId="2" name="PivotTable7"/>
    <pivotTable tabId="2" name="Product by City"/>
    <pivotTable tabId="2" name="Product with most Gross Income"/>
    <pivotTable tabId="2" name="Trend by Sales"/>
  </pivotTables>
  <data>
    <tabular pivotCacheId="141052568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81FC807-2F2B-49E3-BE98-EAC75B192CFA}" cache="Slicer_City" caption="City" rowHeight="234950"/>
  <slicer name="Customer type" xr10:uid="{E05D9E57-E37F-427E-8F4E-14146BE063D8}" cache="Slicer_Customer_type" caption="Customer type" rowHeight="234950"/>
  <slicer name="Gender" xr10:uid="{65575969-9FB7-4F17-81E9-B940B5F9A6A3}" cache="Slicer_Gender" caption="Gender" rowHeight="234950"/>
  <slicer name="Product line" xr10:uid="{773CF765-498C-4CCA-AA7B-09CE3239B2DA}" cache="Slicer_Product_line" caption="Product line" rowHeight="234950"/>
  <slicer name="Payment" xr10:uid="{7208F550-C8F1-42AC-BAAE-2024D788596F}" cache="Slicer_Payment" caption="Payment" rowHeight="234950"/>
</slicers>
</file>

<file path=xl/theme/theme1.xml><?xml version="1.0" encoding="utf-8"?>
<a:theme xmlns:a="http://schemas.openxmlformats.org/drawingml/2006/main" name="Office Theme 2007 - 2010">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00C0E-4973-4BC0-BFF8-7D5883FFBFB1}">
  <dimension ref="A3:E98"/>
  <sheetViews>
    <sheetView topLeftCell="A75" workbookViewId="0">
      <selection activeCell="A97" sqref="A97:B100"/>
    </sheetView>
  </sheetViews>
  <sheetFormatPr defaultRowHeight="14.4" x14ac:dyDescent="0.3"/>
  <cols>
    <col min="1" max="1" width="12.5546875" bestFit="1" customWidth="1"/>
    <col min="2" max="2" width="16.44140625" bestFit="1" customWidth="1"/>
    <col min="3" max="3" width="16" bestFit="1" customWidth="1"/>
    <col min="4" max="4" width="18.6640625" bestFit="1" customWidth="1"/>
    <col min="5" max="5" width="14.88671875" bestFit="1" customWidth="1"/>
  </cols>
  <sheetData>
    <row r="3" spans="1:2" x14ac:dyDescent="0.3">
      <c r="A3" s="3" t="s">
        <v>1036</v>
      </c>
      <c r="B3" t="s">
        <v>1037</v>
      </c>
    </row>
    <row r="4" spans="1:2" x14ac:dyDescent="0.3">
      <c r="A4" s="4" t="s">
        <v>28</v>
      </c>
      <c r="B4">
        <v>6.9247058823529404</v>
      </c>
    </row>
    <row r="5" spans="1:2" x14ac:dyDescent="0.3">
      <c r="A5" s="4" t="s">
        <v>46</v>
      </c>
      <c r="B5">
        <v>7.0292134831460666</v>
      </c>
    </row>
    <row r="6" spans="1:2" x14ac:dyDescent="0.3">
      <c r="A6" s="4" t="s">
        <v>44</v>
      </c>
      <c r="B6">
        <v>7.1132183908045983</v>
      </c>
    </row>
    <row r="7" spans="1:2" x14ac:dyDescent="0.3">
      <c r="A7" s="4" t="s">
        <v>22</v>
      </c>
      <c r="B7">
        <v>7.0032894736842124</v>
      </c>
    </row>
    <row r="8" spans="1:2" x14ac:dyDescent="0.3">
      <c r="A8" s="4" t="s">
        <v>32</v>
      </c>
      <c r="B8">
        <v>6.8375000000000004</v>
      </c>
    </row>
    <row r="9" spans="1:2" x14ac:dyDescent="0.3">
      <c r="A9" s="4" t="s">
        <v>36</v>
      </c>
      <c r="B9">
        <v>6.9162650602409643</v>
      </c>
    </row>
    <row r="19" spans="1:2" x14ac:dyDescent="0.3">
      <c r="A19" s="3" t="s">
        <v>1036</v>
      </c>
      <c r="B19" t="s">
        <v>1038</v>
      </c>
    </row>
    <row r="20" spans="1:2" x14ac:dyDescent="0.3">
      <c r="A20" s="4" t="s">
        <v>43</v>
      </c>
      <c r="B20">
        <v>1820</v>
      </c>
    </row>
    <row r="21" spans="1:2" x14ac:dyDescent="0.3">
      <c r="A21" s="5" t="s">
        <v>36</v>
      </c>
      <c r="B21">
        <v>322</v>
      </c>
    </row>
    <row r="22" spans="1:2" x14ac:dyDescent="0.3">
      <c r="A22" s="5" t="s">
        <v>22</v>
      </c>
      <c r="B22">
        <v>320</v>
      </c>
    </row>
    <row r="23" spans="1:2" x14ac:dyDescent="0.3">
      <c r="A23" s="5" t="s">
        <v>28</v>
      </c>
      <c r="B23">
        <v>316</v>
      </c>
    </row>
    <row r="24" spans="1:2" x14ac:dyDescent="0.3">
      <c r="A24" s="5" t="s">
        <v>46</v>
      </c>
      <c r="B24">
        <v>297</v>
      </c>
    </row>
    <row r="25" spans="1:2" x14ac:dyDescent="0.3">
      <c r="A25" s="5" t="s">
        <v>32</v>
      </c>
      <c r="B25">
        <v>295</v>
      </c>
    </row>
    <row r="26" spans="1:2" x14ac:dyDescent="0.3">
      <c r="A26" s="5" t="s">
        <v>44</v>
      </c>
      <c r="B26">
        <v>270</v>
      </c>
    </row>
    <row r="27" spans="1:2" x14ac:dyDescent="0.3">
      <c r="A27" s="4" t="s">
        <v>26</v>
      </c>
      <c r="B27">
        <v>1831</v>
      </c>
    </row>
    <row r="28" spans="1:2" x14ac:dyDescent="0.3">
      <c r="A28" s="5" t="s">
        <v>44</v>
      </c>
      <c r="B28">
        <v>369</v>
      </c>
    </row>
    <row r="29" spans="1:2" x14ac:dyDescent="0.3">
      <c r="A29" s="5" t="s">
        <v>46</v>
      </c>
      <c r="B29">
        <v>342</v>
      </c>
    </row>
    <row r="30" spans="1:2" x14ac:dyDescent="0.3">
      <c r="A30" s="5" t="s">
        <v>28</v>
      </c>
      <c r="B30">
        <v>333</v>
      </c>
    </row>
    <row r="31" spans="1:2" x14ac:dyDescent="0.3">
      <c r="A31" s="5" t="s">
        <v>22</v>
      </c>
      <c r="B31">
        <v>277</v>
      </c>
    </row>
    <row r="32" spans="1:2" x14ac:dyDescent="0.3">
      <c r="A32" s="5" t="s">
        <v>36</v>
      </c>
      <c r="B32">
        <v>265</v>
      </c>
    </row>
    <row r="33" spans="1:2" x14ac:dyDescent="0.3">
      <c r="A33" s="5" t="s">
        <v>32</v>
      </c>
      <c r="B33">
        <v>245</v>
      </c>
    </row>
    <row r="34" spans="1:2" x14ac:dyDescent="0.3">
      <c r="A34" s="4" t="s">
        <v>19</v>
      </c>
      <c r="B34">
        <v>1859</v>
      </c>
    </row>
    <row r="35" spans="1:2" x14ac:dyDescent="0.3">
      <c r="A35" s="5" t="s">
        <v>32</v>
      </c>
      <c r="B35">
        <v>371</v>
      </c>
    </row>
    <row r="36" spans="1:2" x14ac:dyDescent="0.3">
      <c r="A36" s="5" t="s">
        <v>36</v>
      </c>
      <c r="B36">
        <v>333</v>
      </c>
    </row>
    <row r="37" spans="1:2" x14ac:dyDescent="0.3">
      <c r="A37" s="5" t="s">
        <v>28</v>
      </c>
      <c r="B37">
        <v>322</v>
      </c>
    </row>
    <row r="38" spans="1:2" x14ac:dyDescent="0.3">
      <c r="A38" s="5" t="s">
        <v>44</v>
      </c>
      <c r="B38">
        <v>313</v>
      </c>
    </row>
    <row r="39" spans="1:2" x14ac:dyDescent="0.3">
      <c r="A39" s="5" t="s">
        <v>46</v>
      </c>
      <c r="B39">
        <v>263</v>
      </c>
    </row>
    <row r="40" spans="1:2" x14ac:dyDescent="0.3">
      <c r="A40" s="5" t="s">
        <v>22</v>
      </c>
      <c r="B40">
        <v>257</v>
      </c>
    </row>
    <row r="43" spans="1:2" x14ac:dyDescent="0.3">
      <c r="A43" s="3" t="s">
        <v>1036</v>
      </c>
      <c r="B43" t="s">
        <v>1039</v>
      </c>
    </row>
    <row r="44" spans="1:2" x14ac:dyDescent="0.3">
      <c r="A44" s="4" t="s">
        <v>43</v>
      </c>
      <c r="B44">
        <v>106197.67199999996</v>
      </c>
    </row>
    <row r="45" spans="1:2" x14ac:dyDescent="0.3">
      <c r="A45" s="4" t="s">
        <v>26</v>
      </c>
      <c r="B45">
        <v>110568.70649999994</v>
      </c>
    </row>
    <row r="46" spans="1:2" x14ac:dyDescent="0.3">
      <c r="A46" s="4" t="s">
        <v>19</v>
      </c>
      <c r="B46">
        <v>106200.37050000011</v>
      </c>
    </row>
    <row r="57" spans="1:2" x14ac:dyDescent="0.3">
      <c r="A57" s="3" t="s">
        <v>1036</v>
      </c>
      <c r="B57" t="s">
        <v>1040</v>
      </c>
    </row>
    <row r="58" spans="1:2" x14ac:dyDescent="0.3">
      <c r="A58" s="4" t="s">
        <v>29</v>
      </c>
      <c r="B58">
        <v>344</v>
      </c>
    </row>
    <row r="59" spans="1:2" x14ac:dyDescent="0.3">
      <c r="A59" s="4" t="s">
        <v>33</v>
      </c>
      <c r="B59">
        <v>311</v>
      </c>
    </row>
    <row r="60" spans="1:2" x14ac:dyDescent="0.3">
      <c r="A60" s="4" t="s">
        <v>23</v>
      </c>
      <c r="B60">
        <v>345</v>
      </c>
    </row>
    <row r="70" spans="1:2" x14ac:dyDescent="0.3">
      <c r="A70" s="3" t="s">
        <v>1036</v>
      </c>
      <c r="B70" t="s">
        <v>1041</v>
      </c>
    </row>
    <row r="71" spans="1:2" x14ac:dyDescent="0.3">
      <c r="A71" s="4" t="s">
        <v>28</v>
      </c>
      <c r="B71">
        <v>2587.5015000000017</v>
      </c>
    </row>
    <row r="72" spans="1:2" x14ac:dyDescent="0.3">
      <c r="A72" s="4" t="s">
        <v>46</v>
      </c>
      <c r="B72">
        <v>2585.9949999999999</v>
      </c>
    </row>
    <row r="73" spans="1:2" x14ac:dyDescent="0.3">
      <c r="A73" s="4" t="s">
        <v>44</v>
      </c>
      <c r="B73">
        <v>2673.5639999999994</v>
      </c>
    </row>
    <row r="74" spans="1:2" x14ac:dyDescent="0.3">
      <c r="A74" s="4" t="s">
        <v>22</v>
      </c>
      <c r="B74">
        <v>2342.5589999999993</v>
      </c>
    </row>
    <row r="75" spans="1:2" x14ac:dyDescent="0.3">
      <c r="A75" s="4" t="s">
        <v>32</v>
      </c>
      <c r="B75">
        <v>2564.8530000000019</v>
      </c>
    </row>
    <row r="76" spans="1:2" x14ac:dyDescent="0.3">
      <c r="A76" s="4" t="s">
        <v>36</v>
      </c>
      <c r="B76">
        <v>2624.8964999999994</v>
      </c>
    </row>
    <row r="82" spans="1:2" x14ac:dyDescent="0.3">
      <c r="A82" s="3" t="s">
        <v>1036</v>
      </c>
      <c r="B82" t="s">
        <v>1039</v>
      </c>
    </row>
    <row r="83" spans="1:2" x14ac:dyDescent="0.3">
      <c r="A83" s="4" t="s">
        <v>1042</v>
      </c>
      <c r="B83">
        <v>116291.86800000005</v>
      </c>
    </row>
    <row r="84" spans="1:2" x14ac:dyDescent="0.3">
      <c r="A84" s="4" t="s">
        <v>1043</v>
      </c>
      <c r="B84">
        <v>97219.373999999967</v>
      </c>
    </row>
    <row r="85" spans="1:2" x14ac:dyDescent="0.3">
      <c r="A85" s="4" t="s">
        <v>1044</v>
      </c>
      <c r="B85">
        <v>109455.50700000004</v>
      </c>
    </row>
    <row r="97" spans="1:5" x14ac:dyDescent="0.3">
      <c r="A97" t="s">
        <v>1039</v>
      </c>
      <c r="B97" t="s">
        <v>1045</v>
      </c>
      <c r="C97" t="s">
        <v>1037</v>
      </c>
      <c r="D97" t="s">
        <v>1041</v>
      </c>
      <c r="E97" t="s">
        <v>1038</v>
      </c>
    </row>
    <row r="98" spans="1:5" x14ac:dyDescent="0.3">
      <c r="A98">
        <v>322966.74900000007</v>
      </c>
      <c r="B98">
        <v>1000</v>
      </c>
      <c r="C98">
        <v>6.9727000000000032</v>
      </c>
      <c r="D98">
        <v>15379.369000000002</v>
      </c>
      <c r="E98">
        <v>5510</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14A90-B598-4F64-B399-07C4F7A9BD77}">
  <dimension ref="A1:AAL323"/>
  <sheetViews>
    <sheetView tabSelected="1" zoomScale="41" workbookViewId="0">
      <selection activeCell="AQ1" sqref="AQ1:AAL1048576"/>
    </sheetView>
  </sheetViews>
  <sheetFormatPr defaultRowHeight="14.4" x14ac:dyDescent="0.3"/>
  <cols>
    <col min="24" max="24" width="16.88671875" customWidth="1"/>
    <col min="25" max="25" width="8.88671875" style="6" customWidth="1"/>
    <col min="26" max="41" width="8.88671875" style="6"/>
    <col min="42" max="42" width="5.109375" customWidth="1"/>
    <col min="43" max="714" width="8.88671875" style="11"/>
  </cols>
  <sheetData>
    <row r="1" spans="1:714" x14ac:dyDescent="0.3">
      <c r="A1" s="6"/>
      <c r="B1" s="10" t="s">
        <v>1046</v>
      </c>
      <c r="C1" s="10"/>
      <c r="D1" s="10"/>
      <c r="E1" s="10"/>
      <c r="F1" s="10"/>
      <c r="G1" s="10"/>
      <c r="H1" s="10"/>
      <c r="I1" s="10"/>
      <c r="J1" s="10"/>
      <c r="K1" s="10"/>
      <c r="L1" s="10"/>
      <c r="M1" s="10"/>
      <c r="N1" s="10"/>
      <c r="O1" s="10"/>
      <c r="P1" s="10"/>
      <c r="Q1" s="10"/>
      <c r="R1" s="10"/>
      <c r="S1" s="10"/>
      <c r="T1" s="10"/>
      <c r="U1" s="10"/>
      <c r="V1" s="10"/>
      <c r="W1" s="10"/>
      <c r="X1" s="10"/>
      <c r="Z1" s="11"/>
      <c r="AA1" s="11"/>
      <c r="AB1" s="11"/>
      <c r="AC1" s="11"/>
      <c r="AD1" s="11"/>
      <c r="AE1" s="11"/>
      <c r="AF1" s="11"/>
      <c r="AG1" s="11"/>
      <c r="AH1" s="11"/>
      <c r="AI1" s="11"/>
      <c r="AJ1" s="11"/>
      <c r="AK1" s="11"/>
      <c r="AL1" s="11"/>
      <c r="AM1" s="11"/>
      <c r="AN1" s="11"/>
      <c r="AO1" s="11"/>
      <c r="AP1" s="11"/>
    </row>
    <row r="2" spans="1:714" ht="34.799999999999997" customHeight="1" x14ac:dyDescent="0.3">
      <c r="A2" s="6"/>
      <c r="B2" s="10"/>
      <c r="C2" s="10"/>
      <c r="D2" s="10"/>
      <c r="E2" s="10"/>
      <c r="F2" s="10"/>
      <c r="G2" s="10"/>
      <c r="H2" s="10"/>
      <c r="I2" s="10"/>
      <c r="J2" s="10"/>
      <c r="K2" s="10"/>
      <c r="L2" s="10"/>
      <c r="M2" s="10"/>
      <c r="N2" s="10"/>
      <c r="O2" s="10"/>
      <c r="P2" s="10"/>
      <c r="Q2" s="10"/>
      <c r="R2" s="10"/>
      <c r="S2" s="10"/>
      <c r="T2" s="10"/>
      <c r="U2" s="10"/>
      <c r="V2" s="10"/>
      <c r="W2" s="10"/>
      <c r="X2" s="10"/>
      <c r="Z2" s="11"/>
      <c r="AA2" s="11"/>
      <c r="AB2" s="11"/>
      <c r="AC2" s="11"/>
      <c r="AD2" s="11"/>
      <c r="AE2" s="11"/>
      <c r="AF2" s="11"/>
      <c r="AG2" s="11"/>
      <c r="AH2" s="11"/>
      <c r="AI2" s="11"/>
      <c r="AJ2" s="11"/>
      <c r="AK2" s="11"/>
      <c r="AL2" s="11"/>
      <c r="AM2" s="11"/>
      <c r="AN2" s="11"/>
      <c r="AO2" s="11"/>
      <c r="AP2" s="11"/>
    </row>
    <row r="3" spans="1:714" s="9" customFormat="1" ht="17.399999999999999" x14ac:dyDescent="0.3">
      <c r="A3" s="8"/>
      <c r="B3" s="7" t="s">
        <v>1047</v>
      </c>
      <c r="C3" s="7"/>
      <c r="D3" s="7"/>
      <c r="E3" s="7"/>
      <c r="F3" s="7" t="s">
        <v>1048</v>
      </c>
      <c r="G3" s="7"/>
      <c r="H3" s="7"/>
      <c r="I3" s="7"/>
      <c r="J3" s="7" t="s">
        <v>1049</v>
      </c>
      <c r="K3" s="7"/>
      <c r="L3" s="7"/>
      <c r="M3" s="7"/>
      <c r="N3" s="7" t="s">
        <v>1050</v>
      </c>
      <c r="O3" s="7"/>
      <c r="P3" s="7"/>
      <c r="Q3" s="7"/>
      <c r="R3" s="7" t="s">
        <v>1051</v>
      </c>
      <c r="S3" s="7"/>
      <c r="T3" s="7"/>
      <c r="U3" s="7"/>
      <c r="V3" s="7" t="s">
        <v>1052</v>
      </c>
      <c r="W3" s="7"/>
      <c r="X3" s="7"/>
      <c r="Y3" s="8"/>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c r="IW3" s="12"/>
      <c r="IX3" s="12"/>
      <c r="IY3" s="12"/>
      <c r="IZ3" s="12"/>
      <c r="JA3" s="12"/>
      <c r="JB3" s="12"/>
      <c r="JC3" s="12"/>
      <c r="JD3" s="12"/>
      <c r="JE3" s="12"/>
      <c r="JF3" s="12"/>
      <c r="JG3" s="12"/>
      <c r="JH3" s="12"/>
      <c r="JI3" s="12"/>
      <c r="JJ3" s="12"/>
      <c r="JK3" s="12"/>
      <c r="JL3" s="12"/>
      <c r="JM3" s="12"/>
      <c r="JN3" s="12"/>
      <c r="JO3" s="12"/>
      <c r="JP3" s="12"/>
      <c r="JQ3" s="12"/>
      <c r="JR3" s="12"/>
      <c r="JS3" s="12"/>
      <c r="JT3" s="12"/>
      <c r="JU3" s="12"/>
      <c r="JV3" s="12"/>
      <c r="JW3" s="12"/>
      <c r="JX3" s="12"/>
      <c r="JY3" s="12"/>
      <c r="JZ3" s="12"/>
      <c r="KA3" s="12"/>
      <c r="KB3" s="12"/>
      <c r="KC3" s="12"/>
      <c r="KD3" s="12"/>
      <c r="KE3" s="12"/>
      <c r="KF3" s="12"/>
      <c r="KG3" s="12"/>
      <c r="KH3" s="12"/>
      <c r="KI3" s="12"/>
      <c r="KJ3" s="12"/>
      <c r="KK3" s="12"/>
      <c r="KL3" s="12"/>
      <c r="KM3" s="12"/>
      <c r="KN3" s="12"/>
      <c r="KO3" s="12"/>
      <c r="KP3" s="12"/>
      <c r="KQ3" s="12"/>
      <c r="KR3" s="12"/>
      <c r="KS3" s="12"/>
      <c r="KT3" s="12"/>
      <c r="KU3" s="12"/>
      <c r="KV3" s="12"/>
      <c r="KW3" s="12"/>
      <c r="KX3" s="12"/>
      <c r="KY3" s="12"/>
      <c r="KZ3" s="12"/>
      <c r="LA3" s="12"/>
      <c r="LB3" s="12"/>
      <c r="LC3" s="12"/>
      <c r="LD3" s="12"/>
      <c r="LE3" s="12"/>
      <c r="LF3" s="12"/>
      <c r="LG3" s="12"/>
      <c r="LH3" s="12"/>
      <c r="LI3" s="12"/>
      <c r="LJ3" s="12"/>
      <c r="LK3" s="12"/>
      <c r="LL3" s="12"/>
      <c r="LM3" s="12"/>
      <c r="LN3" s="12"/>
      <c r="LO3" s="12"/>
      <c r="LP3" s="12"/>
      <c r="LQ3" s="12"/>
      <c r="LR3" s="12"/>
      <c r="LS3" s="12"/>
      <c r="LT3" s="12"/>
      <c r="LU3" s="12"/>
      <c r="LV3" s="12"/>
      <c r="LW3" s="12"/>
      <c r="LX3" s="12"/>
      <c r="LY3" s="12"/>
      <c r="LZ3" s="12"/>
      <c r="MA3" s="12"/>
      <c r="MB3" s="12"/>
      <c r="MC3" s="12"/>
      <c r="MD3" s="12"/>
      <c r="ME3" s="12"/>
      <c r="MF3" s="12"/>
      <c r="MG3" s="12"/>
      <c r="MH3" s="12"/>
      <c r="MI3" s="12"/>
      <c r="MJ3" s="12"/>
      <c r="MK3" s="12"/>
      <c r="ML3" s="12"/>
      <c r="MM3" s="12"/>
      <c r="MN3" s="12"/>
      <c r="MO3" s="12"/>
      <c r="MP3" s="12"/>
      <c r="MQ3" s="12"/>
      <c r="MR3" s="12"/>
      <c r="MS3" s="12"/>
      <c r="MT3" s="12"/>
      <c r="MU3" s="12"/>
      <c r="MV3" s="12"/>
      <c r="MW3" s="12"/>
      <c r="MX3" s="12"/>
      <c r="MY3" s="12"/>
      <c r="MZ3" s="12"/>
      <c r="NA3" s="12"/>
      <c r="NB3" s="12"/>
      <c r="NC3" s="12"/>
      <c r="ND3" s="12"/>
      <c r="NE3" s="12"/>
      <c r="NF3" s="12"/>
      <c r="NG3" s="12"/>
      <c r="NH3" s="12"/>
      <c r="NI3" s="12"/>
      <c r="NJ3" s="12"/>
      <c r="NK3" s="12"/>
      <c r="NL3" s="12"/>
      <c r="NM3" s="12"/>
      <c r="NN3" s="12"/>
      <c r="NO3" s="12"/>
      <c r="NP3" s="12"/>
      <c r="NQ3" s="12"/>
      <c r="NR3" s="12"/>
      <c r="NS3" s="12"/>
      <c r="NT3" s="12"/>
      <c r="NU3" s="12"/>
      <c r="NV3" s="12"/>
      <c r="NW3" s="12"/>
      <c r="NX3" s="12"/>
      <c r="NY3" s="12"/>
      <c r="NZ3" s="12"/>
      <c r="OA3" s="12"/>
      <c r="OB3" s="12"/>
      <c r="OC3" s="12"/>
      <c r="OD3" s="12"/>
      <c r="OE3" s="12"/>
      <c r="OF3" s="12"/>
      <c r="OG3" s="12"/>
      <c r="OH3" s="12"/>
      <c r="OI3" s="12"/>
      <c r="OJ3" s="12"/>
      <c r="OK3" s="12"/>
      <c r="OL3" s="12"/>
      <c r="OM3" s="12"/>
      <c r="ON3" s="12"/>
      <c r="OO3" s="12"/>
      <c r="OP3" s="12"/>
      <c r="OQ3" s="12"/>
      <c r="OR3" s="12"/>
      <c r="OS3" s="12"/>
      <c r="OT3" s="12"/>
      <c r="OU3" s="12"/>
      <c r="OV3" s="12"/>
      <c r="OW3" s="12"/>
      <c r="OX3" s="12"/>
      <c r="OY3" s="12"/>
      <c r="OZ3" s="12"/>
      <c r="PA3" s="12"/>
      <c r="PB3" s="12"/>
      <c r="PC3" s="12"/>
      <c r="PD3" s="12"/>
      <c r="PE3" s="12"/>
      <c r="PF3" s="12"/>
      <c r="PG3" s="12"/>
      <c r="PH3" s="12"/>
      <c r="PI3" s="12"/>
      <c r="PJ3" s="12"/>
      <c r="PK3" s="12"/>
      <c r="PL3" s="12"/>
      <c r="PM3" s="12"/>
      <c r="PN3" s="12"/>
      <c r="PO3" s="12"/>
      <c r="PP3" s="12"/>
      <c r="PQ3" s="12"/>
      <c r="PR3" s="12"/>
      <c r="PS3" s="12"/>
      <c r="PT3" s="12"/>
      <c r="PU3" s="12"/>
      <c r="PV3" s="12"/>
      <c r="PW3" s="12"/>
      <c r="PX3" s="12"/>
      <c r="PY3" s="12"/>
      <c r="PZ3" s="12"/>
      <c r="QA3" s="12"/>
      <c r="QB3" s="12"/>
      <c r="QC3" s="12"/>
      <c r="QD3" s="12"/>
      <c r="QE3" s="12"/>
      <c r="QF3" s="12"/>
      <c r="QG3" s="12"/>
      <c r="QH3" s="12"/>
      <c r="QI3" s="12"/>
      <c r="QJ3" s="12"/>
      <c r="QK3" s="12"/>
      <c r="QL3" s="12"/>
      <c r="QM3" s="12"/>
      <c r="QN3" s="12"/>
      <c r="QO3" s="12"/>
      <c r="QP3" s="12"/>
      <c r="QQ3" s="12"/>
      <c r="QR3" s="12"/>
      <c r="QS3" s="12"/>
      <c r="QT3" s="12"/>
      <c r="QU3" s="12"/>
      <c r="QV3" s="12"/>
      <c r="QW3" s="12"/>
      <c r="QX3" s="12"/>
      <c r="QY3" s="12"/>
      <c r="QZ3" s="12"/>
      <c r="RA3" s="12"/>
      <c r="RB3" s="12"/>
      <c r="RC3" s="12"/>
      <c r="RD3" s="12"/>
      <c r="RE3" s="12"/>
      <c r="RF3" s="12"/>
      <c r="RG3" s="12"/>
      <c r="RH3" s="12"/>
      <c r="RI3" s="12"/>
      <c r="RJ3" s="12"/>
      <c r="RK3" s="12"/>
      <c r="RL3" s="12"/>
      <c r="RM3" s="12"/>
      <c r="RN3" s="12"/>
      <c r="RO3" s="12"/>
      <c r="RP3" s="12"/>
      <c r="RQ3" s="12"/>
      <c r="RR3" s="12"/>
      <c r="RS3" s="12"/>
      <c r="RT3" s="12"/>
      <c r="RU3" s="12"/>
      <c r="RV3" s="12"/>
      <c r="RW3" s="12"/>
      <c r="RX3" s="12"/>
      <c r="RY3" s="12"/>
      <c r="RZ3" s="12"/>
      <c r="SA3" s="12"/>
      <c r="SB3" s="12"/>
      <c r="SC3" s="12"/>
      <c r="SD3" s="12"/>
      <c r="SE3" s="12"/>
      <c r="SF3" s="12"/>
      <c r="SG3" s="12"/>
      <c r="SH3" s="12"/>
      <c r="SI3" s="12"/>
      <c r="SJ3" s="12"/>
      <c r="SK3" s="12"/>
      <c r="SL3" s="12"/>
      <c r="SM3" s="12"/>
      <c r="SN3" s="12"/>
      <c r="SO3" s="12"/>
      <c r="SP3" s="12"/>
      <c r="SQ3" s="12"/>
      <c r="SR3" s="12"/>
      <c r="SS3" s="12"/>
      <c r="ST3" s="12"/>
      <c r="SU3" s="12"/>
      <c r="SV3" s="12"/>
      <c r="SW3" s="12"/>
      <c r="SX3" s="12"/>
      <c r="SY3" s="12"/>
      <c r="SZ3" s="12"/>
      <c r="TA3" s="12"/>
      <c r="TB3" s="12"/>
      <c r="TC3" s="12"/>
      <c r="TD3" s="12"/>
      <c r="TE3" s="12"/>
      <c r="TF3" s="12"/>
      <c r="TG3" s="12"/>
      <c r="TH3" s="12"/>
      <c r="TI3" s="12"/>
      <c r="TJ3" s="12"/>
      <c r="TK3" s="12"/>
      <c r="TL3" s="12"/>
      <c r="TM3" s="12"/>
      <c r="TN3" s="12"/>
      <c r="TO3" s="12"/>
      <c r="TP3" s="12"/>
      <c r="TQ3" s="12"/>
      <c r="TR3" s="12"/>
      <c r="TS3" s="12"/>
      <c r="TT3" s="12"/>
      <c r="TU3" s="12"/>
      <c r="TV3" s="12"/>
      <c r="TW3" s="12"/>
      <c r="TX3" s="12"/>
      <c r="TY3" s="12"/>
      <c r="TZ3" s="12"/>
      <c r="UA3" s="12"/>
      <c r="UB3" s="12"/>
      <c r="UC3" s="12"/>
      <c r="UD3" s="12"/>
      <c r="UE3" s="12"/>
      <c r="UF3" s="12"/>
      <c r="UG3" s="12"/>
      <c r="UH3" s="12"/>
      <c r="UI3" s="12"/>
      <c r="UJ3" s="12"/>
      <c r="UK3" s="12"/>
      <c r="UL3" s="12"/>
      <c r="UM3" s="12"/>
      <c r="UN3" s="12"/>
      <c r="UO3" s="12"/>
      <c r="UP3" s="12"/>
      <c r="UQ3" s="12"/>
      <c r="UR3" s="12"/>
      <c r="US3" s="12"/>
      <c r="UT3" s="12"/>
      <c r="UU3" s="12"/>
      <c r="UV3" s="12"/>
      <c r="UW3" s="12"/>
      <c r="UX3" s="12"/>
      <c r="UY3" s="12"/>
      <c r="UZ3" s="12"/>
      <c r="VA3" s="12"/>
      <c r="VB3" s="12"/>
      <c r="VC3" s="12"/>
      <c r="VD3" s="12"/>
      <c r="VE3" s="12"/>
      <c r="VF3" s="12"/>
      <c r="VG3" s="12"/>
      <c r="VH3" s="12"/>
      <c r="VI3" s="12"/>
      <c r="VJ3" s="12"/>
      <c r="VK3" s="12"/>
      <c r="VL3" s="12"/>
      <c r="VM3" s="12"/>
      <c r="VN3" s="12"/>
      <c r="VO3" s="12"/>
      <c r="VP3" s="12"/>
      <c r="VQ3" s="12"/>
      <c r="VR3" s="12"/>
      <c r="VS3" s="12"/>
      <c r="VT3" s="12"/>
      <c r="VU3" s="12"/>
      <c r="VV3" s="12"/>
      <c r="VW3" s="12"/>
      <c r="VX3" s="12"/>
      <c r="VY3" s="12"/>
      <c r="VZ3" s="12"/>
      <c r="WA3" s="12"/>
      <c r="WB3" s="12"/>
      <c r="WC3" s="12"/>
      <c r="WD3" s="12"/>
      <c r="WE3" s="12"/>
      <c r="WF3" s="12"/>
      <c r="WG3" s="12"/>
      <c r="WH3" s="12"/>
      <c r="WI3" s="12"/>
      <c r="WJ3" s="12"/>
      <c r="WK3" s="12"/>
      <c r="WL3" s="12"/>
      <c r="WM3" s="12"/>
      <c r="WN3" s="12"/>
      <c r="WO3" s="12"/>
      <c r="WP3" s="12"/>
      <c r="WQ3" s="12"/>
      <c r="WR3" s="12"/>
      <c r="WS3" s="12"/>
      <c r="WT3" s="12"/>
      <c r="WU3" s="12"/>
      <c r="WV3" s="12"/>
      <c r="WW3" s="12"/>
      <c r="WX3" s="12"/>
      <c r="WY3" s="12"/>
      <c r="WZ3" s="12"/>
      <c r="XA3" s="12"/>
      <c r="XB3" s="12"/>
      <c r="XC3" s="12"/>
      <c r="XD3" s="12"/>
      <c r="XE3" s="12"/>
      <c r="XF3" s="12"/>
      <c r="XG3" s="12"/>
      <c r="XH3" s="12"/>
      <c r="XI3" s="12"/>
      <c r="XJ3" s="12"/>
      <c r="XK3" s="12"/>
      <c r="XL3" s="12"/>
      <c r="XM3" s="12"/>
      <c r="XN3" s="12"/>
      <c r="XO3" s="12"/>
      <c r="XP3" s="12"/>
      <c r="XQ3" s="12"/>
      <c r="XR3" s="12"/>
      <c r="XS3" s="12"/>
      <c r="XT3" s="12"/>
      <c r="XU3" s="12"/>
      <c r="XV3" s="12"/>
      <c r="XW3" s="12"/>
      <c r="XX3" s="12"/>
      <c r="XY3" s="12"/>
      <c r="XZ3" s="12"/>
      <c r="YA3" s="12"/>
      <c r="YB3" s="12"/>
      <c r="YC3" s="12"/>
      <c r="YD3" s="12"/>
      <c r="YE3" s="12"/>
      <c r="YF3" s="12"/>
      <c r="YG3" s="12"/>
      <c r="YH3" s="12"/>
      <c r="YI3" s="12"/>
      <c r="YJ3" s="12"/>
      <c r="YK3" s="12"/>
      <c r="YL3" s="12"/>
      <c r="YM3" s="12"/>
      <c r="YN3" s="12"/>
      <c r="YO3" s="12"/>
      <c r="YP3" s="12"/>
      <c r="YQ3" s="12"/>
      <c r="YR3" s="12"/>
      <c r="YS3" s="12"/>
      <c r="YT3" s="12"/>
      <c r="YU3" s="12"/>
      <c r="YV3" s="12"/>
      <c r="YW3" s="12"/>
      <c r="YX3" s="12"/>
      <c r="YY3" s="12"/>
      <c r="YZ3" s="12"/>
      <c r="ZA3" s="12"/>
      <c r="ZB3" s="12"/>
      <c r="ZC3" s="12"/>
      <c r="ZD3" s="12"/>
      <c r="ZE3" s="12"/>
      <c r="ZF3" s="12"/>
      <c r="ZG3" s="12"/>
      <c r="ZH3" s="12"/>
      <c r="ZI3" s="12"/>
      <c r="ZJ3" s="12"/>
      <c r="ZK3" s="12"/>
      <c r="ZL3" s="12"/>
      <c r="ZM3" s="12"/>
      <c r="ZN3" s="12"/>
      <c r="ZO3" s="12"/>
      <c r="ZP3" s="12"/>
      <c r="ZQ3" s="12"/>
      <c r="ZR3" s="12"/>
      <c r="ZS3" s="12"/>
      <c r="ZT3" s="12"/>
      <c r="ZU3" s="12"/>
      <c r="ZV3" s="12"/>
      <c r="ZW3" s="12"/>
      <c r="ZX3" s="12"/>
      <c r="ZY3" s="12"/>
      <c r="ZZ3" s="12"/>
      <c r="AAA3" s="12"/>
      <c r="AAB3" s="12"/>
      <c r="AAC3" s="12"/>
      <c r="AAD3" s="12"/>
      <c r="AAE3" s="12"/>
      <c r="AAF3" s="12"/>
      <c r="AAG3" s="12"/>
      <c r="AAH3" s="12"/>
      <c r="AAI3" s="12"/>
      <c r="AAJ3" s="12"/>
      <c r="AAK3" s="12"/>
      <c r="AAL3" s="12"/>
    </row>
    <row r="4" spans="1:714" s="9" customFormat="1" ht="19.8" customHeight="1" x14ac:dyDescent="0.3">
      <c r="A4" s="8"/>
      <c r="B4" s="7">
        <f>GETPIVOTDATA("Sum of Total",Sheet1!$A$97)</f>
        <v>322966.74900000007</v>
      </c>
      <c r="C4" s="7"/>
      <c r="D4" s="7"/>
      <c r="E4" s="7"/>
      <c r="F4" s="7">
        <f>GETPIVOTDATA("Sum of gross income",Sheet1!$A$97)</f>
        <v>15379.369000000002</v>
      </c>
      <c r="G4" s="7"/>
      <c r="H4" s="7"/>
      <c r="I4" s="7"/>
      <c r="J4" s="7">
        <f>GETPIVOTDATA("Sum of Quantity",Sheet1!$A$97)</f>
        <v>5510</v>
      </c>
      <c r="K4" s="7"/>
      <c r="L4" s="7"/>
      <c r="M4" s="7"/>
      <c r="N4" s="7">
        <f>GETPIVOTDATA("Average of Rating",Sheet1!$A$97)</f>
        <v>6.9727000000000032</v>
      </c>
      <c r="O4" s="7"/>
      <c r="P4" s="7"/>
      <c r="Q4" s="7"/>
      <c r="R4" s="7">
        <f>GETPIVOTDATA("Count of Invoice ID",Sheet1!$A$97)</f>
        <v>1000</v>
      </c>
      <c r="S4" s="7"/>
      <c r="T4" s="7"/>
      <c r="U4" s="7"/>
      <c r="V4" s="7" t="str">
        <f>Sheet1!A45</f>
        <v>Naypyitaw</v>
      </c>
      <c r="W4" s="7"/>
      <c r="X4" s="7"/>
      <c r="Y4" s="8"/>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c r="IW4" s="12"/>
      <c r="IX4" s="12"/>
      <c r="IY4" s="12"/>
      <c r="IZ4" s="12"/>
      <c r="JA4" s="12"/>
      <c r="JB4" s="12"/>
      <c r="JC4" s="12"/>
      <c r="JD4" s="12"/>
      <c r="JE4" s="12"/>
      <c r="JF4" s="12"/>
      <c r="JG4" s="12"/>
      <c r="JH4" s="12"/>
      <c r="JI4" s="12"/>
      <c r="JJ4" s="12"/>
      <c r="JK4" s="12"/>
      <c r="JL4" s="12"/>
      <c r="JM4" s="12"/>
      <c r="JN4" s="12"/>
      <c r="JO4" s="12"/>
      <c r="JP4" s="12"/>
      <c r="JQ4" s="12"/>
      <c r="JR4" s="12"/>
      <c r="JS4" s="12"/>
      <c r="JT4" s="12"/>
      <c r="JU4" s="12"/>
      <c r="JV4" s="12"/>
      <c r="JW4" s="12"/>
      <c r="JX4" s="12"/>
      <c r="JY4" s="12"/>
      <c r="JZ4" s="12"/>
      <c r="KA4" s="12"/>
      <c r="KB4" s="12"/>
      <c r="KC4" s="12"/>
      <c r="KD4" s="12"/>
      <c r="KE4" s="12"/>
      <c r="KF4" s="12"/>
      <c r="KG4" s="12"/>
      <c r="KH4" s="12"/>
      <c r="KI4" s="12"/>
      <c r="KJ4" s="12"/>
      <c r="KK4" s="12"/>
      <c r="KL4" s="12"/>
      <c r="KM4" s="12"/>
      <c r="KN4" s="12"/>
      <c r="KO4" s="12"/>
      <c r="KP4" s="12"/>
      <c r="KQ4" s="12"/>
      <c r="KR4" s="12"/>
      <c r="KS4" s="12"/>
      <c r="KT4" s="12"/>
      <c r="KU4" s="12"/>
      <c r="KV4" s="12"/>
      <c r="KW4" s="12"/>
      <c r="KX4" s="12"/>
      <c r="KY4" s="12"/>
      <c r="KZ4" s="12"/>
      <c r="LA4" s="12"/>
      <c r="LB4" s="12"/>
      <c r="LC4" s="12"/>
      <c r="LD4" s="12"/>
      <c r="LE4" s="12"/>
      <c r="LF4" s="12"/>
      <c r="LG4" s="12"/>
      <c r="LH4" s="12"/>
      <c r="LI4" s="12"/>
      <c r="LJ4" s="12"/>
      <c r="LK4" s="12"/>
      <c r="LL4" s="12"/>
      <c r="LM4" s="12"/>
      <c r="LN4" s="12"/>
      <c r="LO4" s="12"/>
      <c r="LP4" s="12"/>
      <c r="LQ4" s="12"/>
      <c r="LR4" s="12"/>
      <c r="LS4" s="12"/>
      <c r="LT4" s="12"/>
      <c r="LU4" s="12"/>
      <c r="LV4" s="12"/>
      <c r="LW4" s="12"/>
      <c r="LX4" s="12"/>
      <c r="LY4" s="12"/>
      <c r="LZ4" s="12"/>
      <c r="MA4" s="12"/>
      <c r="MB4" s="12"/>
      <c r="MC4" s="12"/>
      <c r="MD4" s="12"/>
      <c r="ME4" s="12"/>
      <c r="MF4" s="12"/>
      <c r="MG4" s="12"/>
      <c r="MH4" s="12"/>
      <c r="MI4" s="12"/>
      <c r="MJ4" s="12"/>
      <c r="MK4" s="12"/>
      <c r="ML4" s="12"/>
      <c r="MM4" s="12"/>
      <c r="MN4" s="12"/>
      <c r="MO4" s="12"/>
      <c r="MP4" s="12"/>
      <c r="MQ4" s="12"/>
      <c r="MR4" s="12"/>
      <c r="MS4" s="12"/>
      <c r="MT4" s="12"/>
      <c r="MU4" s="12"/>
      <c r="MV4" s="12"/>
      <c r="MW4" s="12"/>
      <c r="MX4" s="12"/>
      <c r="MY4" s="12"/>
      <c r="MZ4" s="12"/>
      <c r="NA4" s="12"/>
      <c r="NB4" s="12"/>
      <c r="NC4" s="12"/>
      <c r="ND4" s="12"/>
      <c r="NE4" s="12"/>
      <c r="NF4" s="12"/>
      <c r="NG4" s="12"/>
      <c r="NH4" s="12"/>
      <c r="NI4" s="12"/>
      <c r="NJ4" s="12"/>
      <c r="NK4" s="12"/>
      <c r="NL4" s="12"/>
      <c r="NM4" s="12"/>
      <c r="NN4" s="12"/>
      <c r="NO4" s="12"/>
      <c r="NP4" s="12"/>
      <c r="NQ4" s="12"/>
      <c r="NR4" s="12"/>
      <c r="NS4" s="12"/>
      <c r="NT4" s="12"/>
      <c r="NU4" s="12"/>
      <c r="NV4" s="12"/>
      <c r="NW4" s="12"/>
      <c r="NX4" s="12"/>
      <c r="NY4" s="12"/>
      <c r="NZ4" s="12"/>
      <c r="OA4" s="12"/>
      <c r="OB4" s="12"/>
      <c r="OC4" s="12"/>
      <c r="OD4" s="12"/>
      <c r="OE4" s="12"/>
      <c r="OF4" s="12"/>
      <c r="OG4" s="12"/>
      <c r="OH4" s="12"/>
      <c r="OI4" s="12"/>
      <c r="OJ4" s="12"/>
      <c r="OK4" s="12"/>
      <c r="OL4" s="12"/>
      <c r="OM4" s="12"/>
      <c r="ON4" s="12"/>
      <c r="OO4" s="12"/>
      <c r="OP4" s="12"/>
      <c r="OQ4" s="12"/>
      <c r="OR4" s="12"/>
      <c r="OS4" s="12"/>
      <c r="OT4" s="12"/>
      <c r="OU4" s="12"/>
      <c r="OV4" s="12"/>
      <c r="OW4" s="12"/>
      <c r="OX4" s="12"/>
      <c r="OY4" s="12"/>
      <c r="OZ4" s="12"/>
      <c r="PA4" s="12"/>
      <c r="PB4" s="12"/>
      <c r="PC4" s="12"/>
      <c r="PD4" s="12"/>
      <c r="PE4" s="12"/>
      <c r="PF4" s="12"/>
      <c r="PG4" s="12"/>
      <c r="PH4" s="12"/>
      <c r="PI4" s="12"/>
      <c r="PJ4" s="12"/>
      <c r="PK4" s="12"/>
      <c r="PL4" s="12"/>
      <c r="PM4" s="12"/>
      <c r="PN4" s="12"/>
      <c r="PO4" s="12"/>
      <c r="PP4" s="12"/>
      <c r="PQ4" s="12"/>
      <c r="PR4" s="12"/>
      <c r="PS4" s="12"/>
      <c r="PT4" s="12"/>
      <c r="PU4" s="12"/>
      <c r="PV4" s="12"/>
      <c r="PW4" s="12"/>
      <c r="PX4" s="12"/>
      <c r="PY4" s="12"/>
      <c r="PZ4" s="12"/>
      <c r="QA4" s="12"/>
      <c r="QB4" s="12"/>
      <c r="QC4" s="12"/>
      <c r="QD4" s="12"/>
      <c r="QE4" s="12"/>
      <c r="QF4" s="12"/>
      <c r="QG4" s="12"/>
      <c r="QH4" s="12"/>
      <c r="QI4" s="12"/>
      <c r="QJ4" s="12"/>
      <c r="QK4" s="12"/>
      <c r="QL4" s="12"/>
      <c r="QM4" s="12"/>
      <c r="QN4" s="12"/>
      <c r="QO4" s="12"/>
      <c r="QP4" s="12"/>
      <c r="QQ4" s="12"/>
      <c r="QR4" s="12"/>
      <c r="QS4" s="12"/>
      <c r="QT4" s="12"/>
      <c r="QU4" s="12"/>
      <c r="QV4" s="12"/>
      <c r="QW4" s="12"/>
      <c r="QX4" s="12"/>
      <c r="QY4" s="12"/>
      <c r="QZ4" s="12"/>
      <c r="RA4" s="12"/>
      <c r="RB4" s="12"/>
      <c r="RC4" s="12"/>
      <c r="RD4" s="12"/>
      <c r="RE4" s="12"/>
      <c r="RF4" s="12"/>
      <c r="RG4" s="12"/>
      <c r="RH4" s="12"/>
      <c r="RI4" s="12"/>
      <c r="RJ4" s="12"/>
      <c r="RK4" s="12"/>
      <c r="RL4" s="12"/>
      <c r="RM4" s="12"/>
      <c r="RN4" s="12"/>
      <c r="RO4" s="12"/>
      <c r="RP4" s="12"/>
      <c r="RQ4" s="12"/>
      <c r="RR4" s="12"/>
      <c r="RS4" s="12"/>
      <c r="RT4" s="12"/>
      <c r="RU4" s="12"/>
      <c r="RV4" s="12"/>
      <c r="RW4" s="12"/>
      <c r="RX4" s="12"/>
      <c r="RY4" s="12"/>
      <c r="RZ4" s="12"/>
      <c r="SA4" s="12"/>
      <c r="SB4" s="12"/>
      <c r="SC4" s="12"/>
      <c r="SD4" s="12"/>
      <c r="SE4" s="12"/>
      <c r="SF4" s="12"/>
      <c r="SG4" s="12"/>
      <c r="SH4" s="12"/>
      <c r="SI4" s="12"/>
      <c r="SJ4" s="12"/>
      <c r="SK4" s="12"/>
      <c r="SL4" s="12"/>
      <c r="SM4" s="12"/>
      <c r="SN4" s="12"/>
      <c r="SO4" s="12"/>
      <c r="SP4" s="12"/>
      <c r="SQ4" s="12"/>
      <c r="SR4" s="12"/>
      <c r="SS4" s="12"/>
      <c r="ST4" s="12"/>
      <c r="SU4" s="12"/>
      <c r="SV4" s="12"/>
      <c r="SW4" s="12"/>
      <c r="SX4" s="12"/>
      <c r="SY4" s="12"/>
      <c r="SZ4" s="12"/>
      <c r="TA4" s="12"/>
      <c r="TB4" s="12"/>
      <c r="TC4" s="12"/>
      <c r="TD4" s="12"/>
      <c r="TE4" s="12"/>
      <c r="TF4" s="12"/>
      <c r="TG4" s="12"/>
      <c r="TH4" s="12"/>
      <c r="TI4" s="12"/>
      <c r="TJ4" s="12"/>
      <c r="TK4" s="12"/>
      <c r="TL4" s="12"/>
      <c r="TM4" s="12"/>
      <c r="TN4" s="12"/>
      <c r="TO4" s="12"/>
      <c r="TP4" s="12"/>
      <c r="TQ4" s="12"/>
      <c r="TR4" s="12"/>
      <c r="TS4" s="12"/>
      <c r="TT4" s="12"/>
      <c r="TU4" s="12"/>
      <c r="TV4" s="12"/>
      <c r="TW4" s="12"/>
      <c r="TX4" s="12"/>
      <c r="TY4" s="12"/>
      <c r="TZ4" s="12"/>
      <c r="UA4" s="12"/>
      <c r="UB4" s="12"/>
      <c r="UC4" s="12"/>
      <c r="UD4" s="12"/>
      <c r="UE4" s="12"/>
      <c r="UF4" s="12"/>
      <c r="UG4" s="12"/>
      <c r="UH4" s="12"/>
      <c r="UI4" s="12"/>
      <c r="UJ4" s="12"/>
      <c r="UK4" s="12"/>
      <c r="UL4" s="12"/>
      <c r="UM4" s="12"/>
      <c r="UN4" s="12"/>
      <c r="UO4" s="12"/>
      <c r="UP4" s="12"/>
      <c r="UQ4" s="12"/>
      <c r="UR4" s="12"/>
      <c r="US4" s="12"/>
      <c r="UT4" s="12"/>
      <c r="UU4" s="12"/>
      <c r="UV4" s="12"/>
      <c r="UW4" s="12"/>
      <c r="UX4" s="12"/>
      <c r="UY4" s="12"/>
      <c r="UZ4" s="12"/>
      <c r="VA4" s="12"/>
      <c r="VB4" s="12"/>
      <c r="VC4" s="12"/>
      <c r="VD4" s="12"/>
      <c r="VE4" s="12"/>
      <c r="VF4" s="12"/>
      <c r="VG4" s="12"/>
      <c r="VH4" s="12"/>
      <c r="VI4" s="12"/>
      <c r="VJ4" s="12"/>
      <c r="VK4" s="12"/>
      <c r="VL4" s="12"/>
      <c r="VM4" s="12"/>
      <c r="VN4" s="12"/>
      <c r="VO4" s="12"/>
      <c r="VP4" s="12"/>
      <c r="VQ4" s="12"/>
      <c r="VR4" s="12"/>
      <c r="VS4" s="12"/>
      <c r="VT4" s="12"/>
      <c r="VU4" s="12"/>
      <c r="VV4" s="12"/>
      <c r="VW4" s="12"/>
      <c r="VX4" s="12"/>
      <c r="VY4" s="12"/>
      <c r="VZ4" s="12"/>
      <c r="WA4" s="12"/>
      <c r="WB4" s="12"/>
      <c r="WC4" s="12"/>
      <c r="WD4" s="12"/>
      <c r="WE4" s="12"/>
      <c r="WF4" s="12"/>
      <c r="WG4" s="12"/>
      <c r="WH4" s="12"/>
      <c r="WI4" s="12"/>
      <c r="WJ4" s="12"/>
      <c r="WK4" s="12"/>
      <c r="WL4" s="12"/>
      <c r="WM4" s="12"/>
      <c r="WN4" s="12"/>
      <c r="WO4" s="12"/>
      <c r="WP4" s="12"/>
      <c r="WQ4" s="12"/>
      <c r="WR4" s="12"/>
      <c r="WS4" s="12"/>
      <c r="WT4" s="12"/>
      <c r="WU4" s="12"/>
      <c r="WV4" s="12"/>
      <c r="WW4" s="12"/>
      <c r="WX4" s="12"/>
      <c r="WY4" s="12"/>
      <c r="WZ4" s="12"/>
      <c r="XA4" s="12"/>
      <c r="XB4" s="12"/>
      <c r="XC4" s="12"/>
      <c r="XD4" s="12"/>
      <c r="XE4" s="12"/>
      <c r="XF4" s="12"/>
      <c r="XG4" s="12"/>
      <c r="XH4" s="12"/>
      <c r="XI4" s="12"/>
      <c r="XJ4" s="12"/>
      <c r="XK4" s="12"/>
      <c r="XL4" s="12"/>
      <c r="XM4" s="12"/>
      <c r="XN4" s="12"/>
      <c r="XO4" s="12"/>
      <c r="XP4" s="12"/>
      <c r="XQ4" s="12"/>
      <c r="XR4" s="12"/>
      <c r="XS4" s="12"/>
      <c r="XT4" s="12"/>
      <c r="XU4" s="12"/>
      <c r="XV4" s="12"/>
      <c r="XW4" s="12"/>
      <c r="XX4" s="12"/>
      <c r="XY4" s="12"/>
      <c r="XZ4" s="12"/>
      <c r="YA4" s="12"/>
      <c r="YB4" s="12"/>
      <c r="YC4" s="12"/>
      <c r="YD4" s="12"/>
      <c r="YE4" s="12"/>
      <c r="YF4" s="12"/>
      <c r="YG4" s="12"/>
      <c r="YH4" s="12"/>
      <c r="YI4" s="12"/>
      <c r="YJ4" s="12"/>
      <c r="YK4" s="12"/>
      <c r="YL4" s="12"/>
      <c r="YM4" s="12"/>
      <c r="YN4" s="12"/>
      <c r="YO4" s="12"/>
      <c r="YP4" s="12"/>
      <c r="YQ4" s="12"/>
      <c r="YR4" s="12"/>
      <c r="YS4" s="12"/>
      <c r="YT4" s="12"/>
      <c r="YU4" s="12"/>
      <c r="YV4" s="12"/>
      <c r="YW4" s="12"/>
      <c r="YX4" s="12"/>
      <c r="YY4" s="12"/>
      <c r="YZ4" s="12"/>
      <c r="ZA4" s="12"/>
      <c r="ZB4" s="12"/>
      <c r="ZC4" s="12"/>
      <c r="ZD4" s="12"/>
      <c r="ZE4" s="12"/>
      <c r="ZF4" s="12"/>
      <c r="ZG4" s="12"/>
      <c r="ZH4" s="12"/>
      <c r="ZI4" s="12"/>
      <c r="ZJ4" s="12"/>
      <c r="ZK4" s="12"/>
      <c r="ZL4" s="12"/>
      <c r="ZM4" s="12"/>
      <c r="ZN4" s="12"/>
      <c r="ZO4" s="12"/>
      <c r="ZP4" s="12"/>
      <c r="ZQ4" s="12"/>
      <c r="ZR4" s="12"/>
      <c r="ZS4" s="12"/>
      <c r="ZT4" s="12"/>
      <c r="ZU4" s="12"/>
      <c r="ZV4" s="12"/>
      <c r="ZW4" s="12"/>
      <c r="ZX4" s="12"/>
      <c r="ZY4" s="12"/>
      <c r="ZZ4" s="12"/>
      <c r="AAA4" s="12"/>
      <c r="AAB4" s="12"/>
      <c r="AAC4" s="12"/>
      <c r="AAD4" s="12"/>
      <c r="AAE4" s="12"/>
      <c r="AAF4" s="12"/>
      <c r="AAG4" s="12"/>
      <c r="AAH4" s="12"/>
      <c r="AAI4" s="12"/>
      <c r="AAJ4" s="12"/>
      <c r="AAK4" s="12"/>
      <c r="AAL4" s="12"/>
    </row>
    <row r="5" spans="1:714" s="6" customFormat="1" x14ac:dyDescent="0.3">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c r="JF5" s="11"/>
      <c r="JG5" s="11"/>
      <c r="JH5" s="11"/>
      <c r="JI5" s="11"/>
      <c r="JJ5" s="11"/>
      <c r="JK5" s="11"/>
      <c r="JL5" s="11"/>
      <c r="JM5" s="11"/>
      <c r="JN5" s="11"/>
      <c r="JO5" s="11"/>
      <c r="JP5" s="11"/>
      <c r="JQ5" s="11"/>
      <c r="JR5" s="11"/>
      <c r="JS5" s="11"/>
      <c r="JT5" s="11"/>
      <c r="JU5" s="11"/>
      <c r="JV5" s="11"/>
      <c r="JW5" s="11"/>
      <c r="JX5" s="11"/>
      <c r="JY5" s="11"/>
      <c r="JZ5" s="11"/>
      <c r="KA5" s="11"/>
      <c r="KB5" s="11"/>
      <c r="KC5" s="11"/>
      <c r="KD5" s="11"/>
      <c r="KE5" s="11"/>
      <c r="KF5" s="11"/>
      <c r="KG5" s="11"/>
      <c r="KH5" s="11"/>
      <c r="KI5" s="11"/>
      <c r="KJ5" s="11"/>
      <c r="KK5" s="11"/>
      <c r="KL5" s="11"/>
      <c r="KM5" s="11"/>
      <c r="KN5" s="11"/>
      <c r="KO5" s="11"/>
      <c r="KP5" s="11"/>
      <c r="KQ5" s="11"/>
      <c r="KR5" s="11"/>
      <c r="KS5" s="11"/>
      <c r="KT5" s="11"/>
      <c r="KU5" s="11"/>
      <c r="KV5" s="11"/>
      <c r="KW5" s="11"/>
      <c r="KX5" s="11"/>
      <c r="KY5" s="11"/>
      <c r="KZ5" s="11"/>
      <c r="LA5" s="11"/>
      <c r="LB5" s="11"/>
      <c r="LC5" s="11"/>
      <c r="LD5" s="11"/>
      <c r="LE5" s="11"/>
      <c r="LF5" s="11"/>
      <c r="LG5" s="11"/>
      <c r="LH5" s="11"/>
      <c r="LI5" s="11"/>
      <c r="LJ5" s="11"/>
      <c r="LK5" s="11"/>
      <c r="LL5" s="11"/>
      <c r="LM5" s="11"/>
      <c r="LN5" s="11"/>
      <c r="LO5" s="11"/>
      <c r="LP5" s="11"/>
      <c r="LQ5" s="11"/>
      <c r="LR5" s="11"/>
      <c r="LS5" s="11"/>
      <c r="LT5" s="11"/>
      <c r="LU5" s="11"/>
      <c r="LV5" s="11"/>
      <c r="LW5" s="11"/>
      <c r="LX5" s="11"/>
      <c r="LY5" s="11"/>
      <c r="LZ5" s="11"/>
      <c r="MA5" s="11"/>
      <c r="MB5" s="11"/>
      <c r="MC5" s="11"/>
      <c r="MD5" s="11"/>
      <c r="ME5" s="11"/>
      <c r="MF5" s="11"/>
      <c r="MG5" s="11"/>
      <c r="MH5" s="11"/>
      <c r="MI5" s="11"/>
      <c r="MJ5" s="11"/>
      <c r="MK5" s="11"/>
      <c r="ML5" s="11"/>
      <c r="MM5" s="11"/>
      <c r="MN5" s="11"/>
      <c r="MO5" s="11"/>
      <c r="MP5" s="11"/>
      <c r="MQ5" s="11"/>
      <c r="MR5" s="11"/>
      <c r="MS5" s="11"/>
      <c r="MT5" s="11"/>
      <c r="MU5" s="11"/>
      <c r="MV5" s="11"/>
      <c r="MW5" s="11"/>
      <c r="MX5" s="11"/>
      <c r="MY5" s="11"/>
      <c r="MZ5" s="11"/>
      <c r="NA5" s="11"/>
      <c r="NB5" s="11"/>
      <c r="NC5" s="11"/>
      <c r="ND5" s="11"/>
      <c r="NE5" s="11"/>
      <c r="NF5" s="11"/>
      <c r="NG5" s="11"/>
      <c r="NH5" s="11"/>
      <c r="NI5" s="11"/>
      <c r="NJ5" s="11"/>
      <c r="NK5" s="11"/>
      <c r="NL5" s="11"/>
      <c r="NM5" s="11"/>
      <c r="NN5" s="11"/>
      <c r="NO5" s="11"/>
      <c r="NP5" s="11"/>
      <c r="NQ5" s="11"/>
      <c r="NR5" s="11"/>
      <c r="NS5" s="11"/>
      <c r="NT5" s="11"/>
      <c r="NU5" s="11"/>
      <c r="NV5" s="11"/>
      <c r="NW5" s="11"/>
      <c r="NX5" s="11"/>
      <c r="NY5" s="11"/>
      <c r="NZ5" s="11"/>
      <c r="OA5" s="11"/>
      <c r="OB5" s="11"/>
      <c r="OC5" s="11"/>
      <c r="OD5" s="11"/>
      <c r="OE5" s="11"/>
      <c r="OF5" s="11"/>
      <c r="OG5" s="11"/>
      <c r="OH5" s="11"/>
      <c r="OI5" s="11"/>
      <c r="OJ5" s="11"/>
      <c r="OK5" s="11"/>
      <c r="OL5" s="11"/>
      <c r="OM5" s="11"/>
      <c r="ON5" s="11"/>
      <c r="OO5" s="11"/>
      <c r="OP5" s="11"/>
      <c r="OQ5" s="11"/>
      <c r="OR5" s="11"/>
      <c r="OS5" s="11"/>
      <c r="OT5" s="11"/>
      <c r="OU5" s="11"/>
      <c r="OV5" s="11"/>
      <c r="OW5" s="11"/>
      <c r="OX5" s="11"/>
      <c r="OY5" s="11"/>
      <c r="OZ5" s="11"/>
      <c r="PA5" s="11"/>
      <c r="PB5" s="11"/>
      <c r="PC5" s="11"/>
      <c r="PD5" s="11"/>
      <c r="PE5" s="11"/>
      <c r="PF5" s="11"/>
      <c r="PG5" s="11"/>
      <c r="PH5" s="11"/>
      <c r="PI5" s="11"/>
      <c r="PJ5" s="11"/>
      <c r="PK5" s="11"/>
      <c r="PL5" s="11"/>
      <c r="PM5" s="11"/>
      <c r="PN5" s="11"/>
      <c r="PO5" s="11"/>
      <c r="PP5" s="11"/>
      <c r="PQ5" s="11"/>
      <c r="PR5" s="11"/>
      <c r="PS5" s="11"/>
      <c r="PT5" s="11"/>
      <c r="PU5" s="11"/>
      <c r="PV5" s="11"/>
      <c r="PW5" s="11"/>
      <c r="PX5" s="11"/>
      <c r="PY5" s="11"/>
      <c r="PZ5" s="11"/>
      <c r="QA5" s="11"/>
      <c r="QB5" s="11"/>
      <c r="QC5" s="11"/>
      <c r="QD5" s="11"/>
      <c r="QE5" s="11"/>
      <c r="QF5" s="11"/>
      <c r="QG5" s="11"/>
      <c r="QH5" s="11"/>
      <c r="QI5" s="11"/>
      <c r="QJ5" s="11"/>
      <c r="QK5" s="11"/>
      <c r="QL5" s="11"/>
      <c r="QM5" s="11"/>
      <c r="QN5" s="11"/>
      <c r="QO5" s="11"/>
      <c r="QP5" s="11"/>
      <c r="QQ5" s="11"/>
      <c r="QR5" s="11"/>
      <c r="QS5" s="11"/>
      <c r="QT5" s="11"/>
      <c r="QU5" s="11"/>
      <c r="QV5" s="11"/>
      <c r="QW5" s="11"/>
      <c r="QX5" s="11"/>
      <c r="QY5" s="11"/>
      <c r="QZ5" s="11"/>
      <c r="RA5" s="11"/>
      <c r="RB5" s="11"/>
      <c r="RC5" s="11"/>
      <c r="RD5" s="11"/>
      <c r="RE5" s="11"/>
      <c r="RF5" s="11"/>
      <c r="RG5" s="11"/>
      <c r="RH5" s="11"/>
      <c r="RI5" s="11"/>
      <c r="RJ5" s="11"/>
      <c r="RK5" s="11"/>
      <c r="RL5" s="11"/>
      <c r="RM5" s="11"/>
      <c r="RN5" s="11"/>
      <c r="RO5" s="11"/>
      <c r="RP5" s="11"/>
      <c r="RQ5" s="11"/>
      <c r="RR5" s="11"/>
      <c r="RS5" s="11"/>
      <c r="RT5" s="11"/>
      <c r="RU5" s="11"/>
      <c r="RV5" s="11"/>
      <c r="RW5" s="11"/>
      <c r="RX5" s="11"/>
      <c r="RY5" s="11"/>
      <c r="RZ5" s="11"/>
      <c r="SA5" s="11"/>
      <c r="SB5" s="11"/>
      <c r="SC5" s="11"/>
      <c r="SD5" s="11"/>
      <c r="SE5" s="11"/>
      <c r="SF5" s="11"/>
      <c r="SG5" s="11"/>
      <c r="SH5" s="11"/>
      <c r="SI5" s="11"/>
      <c r="SJ5" s="11"/>
      <c r="SK5" s="11"/>
      <c r="SL5" s="11"/>
      <c r="SM5" s="11"/>
      <c r="SN5" s="11"/>
      <c r="SO5" s="11"/>
      <c r="SP5" s="11"/>
      <c r="SQ5" s="11"/>
      <c r="SR5" s="11"/>
      <c r="SS5" s="11"/>
      <c r="ST5" s="11"/>
      <c r="SU5" s="11"/>
      <c r="SV5" s="11"/>
      <c r="SW5" s="11"/>
      <c r="SX5" s="11"/>
      <c r="SY5" s="11"/>
      <c r="SZ5" s="11"/>
      <c r="TA5" s="11"/>
      <c r="TB5" s="11"/>
      <c r="TC5" s="11"/>
      <c r="TD5" s="11"/>
      <c r="TE5" s="11"/>
      <c r="TF5" s="11"/>
      <c r="TG5" s="11"/>
      <c r="TH5" s="11"/>
      <c r="TI5" s="11"/>
      <c r="TJ5" s="11"/>
      <c r="TK5" s="11"/>
      <c r="TL5" s="11"/>
      <c r="TM5" s="11"/>
      <c r="TN5" s="11"/>
      <c r="TO5" s="11"/>
      <c r="TP5" s="11"/>
      <c r="TQ5" s="11"/>
      <c r="TR5" s="11"/>
      <c r="TS5" s="11"/>
      <c r="TT5" s="11"/>
      <c r="TU5" s="11"/>
      <c r="TV5" s="11"/>
      <c r="TW5" s="11"/>
      <c r="TX5" s="11"/>
      <c r="TY5" s="11"/>
      <c r="TZ5" s="11"/>
      <c r="UA5" s="11"/>
      <c r="UB5" s="11"/>
      <c r="UC5" s="11"/>
      <c r="UD5" s="11"/>
      <c r="UE5" s="11"/>
      <c r="UF5" s="11"/>
      <c r="UG5" s="11"/>
      <c r="UH5" s="11"/>
      <c r="UI5" s="11"/>
      <c r="UJ5" s="11"/>
      <c r="UK5" s="11"/>
      <c r="UL5" s="11"/>
      <c r="UM5" s="11"/>
      <c r="UN5" s="11"/>
      <c r="UO5" s="11"/>
      <c r="UP5" s="11"/>
      <c r="UQ5" s="11"/>
      <c r="UR5" s="11"/>
      <c r="US5" s="11"/>
      <c r="UT5" s="11"/>
      <c r="UU5" s="11"/>
      <c r="UV5" s="11"/>
      <c r="UW5" s="11"/>
      <c r="UX5" s="11"/>
      <c r="UY5" s="11"/>
      <c r="UZ5" s="11"/>
      <c r="VA5" s="11"/>
      <c r="VB5" s="11"/>
      <c r="VC5" s="11"/>
      <c r="VD5" s="11"/>
      <c r="VE5" s="11"/>
      <c r="VF5" s="11"/>
      <c r="VG5" s="11"/>
      <c r="VH5" s="11"/>
      <c r="VI5" s="11"/>
      <c r="VJ5" s="11"/>
      <c r="VK5" s="11"/>
      <c r="VL5" s="11"/>
      <c r="VM5" s="11"/>
      <c r="VN5" s="11"/>
      <c r="VO5" s="11"/>
      <c r="VP5" s="11"/>
      <c r="VQ5" s="11"/>
      <c r="VR5" s="11"/>
      <c r="VS5" s="11"/>
      <c r="VT5" s="11"/>
      <c r="VU5" s="11"/>
      <c r="VV5" s="11"/>
      <c r="VW5" s="11"/>
      <c r="VX5" s="11"/>
      <c r="VY5" s="11"/>
      <c r="VZ5" s="11"/>
      <c r="WA5" s="11"/>
      <c r="WB5" s="11"/>
      <c r="WC5" s="11"/>
      <c r="WD5" s="11"/>
      <c r="WE5" s="11"/>
      <c r="WF5" s="11"/>
      <c r="WG5" s="11"/>
      <c r="WH5" s="11"/>
      <c r="WI5" s="11"/>
      <c r="WJ5" s="11"/>
      <c r="WK5" s="11"/>
      <c r="WL5" s="11"/>
      <c r="WM5" s="11"/>
      <c r="WN5" s="11"/>
      <c r="WO5" s="11"/>
      <c r="WP5" s="11"/>
      <c r="WQ5" s="11"/>
      <c r="WR5" s="11"/>
      <c r="WS5" s="11"/>
      <c r="WT5" s="11"/>
      <c r="WU5" s="11"/>
      <c r="WV5" s="11"/>
      <c r="WW5" s="11"/>
      <c r="WX5" s="11"/>
      <c r="WY5" s="11"/>
      <c r="WZ5" s="11"/>
      <c r="XA5" s="11"/>
      <c r="XB5" s="11"/>
      <c r="XC5" s="11"/>
      <c r="XD5" s="11"/>
      <c r="XE5" s="11"/>
      <c r="XF5" s="11"/>
      <c r="XG5" s="11"/>
      <c r="XH5" s="11"/>
      <c r="XI5" s="11"/>
      <c r="XJ5" s="11"/>
      <c r="XK5" s="11"/>
      <c r="XL5" s="11"/>
      <c r="XM5" s="11"/>
      <c r="XN5" s="11"/>
      <c r="XO5" s="11"/>
      <c r="XP5" s="11"/>
      <c r="XQ5" s="11"/>
      <c r="XR5" s="11"/>
      <c r="XS5" s="11"/>
      <c r="XT5" s="11"/>
      <c r="XU5" s="11"/>
      <c r="XV5" s="11"/>
      <c r="XW5" s="11"/>
      <c r="XX5" s="11"/>
      <c r="XY5" s="11"/>
      <c r="XZ5" s="11"/>
      <c r="YA5" s="11"/>
      <c r="YB5" s="11"/>
      <c r="YC5" s="11"/>
      <c r="YD5" s="11"/>
      <c r="YE5" s="11"/>
      <c r="YF5" s="11"/>
      <c r="YG5" s="11"/>
      <c r="YH5" s="11"/>
      <c r="YI5" s="11"/>
      <c r="YJ5" s="11"/>
      <c r="YK5" s="11"/>
      <c r="YL5" s="11"/>
      <c r="YM5" s="11"/>
      <c r="YN5" s="11"/>
      <c r="YO5" s="11"/>
      <c r="YP5" s="11"/>
      <c r="YQ5" s="11"/>
      <c r="YR5" s="11"/>
      <c r="YS5" s="11"/>
      <c r="YT5" s="11"/>
      <c r="YU5" s="11"/>
      <c r="YV5" s="11"/>
      <c r="YW5" s="11"/>
      <c r="YX5" s="11"/>
      <c r="YY5" s="11"/>
      <c r="YZ5" s="11"/>
      <c r="ZA5" s="11"/>
      <c r="ZB5" s="11"/>
      <c r="ZC5" s="11"/>
      <c r="ZD5" s="11"/>
      <c r="ZE5" s="11"/>
      <c r="ZF5" s="11"/>
      <c r="ZG5" s="11"/>
      <c r="ZH5" s="11"/>
      <c r="ZI5" s="11"/>
      <c r="ZJ5" s="11"/>
      <c r="ZK5" s="11"/>
      <c r="ZL5" s="11"/>
      <c r="ZM5" s="11"/>
      <c r="ZN5" s="11"/>
      <c r="ZO5" s="11"/>
      <c r="ZP5" s="11"/>
      <c r="ZQ5" s="11"/>
      <c r="ZR5" s="11"/>
      <c r="ZS5" s="11"/>
      <c r="ZT5" s="11"/>
      <c r="ZU5" s="11"/>
      <c r="ZV5" s="11"/>
      <c r="ZW5" s="11"/>
      <c r="ZX5" s="11"/>
      <c r="ZY5" s="11"/>
      <c r="ZZ5" s="11"/>
      <c r="AAA5" s="11"/>
      <c r="AAB5" s="11"/>
      <c r="AAC5" s="11"/>
      <c r="AAD5" s="11"/>
      <c r="AAE5" s="11"/>
      <c r="AAF5" s="11"/>
      <c r="AAG5" s="11"/>
      <c r="AAH5" s="11"/>
      <c r="AAI5" s="11"/>
      <c r="AAJ5" s="11"/>
      <c r="AAK5" s="11"/>
      <c r="AAL5" s="11"/>
    </row>
    <row r="6" spans="1:714" s="6" customFormat="1" x14ac:dyDescent="0.3">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1"/>
      <c r="WN6" s="11"/>
      <c r="WO6" s="11"/>
      <c r="WP6" s="11"/>
      <c r="WQ6" s="11"/>
      <c r="WR6" s="11"/>
      <c r="WS6" s="11"/>
      <c r="WT6" s="11"/>
      <c r="WU6" s="11"/>
      <c r="WV6" s="11"/>
      <c r="WW6" s="11"/>
      <c r="WX6" s="11"/>
      <c r="WY6" s="11"/>
      <c r="WZ6" s="11"/>
      <c r="XA6" s="11"/>
      <c r="XB6" s="11"/>
      <c r="XC6" s="11"/>
      <c r="XD6" s="11"/>
      <c r="XE6" s="11"/>
      <c r="XF6" s="11"/>
      <c r="XG6" s="11"/>
      <c r="XH6" s="11"/>
      <c r="XI6" s="11"/>
      <c r="XJ6" s="11"/>
      <c r="XK6" s="11"/>
      <c r="XL6" s="11"/>
      <c r="XM6" s="11"/>
      <c r="XN6" s="11"/>
      <c r="XO6" s="11"/>
      <c r="XP6" s="11"/>
      <c r="XQ6" s="11"/>
      <c r="XR6" s="11"/>
      <c r="XS6" s="11"/>
      <c r="XT6" s="11"/>
      <c r="XU6" s="11"/>
      <c r="XV6" s="11"/>
      <c r="XW6" s="11"/>
      <c r="XX6" s="11"/>
      <c r="XY6" s="11"/>
      <c r="XZ6" s="11"/>
      <c r="YA6" s="11"/>
      <c r="YB6" s="11"/>
      <c r="YC6" s="11"/>
      <c r="YD6" s="11"/>
      <c r="YE6" s="11"/>
      <c r="YF6" s="11"/>
      <c r="YG6" s="11"/>
      <c r="YH6" s="11"/>
      <c r="YI6" s="11"/>
      <c r="YJ6" s="11"/>
      <c r="YK6" s="11"/>
      <c r="YL6" s="11"/>
      <c r="YM6" s="11"/>
      <c r="YN6" s="11"/>
      <c r="YO6" s="11"/>
      <c r="YP6" s="11"/>
      <c r="YQ6" s="11"/>
      <c r="YR6" s="11"/>
      <c r="YS6" s="11"/>
      <c r="YT6" s="11"/>
      <c r="YU6" s="11"/>
      <c r="YV6" s="11"/>
      <c r="YW6" s="11"/>
      <c r="YX6" s="11"/>
      <c r="YY6" s="11"/>
      <c r="YZ6" s="11"/>
      <c r="ZA6" s="11"/>
      <c r="ZB6" s="11"/>
      <c r="ZC6" s="11"/>
      <c r="ZD6" s="11"/>
      <c r="ZE6" s="11"/>
      <c r="ZF6" s="11"/>
      <c r="ZG6" s="11"/>
      <c r="ZH6" s="11"/>
      <c r="ZI6" s="11"/>
      <c r="ZJ6" s="11"/>
      <c r="ZK6" s="11"/>
      <c r="ZL6" s="11"/>
      <c r="ZM6" s="11"/>
      <c r="ZN6" s="11"/>
      <c r="ZO6" s="11"/>
      <c r="ZP6" s="11"/>
      <c r="ZQ6" s="11"/>
      <c r="ZR6" s="11"/>
      <c r="ZS6" s="11"/>
      <c r="ZT6" s="11"/>
      <c r="ZU6" s="11"/>
      <c r="ZV6" s="11"/>
      <c r="ZW6" s="11"/>
      <c r="ZX6" s="11"/>
      <c r="ZY6" s="11"/>
      <c r="ZZ6" s="11"/>
      <c r="AAA6" s="11"/>
      <c r="AAB6" s="11"/>
      <c r="AAC6" s="11"/>
      <c r="AAD6" s="11"/>
      <c r="AAE6" s="11"/>
      <c r="AAF6" s="11"/>
      <c r="AAG6" s="11"/>
      <c r="AAH6" s="11"/>
      <c r="AAI6" s="11"/>
      <c r="AAJ6" s="11"/>
      <c r="AAK6" s="11"/>
      <c r="AAL6" s="11"/>
    </row>
    <row r="7" spans="1:714" s="6" customFormat="1" x14ac:dyDescent="0.3">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c r="ON7" s="11"/>
      <c r="OO7" s="11"/>
      <c r="OP7" s="11"/>
      <c r="OQ7" s="11"/>
      <c r="OR7" s="11"/>
      <c r="OS7" s="11"/>
      <c r="OT7" s="11"/>
      <c r="OU7" s="11"/>
      <c r="OV7" s="11"/>
      <c r="OW7" s="11"/>
      <c r="OX7" s="11"/>
      <c r="OY7" s="11"/>
      <c r="OZ7" s="11"/>
      <c r="PA7" s="11"/>
      <c r="PB7" s="11"/>
      <c r="PC7" s="11"/>
      <c r="PD7" s="11"/>
      <c r="PE7" s="11"/>
      <c r="PF7" s="11"/>
      <c r="PG7" s="11"/>
      <c r="PH7" s="11"/>
      <c r="PI7" s="11"/>
      <c r="PJ7" s="11"/>
      <c r="PK7" s="11"/>
      <c r="PL7" s="11"/>
      <c r="PM7" s="11"/>
      <c r="PN7" s="11"/>
      <c r="PO7" s="11"/>
      <c r="PP7" s="11"/>
      <c r="PQ7" s="11"/>
      <c r="PR7" s="11"/>
      <c r="PS7" s="11"/>
      <c r="PT7" s="11"/>
      <c r="PU7" s="11"/>
      <c r="PV7" s="11"/>
      <c r="PW7" s="11"/>
      <c r="PX7" s="11"/>
      <c r="PY7" s="11"/>
      <c r="PZ7" s="11"/>
      <c r="QA7" s="11"/>
      <c r="QB7" s="11"/>
      <c r="QC7" s="11"/>
      <c r="QD7" s="11"/>
      <c r="QE7" s="11"/>
      <c r="QF7" s="11"/>
      <c r="QG7" s="11"/>
      <c r="QH7" s="11"/>
      <c r="QI7" s="11"/>
      <c r="QJ7" s="11"/>
      <c r="QK7" s="11"/>
      <c r="QL7" s="11"/>
      <c r="QM7" s="11"/>
      <c r="QN7" s="11"/>
      <c r="QO7" s="11"/>
      <c r="QP7" s="11"/>
      <c r="QQ7" s="11"/>
      <c r="QR7" s="11"/>
      <c r="QS7" s="11"/>
      <c r="QT7" s="11"/>
      <c r="QU7" s="11"/>
      <c r="QV7" s="11"/>
      <c r="QW7" s="11"/>
      <c r="QX7" s="11"/>
      <c r="QY7" s="11"/>
      <c r="QZ7" s="11"/>
      <c r="RA7" s="11"/>
      <c r="RB7" s="11"/>
      <c r="RC7" s="11"/>
      <c r="RD7" s="11"/>
      <c r="RE7" s="11"/>
      <c r="RF7" s="11"/>
      <c r="RG7" s="11"/>
      <c r="RH7" s="11"/>
      <c r="RI7" s="11"/>
      <c r="RJ7" s="11"/>
      <c r="RK7" s="11"/>
      <c r="RL7" s="11"/>
      <c r="RM7" s="11"/>
      <c r="RN7" s="11"/>
      <c r="RO7" s="11"/>
      <c r="RP7" s="11"/>
      <c r="RQ7" s="11"/>
      <c r="RR7" s="11"/>
      <c r="RS7" s="11"/>
      <c r="RT7" s="11"/>
      <c r="RU7" s="11"/>
      <c r="RV7" s="11"/>
      <c r="RW7" s="11"/>
      <c r="RX7" s="11"/>
      <c r="RY7" s="11"/>
      <c r="RZ7" s="11"/>
      <c r="SA7" s="11"/>
      <c r="SB7" s="11"/>
      <c r="SC7" s="11"/>
      <c r="SD7" s="11"/>
      <c r="SE7" s="11"/>
      <c r="SF7" s="11"/>
      <c r="SG7" s="11"/>
      <c r="SH7" s="11"/>
      <c r="SI7" s="11"/>
      <c r="SJ7" s="11"/>
      <c r="SK7" s="11"/>
      <c r="SL7" s="11"/>
      <c r="SM7" s="11"/>
      <c r="SN7" s="11"/>
      <c r="SO7" s="11"/>
      <c r="SP7" s="11"/>
      <c r="SQ7" s="11"/>
      <c r="SR7" s="11"/>
      <c r="SS7" s="11"/>
      <c r="ST7" s="11"/>
      <c r="SU7" s="11"/>
      <c r="SV7" s="11"/>
      <c r="SW7" s="11"/>
      <c r="SX7" s="11"/>
      <c r="SY7" s="11"/>
      <c r="SZ7" s="11"/>
      <c r="TA7" s="11"/>
      <c r="TB7" s="11"/>
      <c r="TC7" s="11"/>
      <c r="TD7" s="11"/>
      <c r="TE7" s="11"/>
      <c r="TF7" s="11"/>
      <c r="TG7" s="11"/>
      <c r="TH7" s="11"/>
      <c r="TI7" s="11"/>
      <c r="TJ7" s="11"/>
      <c r="TK7" s="11"/>
      <c r="TL7" s="11"/>
      <c r="TM7" s="11"/>
      <c r="TN7" s="11"/>
      <c r="TO7" s="11"/>
      <c r="TP7" s="11"/>
      <c r="TQ7" s="11"/>
      <c r="TR7" s="11"/>
      <c r="TS7" s="11"/>
      <c r="TT7" s="11"/>
      <c r="TU7" s="11"/>
      <c r="TV7" s="11"/>
      <c r="TW7" s="11"/>
      <c r="TX7" s="11"/>
      <c r="TY7" s="11"/>
      <c r="TZ7" s="11"/>
      <c r="UA7" s="11"/>
      <c r="UB7" s="11"/>
      <c r="UC7" s="11"/>
      <c r="UD7" s="11"/>
      <c r="UE7" s="11"/>
      <c r="UF7" s="11"/>
      <c r="UG7" s="11"/>
      <c r="UH7" s="11"/>
      <c r="UI7" s="11"/>
      <c r="UJ7" s="11"/>
      <c r="UK7" s="11"/>
      <c r="UL7" s="11"/>
      <c r="UM7" s="11"/>
      <c r="UN7" s="11"/>
      <c r="UO7" s="11"/>
      <c r="UP7" s="11"/>
      <c r="UQ7" s="11"/>
      <c r="UR7" s="11"/>
      <c r="US7" s="11"/>
      <c r="UT7" s="11"/>
      <c r="UU7" s="11"/>
      <c r="UV7" s="11"/>
      <c r="UW7" s="11"/>
      <c r="UX7" s="11"/>
      <c r="UY7" s="11"/>
      <c r="UZ7" s="11"/>
      <c r="VA7" s="11"/>
      <c r="VB7" s="11"/>
      <c r="VC7" s="11"/>
      <c r="VD7" s="11"/>
      <c r="VE7" s="11"/>
      <c r="VF7" s="11"/>
      <c r="VG7" s="11"/>
      <c r="VH7" s="11"/>
      <c r="VI7" s="11"/>
      <c r="VJ7" s="11"/>
      <c r="VK7" s="11"/>
      <c r="VL7" s="11"/>
      <c r="VM7" s="11"/>
      <c r="VN7" s="11"/>
      <c r="VO7" s="11"/>
      <c r="VP7" s="11"/>
      <c r="VQ7" s="11"/>
      <c r="VR7" s="11"/>
      <c r="VS7" s="11"/>
      <c r="VT7" s="11"/>
      <c r="VU7" s="11"/>
      <c r="VV7" s="11"/>
      <c r="VW7" s="11"/>
      <c r="VX7" s="11"/>
      <c r="VY7" s="11"/>
      <c r="VZ7" s="11"/>
      <c r="WA7" s="11"/>
      <c r="WB7" s="11"/>
      <c r="WC7" s="11"/>
      <c r="WD7" s="11"/>
      <c r="WE7" s="11"/>
      <c r="WF7" s="11"/>
      <c r="WG7" s="11"/>
      <c r="WH7" s="11"/>
      <c r="WI7" s="11"/>
      <c r="WJ7" s="11"/>
      <c r="WK7" s="11"/>
      <c r="WL7" s="11"/>
      <c r="WM7" s="11"/>
      <c r="WN7" s="11"/>
      <c r="WO7" s="11"/>
      <c r="WP7" s="11"/>
      <c r="WQ7" s="11"/>
      <c r="WR7" s="11"/>
      <c r="WS7" s="11"/>
      <c r="WT7" s="11"/>
      <c r="WU7" s="11"/>
      <c r="WV7" s="11"/>
      <c r="WW7" s="11"/>
      <c r="WX7" s="11"/>
      <c r="WY7" s="11"/>
      <c r="WZ7" s="11"/>
      <c r="XA7" s="11"/>
      <c r="XB7" s="11"/>
      <c r="XC7" s="11"/>
      <c r="XD7" s="11"/>
      <c r="XE7" s="11"/>
      <c r="XF7" s="11"/>
      <c r="XG7" s="11"/>
      <c r="XH7" s="11"/>
      <c r="XI7" s="11"/>
      <c r="XJ7" s="11"/>
      <c r="XK7" s="11"/>
      <c r="XL7" s="11"/>
      <c r="XM7" s="11"/>
      <c r="XN7" s="11"/>
      <c r="XO7" s="11"/>
      <c r="XP7" s="11"/>
      <c r="XQ7" s="11"/>
      <c r="XR7" s="11"/>
      <c r="XS7" s="11"/>
      <c r="XT7" s="11"/>
      <c r="XU7" s="11"/>
      <c r="XV7" s="11"/>
      <c r="XW7" s="11"/>
      <c r="XX7" s="11"/>
      <c r="XY7" s="11"/>
      <c r="XZ7" s="11"/>
      <c r="YA7" s="11"/>
      <c r="YB7" s="11"/>
      <c r="YC7" s="11"/>
      <c r="YD7" s="11"/>
      <c r="YE7" s="11"/>
      <c r="YF7" s="11"/>
      <c r="YG7" s="11"/>
      <c r="YH7" s="11"/>
      <c r="YI7" s="11"/>
      <c r="YJ7" s="11"/>
      <c r="YK7" s="11"/>
      <c r="YL7" s="11"/>
      <c r="YM7" s="11"/>
      <c r="YN7" s="11"/>
      <c r="YO7" s="11"/>
      <c r="YP7" s="11"/>
      <c r="YQ7" s="11"/>
      <c r="YR7" s="11"/>
      <c r="YS7" s="11"/>
      <c r="YT7" s="11"/>
      <c r="YU7" s="11"/>
      <c r="YV7" s="11"/>
      <c r="YW7" s="11"/>
      <c r="YX7" s="11"/>
      <c r="YY7" s="11"/>
      <c r="YZ7" s="11"/>
      <c r="ZA7" s="11"/>
      <c r="ZB7" s="11"/>
      <c r="ZC7" s="11"/>
      <c r="ZD7" s="11"/>
      <c r="ZE7" s="11"/>
      <c r="ZF7" s="11"/>
      <c r="ZG7" s="11"/>
      <c r="ZH7" s="11"/>
      <c r="ZI7" s="11"/>
      <c r="ZJ7" s="11"/>
      <c r="ZK7" s="11"/>
      <c r="ZL7" s="11"/>
      <c r="ZM7" s="11"/>
      <c r="ZN7" s="11"/>
      <c r="ZO7" s="11"/>
      <c r="ZP7" s="11"/>
      <c r="ZQ7" s="11"/>
      <c r="ZR7" s="11"/>
      <c r="ZS7" s="11"/>
      <c r="ZT7" s="11"/>
      <c r="ZU7" s="11"/>
      <c r="ZV7" s="11"/>
      <c r="ZW7" s="11"/>
      <c r="ZX7" s="11"/>
      <c r="ZY7" s="11"/>
      <c r="ZZ7" s="11"/>
      <c r="AAA7" s="11"/>
      <c r="AAB7" s="11"/>
      <c r="AAC7" s="11"/>
      <c r="AAD7" s="11"/>
      <c r="AAE7" s="11"/>
      <c r="AAF7" s="11"/>
      <c r="AAG7" s="11"/>
      <c r="AAH7" s="11"/>
      <c r="AAI7" s="11"/>
      <c r="AAJ7" s="11"/>
      <c r="AAK7" s="11"/>
      <c r="AAL7" s="11"/>
    </row>
    <row r="8" spans="1:714" s="6" customFormat="1" x14ac:dyDescent="0.3">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c r="JP8" s="11"/>
      <c r="JQ8" s="11"/>
      <c r="JR8" s="11"/>
      <c r="JS8" s="11"/>
      <c r="JT8" s="11"/>
      <c r="JU8" s="11"/>
      <c r="JV8" s="11"/>
      <c r="JW8" s="11"/>
      <c r="JX8" s="11"/>
      <c r="JY8" s="11"/>
      <c r="JZ8" s="11"/>
      <c r="KA8" s="11"/>
      <c r="KB8" s="11"/>
      <c r="KC8" s="11"/>
      <c r="KD8" s="11"/>
      <c r="KE8" s="11"/>
      <c r="KF8" s="11"/>
      <c r="KG8" s="11"/>
      <c r="KH8" s="11"/>
      <c r="KI8" s="11"/>
      <c r="KJ8" s="11"/>
      <c r="KK8" s="11"/>
      <c r="KL8" s="11"/>
      <c r="KM8" s="11"/>
      <c r="KN8" s="11"/>
      <c r="KO8" s="11"/>
      <c r="KP8" s="11"/>
      <c r="KQ8" s="11"/>
      <c r="KR8" s="11"/>
      <c r="KS8" s="11"/>
      <c r="KT8" s="11"/>
      <c r="KU8" s="11"/>
      <c r="KV8" s="11"/>
      <c r="KW8" s="11"/>
      <c r="KX8" s="11"/>
      <c r="KY8" s="11"/>
      <c r="KZ8" s="11"/>
      <c r="LA8" s="11"/>
      <c r="LB8" s="11"/>
      <c r="LC8" s="11"/>
      <c r="LD8" s="11"/>
      <c r="LE8" s="11"/>
      <c r="LF8" s="11"/>
      <c r="LG8" s="11"/>
      <c r="LH8" s="11"/>
      <c r="LI8" s="11"/>
      <c r="LJ8" s="11"/>
      <c r="LK8" s="11"/>
      <c r="LL8" s="11"/>
      <c r="LM8" s="11"/>
      <c r="LN8" s="11"/>
      <c r="LO8" s="11"/>
      <c r="LP8" s="11"/>
      <c r="LQ8" s="11"/>
      <c r="LR8" s="11"/>
      <c r="LS8" s="11"/>
      <c r="LT8" s="11"/>
      <c r="LU8" s="11"/>
      <c r="LV8" s="11"/>
      <c r="LW8" s="11"/>
      <c r="LX8" s="11"/>
      <c r="LY8" s="11"/>
      <c r="LZ8" s="11"/>
      <c r="MA8" s="11"/>
      <c r="MB8" s="11"/>
      <c r="MC8" s="11"/>
      <c r="MD8" s="11"/>
      <c r="ME8" s="11"/>
      <c r="MF8" s="11"/>
      <c r="MG8" s="11"/>
      <c r="MH8" s="11"/>
      <c r="MI8" s="11"/>
      <c r="MJ8" s="11"/>
      <c r="MK8" s="11"/>
      <c r="ML8" s="11"/>
      <c r="MM8" s="11"/>
      <c r="MN8" s="11"/>
      <c r="MO8" s="11"/>
      <c r="MP8" s="11"/>
      <c r="MQ8" s="11"/>
      <c r="MR8" s="11"/>
      <c r="MS8" s="11"/>
      <c r="MT8" s="11"/>
      <c r="MU8" s="11"/>
      <c r="MV8" s="11"/>
      <c r="MW8" s="11"/>
      <c r="MX8" s="11"/>
      <c r="MY8" s="11"/>
      <c r="MZ8" s="11"/>
      <c r="NA8" s="11"/>
      <c r="NB8" s="11"/>
      <c r="NC8" s="11"/>
      <c r="ND8" s="11"/>
      <c r="NE8" s="11"/>
      <c r="NF8" s="11"/>
      <c r="NG8" s="11"/>
      <c r="NH8" s="11"/>
      <c r="NI8" s="11"/>
      <c r="NJ8" s="11"/>
      <c r="NK8" s="11"/>
      <c r="NL8" s="11"/>
      <c r="NM8" s="11"/>
      <c r="NN8" s="11"/>
      <c r="NO8" s="11"/>
      <c r="NP8" s="11"/>
      <c r="NQ8" s="11"/>
      <c r="NR8" s="11"/>
      <c r="NS8" s="11"/>
      <c r="NT8" s="11"/>
      <c r="NU8" s="11"/>
      <c r="NV8" s="11"/>
      <c r="NW8" s="11"/>
      <c r="NX8" s="11"/>
      <c r="NY8" s="11"/>
      <c r="NZ8" s="11"/>
      <c r="OA8" s="11"/>
      <c r="OB8" s="11"/>
      <c r="OC8" s="11"/>
      <c r="OD8" s="11"/>
      <c r="OE8" s="11"/>
      <c r="OF8" s="11"/>
      <c r="OG8" s="11"/>
      <c r="OH8" s="11"/>
      <c r="OI8" s="11"/>
      <c r="OJ8" s="11"/>
      <c r="OK8" s="11"/>
      <c r="OL8" s="11"/>
      <c r="OM8" s="11"/>
      <c r="ON8" s="11"/>
      <c r="OO8" s="11"/>
      <c r="OP8" s="11"/>
      <c r="OQ8" s="11"/>
      <c r="OR8" s="11"/>
      <c r="OS8" s="11"/>
      <c r="OT8" s="11"/>
      <c r="OU8" s="11"/>
      <c r="OV8" s="11"/>
      <c r="OW8" s="11"/>
      <c r="OX8" s="11"/>
      <c r="OY8" s="11"/>
      <c r="OZ8" s="11"/>
      <c r="PA8" s="11"/>
      <c r="PB8" s="11"/>
      <c r="PC8" s="11"/>
      <c r="PD8" s="11"/>
      <c r="PE8" s="11"/>
      <c r="PF8" s="11"/>
      <c r="PG8" s="11"/>
      <c r="PH8" s="11"/>
      <c r="PI8" s="11"/>
      <c r="PJ8" s="11"/>
      <c r="PK8" s="11"/>
      <c r="PL8" s="11"/>
      <c r="PM8" s="11"/>
      <c r="PN8" s="11"/>
      <c r="PO8" s="11"/>
      <c r="PP8" s="11"/>
      <c r="PQ8" s="11"/>
      <c r="PR8" s="11"/>
      <c r="PS8" s="11"/>
      <c r="PT8" s="11"/>
      <c r="PU8" s="11"/>
      <c r="PV8" s="11"/>
      <c r="PW8" s="11"/>
      <c r="PX8" s="11"/>
      <c r="PY8" s="11"/>
      <c r="PZ8" s="11"/>
      <c r="QA8" s="11"/>
      <c r="QB8" s="11"/>
      <c r="QC8" s="11"/>
      <c r="QD8" s="11"/>
      <c r="QE8" s="11"/>
      <c r="QF8" s="11"/>
      <c r="QG8" s="11"/>
      <c r="QH8" s="11"/>
      <c r="QI8" s="11"/>
      <c r="QJ8" s="11"/>
      <c r="QK8" s="11"/>
      <c r="QL8" s="11"/>
      <c r="QM8" s="11"/>
      <c r="QN8" s="11"/>
      <c r="QO8" s="11"/>
      <c r="QP8" s="11"/>
      <c r="QQ8" s="11"/>
      <c r="QR8" s="11"/>
      <c r="QS8" s="11"/>
      <c r="QT8" s="11"/>
      <c r="QU8" s="11"/>
      <c r="QV8" s="11"/>
      <c r="QW8" s="11"/>
      <c r="QX8" s="11"/>
      <c r="QY8" s="11"/>
      <c r="QZ8" s="11"/>
      <c r="RA8" s="11"/>
      <c r="RB8" s="11"/>
      <c r="RC8" s="11"/>
      <c r="RD8" s="11"/>
      <c r="RE8" s="11"/>
      <c r="RF8" s="11"/>
      <c r="RG8" s="11"/>
      <c r="RH8" s="11"/>
      <c r="RI8" s="11"/>
      <c r="RJ8" s="11"/>
      <c r="RK8" s="11"/>
      <c r="RL8" s="11"/>
      <c r="RM8" s="11"/>
      <c r="RN8" s="11"/>
      <c r="RO8" s="11"/>
      <c r="RP8" s="11"/>
      <c r="RQ8" s="11"/>
      <c r="RR8" s="11"/>
      <c r="RS8" s="11"/>
      <c r="RT8" s="11"/>
      <c r="RU8" s="11"/>
      <c r="RV8" s="11"/>
      <c r="RW8" s="11"/>
      <c r="RX8" s="11"/>
      <c r="RY8" s="11"/>
      <c r="RZ8" s="11"/>
      <c r="SA8" s="11"/>
      <c r="SB8" s="11"/>
      <c r="SC8" s="11"/>
      <c r="SD8" s="11"/>
      <c r="SE8" s="11"/>
      <c r="SF8" s="11"/>
      <c r="SG8" s="11"/>
      <c r="SH8" s="11"/>
      <c r="SI8" s="11"/>
      <c r="SJ8" s="11"/>
      <c r="SK8" s="11"/>
      <c r="SL8" s="11"/>
      <c r="SM8" s="11"/>
      <c r="SN8" s="11"/>
      <c r="SO8" s="11"/>
      <c r="SP8" s="11"/>
      <c r="SQ8" s="11"/>
      <c r="SR8" s="11"/>
      <c r="SS8" s="11"/>
      <c r="ST8" s="11"/>
      <c r="SU8" s="11"/>
      <c r="SV8" s="11"/>
      <c r="SW8" s="11"/>
      <c r="SX8" s="11"/>
      <c r="SY8" s="11"/>
      <c r="SZ8" s="11"/>
      <c r="TA8" s="11"/>
      <c r="TB8" s="11"/>
      <c r="TC8" s="11"/>
      <c r="TD8" s="11"/>
      <c r="TE8" s="11"/>
      <c r="TF8" s="11"/>
      <c r="TG8" s="11"/>
      <c r="TH8" s="11"/>
      <c r="TI8" s="11"/>
      <c r="TJ8" s="11"/>
      <c r="TK8" s="11"/>
      <c r="TL8" s="11"/>
      <c r="TM8" s="11"/>
      <c r="TN8" s="11"/>
      <c r="TO8" s="11"/>
      <c r="TP8" s="11"/>
      <c r="TQ8" s="11"/>
      <c r="TR8" s="11"/>
      <c r="TS8" s="11"/>
      <c r="TT8" s="11"/>
      <c r="TU8" s="11"/>
      <c r="TV8" s="11"/>
      <c r="TW8" s="11"/>
      <c r="TX8" s="11"/>
      <c r="TY8" s="11"/>
      <c r="TZ8" s="11"/>
      <c r="UA8" s="11"/>
      <c r="UB8" s="11"/>
      <c r="UC8" s="11"/>
      <c r="UD8" s="11"/>
      <c r="UE8" s="11"/>
      <c r="UF8" s="11"/>
      <c r="UG8" s="11"/>
      <c r="UH8" s="11"/>
      <c r="UI8" s="11"/>
      <c r="UJ8" s="11"/>
      <c r="UK8" s="11"/>
      <c r="UL8" s="11"/>
      <c r="UM8" s="11"/>
      <c r="UN8" s="11"/>
      <c r="UO8" s="11"/>
      <c r="UP8" s="11"/>
      <c r="UQ8" s="11"/>
      <c r="UR8" s="11"/>
      <c r="US8" s="11"/>
      <c r="UT8" s="11"/>
      <c r="UU8" s="11"/>
      <c r="UV8" s="11"/>
      <c r="UW8" s="11"/>
      <c r="UX8" s="11"/>
      <c r="UY8" s="11"/>
      <c r="UZ8" s="11"/>
      <c r="VA8" s="11"/>
      <c r="VB8" s="11"/>
      <c r="VC8" s="11"/>
      <c r="VD8" s="11"/>
      <c r="VE8" s="11"/>
      <c r="VF8" s="11"/>
      <c r="VG8" s="11"/>
      <c r="VH8" s="11"/>
      <c r="VI8" s="11"/>
      <c r="VJ8" s="11"/>
      <c r="VK8" s="11"/>
      <c r="VL8" s="11"/>
      <c r="VM8" s="11"/>
      <c r="VN8" s="11"/>
      <c r="VO8" s="11"/>
      <c r="VP8" s="11"/>
      <c r="VQ8" s="11"/>
      <c r="VR8" s="11"/>
      <c r="VS8" s="11"/>
      <c r="VT8" s="11"/>
      <c r="VU8" s="11"/>
      <c r="VV8" s="11"/>
      <c r="VW8" s="11"/>
      <c r="VX8" s="11"/>
      <c r="VY8" s="11"/>
      <c r="VZ8" s="11"/>
      <c r="WA8" s="11"/>
      <c r="WB8" s="11"/>
      <c r="WC8" s="11"/>
      <c r="WD8" s="11"/>
      <c r="WE8" s="11"/>
      <c r="WF8" s="11"/>
      <c r="WG8" s="11"/>
      <c r="WH8" s="11"/>
      <c r="WI8" s="11"/>
      <c r="WJ8" s="11"/>
      <c r="WK8" s="11"/>
      <c r="WL8" s="11"/>
      <c r="WM8" s="11"/>
      <c r="WN8" s="11"/>
      <c r="WO8" s="11"/>
      <c r="WP8" s="11"/>
      <c r="WQ8" s="11"/>
      <c r="WR8" s="11"/>
      <c r="WS8" s="11"/>
      <c r="WT8" s="11"/>
      <c r="WU8" s="11"/>
      <c r="WV8" s="11"/>
      <c r="WW8" s="11"/>
      <c r="WX8" s="11"/>
      <c r="WY8" s="11"/>
      <c r="WZ8" s="11"/>
      <c r="XA8" s="11"/>
      <c r="XB8" s="11"/>
      <c r="XC8" s="11"/>
      <c r="XD8" s="11"/>
      <c r="XE8" s="11"/>
      <c r="XF8" s="11"/>
      <c r="XG8" s="11"/>
      <c r="XH8" s="11"/>
      <c r="XI8" s="11"/>
      <c r="XJ8" s="11"/>
      <c r="XK8" s="11"/>
      <c r="XL8" s="11"/>
      <c r="XM8" s="11"/>
      <c r="XN8" s="11"/>
      <c r="XO8" s="11"/>
      <c r="XP8" s="11"/>
      <c r="XQ8" s="11"/>
      <c r="XR8" s="11"/>
      <c r="XS8" s="11"/>
      <c r="XT8" s="11"/>
      <c r="XU8" s="11"/>
      <c r="XV8" s="11"/>
      <c r="XW8" s="11"/>
      <c r="XX8" s="11"/>
      <c r="XY8" s="11"/>
      <c r="XZ8" s="11"/>
      <c r="YA8" s="11"/>
      <c r="YB8" s="11"/>
      <c r="YC8" s="11"/>
      <c r="YD8" s="11"/>
      <c r="YE8" s="11"/>
      <c r="YF8" s="11"/>
      <c r="YG8" s="11"/>
      <c r="YH8" s="11"/>
      <c r="YI8" s="11"/>
      <c r="YJ8" s="11"/>
      <c r="YK8" s="11"/>
      <c r="YL8" s="11"/>
      <c r="YM8" s="11"/>
      <c r="YN8" s="11"/>
      <c r="YO8" s="11"/>
      <c r="YP8" s="11"/>
      <c r="YQ8" s="11"/>
      <c r="YR8" s="11"/>
      <c r="YS8" s="11"/>
      <c r="YT8" s="11"/>
      <c r="YU8" s="11"/>
      <c r="YV8" s="11"/>
      <c r="YW8" s="11"/>
      <c r="YX8" s="11"/>
      <c r="YY8" s="11"/>
      <c r="YZ8" s="11"/>
      <c r="ZA8" s="11"/>
      <c r="ZB8" s="11"/>
      <c r="ZC8" s="11"/>
      <c r="ZD8" s="11"/>
      <c r="ZE8" s="11"/>
      <c r="ZF8" s="11"/>
      <c r="ZG8" s="11"/>
      <c r="ZH8" s="11"/>
      <c r="ZI8" s="11"/>
      <c r="ZJ8" s="11"/>
      <c r="ZK8" s="11"/>
      <c r="ZL8" s="11"/>
      <c r="ZM8" s="11"/>
      <c r="ZN8" s="11"/>
      <c r="ZO8" s="11"/>
      <c r="ZP8" s="11"/>
      <c r="ZQ8" s="11"/>
      <c r="ZR8" s="11"/>
      <c r="ZS8" s="11"/>
      <c r="ZT8" s="11"/>
      <c r="ZU8" s="11"/>
      <c r="ZV8" s="11"/>
      <c r="ZW8" s="11"/>
      <c r="ZX8" s="11"/>
      <c r="ZY8" s="11"/>
      <c r="ZZ8" s="11"/>
      <c r="AAA8" s="11"/>
      <c r="AAB8" s="11"/>
      <c r="AAC8" s="11"/>
      <c r="AAD8" s="11"/>
      <c r="AAE8" s="11"/>
      <c r="AAF8" s="11"/>
      <c r="AAG8" s="11"/>
      <c r="AAH8" s="11"/>
      <c r="AAI8" s="11"/>
      <c r="AAJ8" s="11"/>
      <c r="AAK8" s="11"/>
      <c r="AAL8" s="11"/>
    </row>
    <row r="9" spans="1:714" s="6" customFormat="1" x14ac:dyDescent="0.3">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c r="IW9" s="11"/>
      <c r="IX9" s="11"/>
      <c r="IY9" s="11"/>
      <c r="IZ9" s="11"/>
      <c r="JA9" s="11"/>
      <c r="JB9" s="11"/>
      <c r="JC9" s="11"/>
      <c r="JD9" s="11"/>
      <c r="JE9" s="11"/>
      <c r="JF9" s="11"/>
      <c r="JG9" s="11"/>
      <c r="JH9" s="11"/>
      <c r="JI9" s="11"/>
      <c r="JJ9" s="11"/>
      <c r="JK9" s="11"/>
      <c r="JL9" s="11"/>
      <c r="JM9" s="11"/>
      <c r="JN9" s="11"/>
      <c r="JO9" s="11"/>
      <c r="JP9" s="11"/>
      <c r="JQ9" s="11"/>
      <c r="JR9" s="11"/>
      <c r="JS9" s="11"/>
      <c r="JT9" s="11"/>
      <c r="JU9" s="11"/>
      <c r="JV9" s="11"/>
      <c r="JW9" s="11"/>
      <c r="JX9" s="11"/>
      <c r="JY9" s="11"/>
      <c r="JZ9" s="11"/>
      <c r="KA9" s="11"/>
      <c r="KB9" s="11"/>
      <c r="KC9" s="11"/>
      <c r="KD9" s="11"/>
      <c r="KE9" s="11"/>
      <c r="KF9" s="11"/>
      <c r="KG9" s="11"/>
      <c r="KH9" s="11"/>
      <c r="KI9" s="11"/>
      <c r="KJ9" s="11"/>
      <c r="KK9" s="11"/>
      <c r="KL9" s="11"/>
      <c r="KM9" s="11"/>
      <c r="KN9" s="11"/>
      <c r="KO9" s="11"/>
      <c r="KP9" s="11"/>
      <c r="KQ9" s="11"/>
      <c r="KR9" s="11"/>
      <c r="KS9" s="11"/>
      <c r="KT9" s="11"/>
      <c r="KU9" s="11"/>
      <c r="KV9" s="11"/>
      <c r="KW9" s="11"/>
      <c r="KX9" s="11"/>
      <c r="KY9" s="11"/>
      <c r="KZ9" s="11"/>
      <c r="LA9" s="11"/>
      <c r="LB9" s="11"/>
      <c r="LC9" s="11"/>
      <c r="LD9" s="11"/>
      <c r="LE9" s="11"/>
      <c r="LF9" s="11"/>
      <c r="LG9" s="11"/>
      <c r="LH9" s="11"/>
      <c r="LI9" s="11"/>
      <c r="LJ9" s="11"/>
      <c r="LK9" s="11"/>
      <c r="LL9" s="11"/>
      <c r="LM9" s="11"/>
      <c r="LN9" s="11"/>
      <c r="LO9" s="11"/>
      <c r="LP9" s="11"/>
      <c r="LQ9" s="11"/>
      <c r="LR9" s="11"/>
      <c r="LS9" s="11"/>
      <c r="LT9" s="11"/>
      <c r="LU9" s="11"/>
      <c r="LV9" s="11"/>
      <c r="LW9" s="11"/>
      <c r="LX9" s="11"/>
      <c r="LY9" s="11"/>
      <c r="LZ9" s="11"/>
      <c r="MA9" s="11"/>
      <c r="MB9" s="11"/>
      <c r="MC9" s="11"/>
      <c r="MD9" s="11"/>
      <c r="ME9" s="11"/>
      <c r="MF9" s="11"/>
      <c r="MG9" s="11"/>
      <c r="MH9" s="11"/>
      <c r="MI9" s="11"/>
      <c r="MJ9" s="11"/>
      <c r="MK9" s="11"/>
      <c r="ML9" s="11"/>
      <c r="MM9" s="11"/>
      <c r="MN9" s="11"/>
      <c r="MO9" s="11"/>
      <c r="MP9" s="11"/>
      <c r="MQ9" s="11"/>
      <c r="MR9" s="11"/>
      <c r="MS9" s="11"/>
      <c r="MT9" s="11"/>
      <c r="MU9" s="11"/>
      <c r="MV9" s="11"/>
      <c r="MW9" s="11"/>
      <c r="MX9" s="11"/>
      <c r="MY9" s="11"/>
      <c r="MZ9" s="11"/>
      <c r="NA9" s="11"/>
      <c r="NB9" s="11"/>
      <c r="NC9" s="11"/>
      <c r="ND9" s="11"/>
      <c r="NE9" s="11"/>
      <c r="NF9" s="11"/>
      <c r="NG9" s="11"/>
      <c r="NH9" s="11"/>
      <c r="NI9" s="11"/>
      <c r="NJ9" s="11"/>
      <c r="NK9" s="11"/>
      <c r="NL9" s="11"/>
      <c r="NM9" s="11"/>
      <c r="NN9" s="11"/>
      <c r="NO9" s="11"/>
      <c r="NP9" s="11"/>
      <c r="NQ9" s="11"/>
      <c r="NR9" s="11"/>
      <c r="NS9" s="11"/>
      <c r="NT9" s="11"/>
      <c r="NU9" s="11"/>
      <c r="NV9" s="11"/>
      <c r="NW9" s="11"/>
      <c r="NX9" s="11"/>
      <c r="NY9" s="11"/>
      <c r="NZ9" s="11"/>
      <c r="OA9" s="11"/>
      <c r="OB9" s="11"/>
      <c r="OC9" s="11"/>
      <c r="OD9" s="11"/>
      <c r="OE9" s="11"/>
      <c r="OF9" s="11"/>
      <c r="OG9" s="11"/>
      <c r="OH9" s="11"/>
      <c r="OI9" s="11"/>
      <c r="OJ9" s="11"/>
      <c r="OK9" s="11"/>
      <c r="OL9" s="11"/>
      <c r="OM9" s="11"/>
      <c r="ON9" s="11"/>
      <c r="OO9" s="11"/>
      <c r="OP9" s="11"/>
      <c r="OQ9" s="11"/>
      <c r="OR9" s="11"/>
      <c r="OS9" s="11"/>
      <c r="OT9" s="11"/>
      <c r="OU9" s="11"/>
      <c r="OV9" s="11"/>
      <c r="OW9" s="11"/>
      <c r="OX9" s="11"/>
      <c r="OY9" s="11"/>
      <c r="OZ9" s="11"/>
      <c r="PA9" s="11"/>
      <c r="PB9" s="11"/>
      <c r="PC9" s="11"/>
      <c r="PD9" s="11"/>
      <c r="PE9" s="11"/>
      <c r="PF9" s="11"/>
      <c r="PG9" s="11"/>
      <c r="PH9" s="11"/>
      <c r="PI9" s="11"/>
      <c r="PJ9" s="11"/>
      <c r="PK9" s="11"/>
      <c r="PL9" s="11"/>
      <c r="PM9" s="11"/>
      <c r="PN9" s="11"/>
      <c r="PO9" s="11"/>
      <c r="PP9" s="11"/>
      <c r="PQ9" s="11"/>
      <c r="PR9" s="11"/>
      <c r="PS9" s="11"/>
      <c r="PT9" s="11"/>
      <c r="PU9" s="11"/>
      <c r="PV9" s="11"/>
      <c r="PW9" s="11"/>
      <c r="PX9" s="11"/>
      <c r="PY9" s="11"/>
      <c r="PZ9" s="11"/>
      <c r="QA9" s="11"/>
      <c r="QB9" s="11"/>
      <c r="QC9" s="11"/>
      <c r="QD9" s="11"/>
      <c r="QE9" s="11"/>
      <c r="QF9" s="11"/>
      <c r="QG9" s="11"/>
      <c r="QH9" s="11"/>
      <c r="QI9" s="11"/>
      <c r="QJ9" s="11"/>
      <c r="QK9" s="11"/>
      <c r="QL9" s="11"/>
      <c r="QM9" s="11"/>
      <c r="QN9" s="11"/>
      <c r="QO9" s="11"/>
      <c r="QP9" s="11"/>
      <c r="QQ9" s="11"/>
      <c r="QR9" s="11"/>
      <c r="QS9" s="11"/>
      <c r="QT9" s="11"/>
      <c r="QU9" s="11"/>
      <c r="QV9" s="11"/>
      <c r="QW9" s="11"/>
      <c r="QX9" s="11"/>
      <c r="QY9" s="11"/>
      <c r="QZ9" s="11"/>
      <c r="RA9" s="11"/>
      <c r="RB9" s="11"/>
      <c r="RC9" s="11"/>
      <c r="RD9" s="11"/>
      <c r="RE9" s="11"/>
      <c r="RF9" s="11"/>
      <c r="RG9" s="11"/>
      <c r="RH9" s="11"/>
      <c r="RI9" s="11"/>
      <c r="RJ9" s="11"/>
      <c r="RK9" s="11"/>
      <c r="RL9" s="11"/>
      <c r="RM9" s="11"/>
      <c r="RN9" s="11"/>
      <c r="RO9" s="11"/>
      <c r="RP9" s="11"/>
      <c r="RQ9" s="11"/>
      <c r="RR9" s="11"/>
      <c r="RS9" s="11"/>
      <c r="RT9" s="11"/>
      <c r="RU9" s="11"/>
      <c r="RV9" s="11"/>
      <c r="RW9" s="11"/>
      <c r="RX9" s="11"/>
      <c r="RY9" s="11"/>
      <c r="RZ9" s="11"/>
      <c r="SA9" s="11"/>
      <c r="SB9" s="11"/>
      <c r="SC9" s="11"/>
      <c r="SD9" s="11"/>
      <c r="SE9" s="11"/>
      <c r="SF9" s="11"/>
      <c r="SG9" s="11"/>
      <c r="SH9" s="11"/>
      <c r="SI9" s="11"/>
      <c r="SJ9" s="11"/>
      <c r="SK9" s="11"/>
      <c r="SL9" s="11"/>
      <c r="SM9" s="11"/>
      <c r="SN9" s="11"/>
      <c r="SO9" s="11"/>
      <c r="SP9" s="11"/>
      <c r="SQ9" s="11"/>
      <c r="SR9" s="11"/>
      <c r="SS9" s="11"/>
      <c r="ST9" s="11"/>
      <c r="SU9" s="11"/>
      <c r="SV9" s="11"/>
      <c r="SW9" s="11"/>
      <c r="SX9" s="11"/>
      <c r="SY9" s="11"/>
      <c r="SZ9" s="11"/>
      <c r="TA9" s="11"/>
      <c r="TB9" s="11"/>
      <c r="TC9" s="11"/>
      <c r="TD9" s="11"/>
      <c r="TE9" s="11"/>
      <c r="TF9" s="11"/>
      <c r="TG9" s="11"/>
      <c r="TH9" s="11"/>
      <c r="TI9" s="11"/>
      <c r="TJ9" s="11"/>
      <c r="TK9" s="11"/>
      <c r="TL9" s="11"/>
      <c r="TM9" s="11"/>
      <c r="TN9" s="11"/>
      <c r="TO9" s="11"/>
      <c r="TP9" s="11"/>
      <c r="TQ9" s="11"/>
      <c r="TR9" s="11"/>
      <c r="TS9" s="11"/>
      <c r="TT9" s="11"/>
      <c r="TU9" s="11"/>
      <c r="TV9" s="11"/>
      <c r="TW9" s="11"/>
      <c r="TX9" s="11"/>
      <c r="TY9" s="11"/>
      <c r="TZ9" s="11"/>
      <c r="UA9" s="11"/>
      <c r="UB9" s="11"/>
      <c r="UC9" s="11"/>
      <c r="UD9" s="11"/>
      <c r="UE9" s="11"/>
      <c r="UF9" s="11"/>
      <c r="UG9" s="11"/>
      <c r="UH9" s="11"/>
      <c r="UI9" s="11"/>
      <c r="UJ9" s="11"/>
      <c r="UK9" s="11"/>
      <c r="UL9" s="11"/>
      <c r="UM9" s="11"/>
      <c r="UN9" s="11"/>
      <c r="UO9" s="11"/>
      <c r="UP9" s="11"/>
      <c r="UQ9" s="11"/>
      <c r="UR9" s="11"/>
      <c r="US9" s="11"/>
      <c r="UT9" s="11"/>
      <c r="UU9" s="11"/>
      <c r="UV9" s="11"/>
      <c r="UW9" s="11"/>
      <c r="UX9" s="11"/>
      <c r="UY9" s="11"/>
      <c r="UZ9" s="11"/>
      <c r="VA9" s="11"/>
      <c r="VB9" s="11"/>
      <c r="VC9" s="11"/>
      <c r="VD9" s="11"/>
      <c r="VE9" s="11"/>
      <c r="VF9" s="11"/>
      <c r="VG9" s="11"/>
      <c r="VH9" s="11"/>
      <c r="VI9" s="11"/>
      <c r="VJ9" s="11"/>
      <c r="VK9" s="11"/>
      <c r="VL9" s="11"/>
      <c r="VM9" s="11"/>
      <c r="VN9" s="11"/>
      <c r="VO9" s="11"/>
      <c r="VP9" s="11"/>
      <c r="VQ9" s="11"/>
      <c r="VR9" s="11"/>
      <c r="VS9" s="11"/>
      <c r="VT9" s="11"/>
      <c r="VU9" s="11"/>
      <c r="VV9" s="11"/>
      <c r="VW9" s="11"/>
      <c r="VX9" s="11"/>
      <c r="VY9" s="11"/>
      <c r="VZ9" s="11"/>
      <c r="WA9" s="11"/>
      <c r="WB9" s="11"/>
      <c r="WC9" s="11"/>
      <c r="WD9" s="11"/>
      <c r="WE9" s="11"/>
      <c r="WF9" s="11"/>
      <c r="WG9" s="11"/>
      <c r="WH9" s="11"/>
      <c r="WI9" s="11"/>
      <c r="WJ9" s="11"/>
      <c r="WK9" s="11"/>
      <c r="WL9" s="11"/>
      <c r="WM9" s="11"/>
      <c r="WN9" s="11"/>
      <c r="WO9" s="11"/>
      <c r="WP9" s="11"/>
      <c r="WQ9" s="11"/>
      <c r="WR9" s="11"/>
      <c r="WS9" s="11"/>
      <c r="WT9" s="11"/>
      <c r="WU9" s="11"/>
      <c r="WV9" s="11"/>
      <c r="WW9" s="11"/>
      <c r="WX9" s="11"/>
      <c r="WY9" s="11"/>
      <c r="WZ9" s="11"/>
      <c r="XA9" s="11"/>
      <c r="XB9" s="11"/>
      <c r="XC9" s="11"/>
      <c r="XD9" s="11"/>
      <c r="XE9" s="11"/>
      <c r="XF9" s="11"/>
      <c r="XG9" s="11"/>
      <c r="XH9" s="11"/>
      <c r="XI9" s="11"/>
      <c r="XJ9" s="11"/>
      <c r="XK9" s="11"/>
      <c r="XL9" s="11"/>
      <c r="XM9" s="11"/>
      <c r="XN9" s="11"/>
      <c r="XO9" s="11"/>
      <c r="XP9" s="11"/>
      <c r="XQ9" s="11"/>
      <c r="XR9" s="11"/>
      <c r="XS9" s="11"/>
      <c r="XT9" s="11"/>
      <c r="XU9" s="11"/>
      <c r="XV9" s="11"/>
      <c r="XW9" s="11"/>
      <c r="XX9" s="11"/>
      <c r="XY9" s="11"/>
      <c r="XZ9" s="11"/>
      <c r="YA9" s="11"/>
      <c r="YB9" s="11"/>
      <c r="YC9" s="11"/>
      <c r="YD9" s="11"/>
      <c r="YE9" s="11"/>
      <c r="YF9" s="11"/>
      <c r="YG9" s="11"/>
      <c r="YH9" s="11"/>
      <c r="YI9" s="11"/>
      <c r="YJ9" s="11"/>
      <c r="YK9" s="11"/>
      <c r="YL9" s="11"/>
      <c r="YM9" s="11"/>
      <c r="YN9" s="11"/>
      <c r="YO9" s="11"/>
      <c r="YP9" s="11"/>
      <c r="YQ9" s="11"/>
      <c r="YR9" s="11"/>
      <c r="YS9" s="11"/>
      <c r="YT9" s="11"/>
      <c r="YU9" s="11"/>
      <c r="YV9" s="11"/>
      <c r="YW9" s="11"/>
      <c r="YX9" s="11"/>
      <c r="YY9" s="11"/>
      <c r="YZ9" s="11"/>
      <c r="ZA9" s="11"/>
      <c r="ZB9" s="11"/>
      <c r="ZC9" s="11"/>
      <c r="ZD9" s="11"/>
      <c r="ZE9" s="11"/>
      <c r="ZF9" s="11"/>
      <c r="ZG9" s="11"/>
      <c r="ZH9" s="11"/>
      <c r="ZI9" s="11"/>
      <c r="ZJ9" s="11"/>
      <c r="ZK9" s="11"/>
      <c r="ZL9" s="11"/>
      <c r="ZM9" s="11"/>
      <c r="ZN9" s="11"/>
      <c r="ZO9" s="11"/>
      <c r="ZP9" s="11"/>
      <c r="ZQ9" s="11"/>
      <c r="ZR9" s="11"/>
      <c r="ZS9" s="11"/>
      <c r="ZT9" s="11"/>
      <c r="ZU9" s="11"/>
      <c r="ZV9" s="11"/>
      <c r="ZW9" s="11"/>
      <c r="ZX9" s="11"/>
      <c r="ZY9" s="11"/>
      <c r="ZZ9" s="11"/>
      <c r="AAA9" s="11"/>
      <c r="AAB9" s="11"/>
      <c r="AAC9" s="11"/>
      <c r="AAD9" s="11"/>
      <c r="AAE9" s="11"/>
      <c r="AAF9" s="11"/>
      <c r="AAG9" s="11"/>
      <c r="AAH9" s="11"/>
      <c r="AAI9" s="11"/>
      <c r="AAJ9" s="11"/>
      <c r="AAK9" s="11"/>
      <c r="AAL9" s="11"/>
    </row>
    <row r="10" spans="1:714" s="6" customFormat="1" x14ac:dyDescent="0.3">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c r="IQ10" s="11"/>
      <c r="IR10" s="11"/>
      <c r="IS10" s="11"/>
      <c r="IT10" s="11"/>
      <c r="IU10" s="11"/>
      <c r="IV10" s="11"/>
      <c r="IW10" s="11"/>
      <c r="IX10" s="11"/>
      <c r="IY10" s="11"/>
      <c r="IZ10" s="11"/>
      <c r="JA10" s="11"/>
      <c r="JB10" s="11"/>
      <c r="JC10" s="11"/>
      <c r="JD10" s="11"/>
      <c r="JE10" s="11"/>
      <c r="JF10" s="11"/>
      <c r="JG10" s="11"/>
      <c r="JH10" s="11"/>
      <c r="JI10" s="11"/>
      <c r="JJ10" s="11"/>
      <c r="JK10" s="11"/>
      <c r="JL10" s="11"/>
      <c r="JM10" s="11"/>
      <c r="JN10" s="11"/>
      <c r="JO10" s="11"/>
      <c r="JP10" s="11"/>
      <c r="JQ10" s="11"/>
      <c r="JR10" s="11"/>
      <c r="JS10" s="11"/>
      <c r="JT10" s="11"/>
      <c r="JU10" s="11"/>
      <c r="JV10" s="11"/>
      <c r="JW10" s="11"/>
      <c r="JX10" s="11"/>
      <c r="JY10" s="11"/>
      <c r="JZ10" s="11"/>
      <c r="KA10" s="11"/>
      <c r="KB10" s="11"/>
      <c r="KC10" s="11"/>
      <c r="KD10" s="11"/>
      <c r="KE10" s="11"/>
      <c r="KF10" s="11"/>
      <c r="KG10" s="11"/>
      <c r="KH10" s="11"/>
      <c r="KI10" s="11"/>
      <c r="KJ10" s="11"/>
      <c r="KK10" s="11"/>
      <c r="KL10" s="11"/>
      <c r="KM10" s="11"/>
      <c r="KN10" s="11"/>
      <c r="KO10" s="11"/>
      <c r="KP10" s="11"/>
      <c r="KQ10" s="11"/>
      <c r="KR10" s="11"/>
      <c r="KS10" s="11"/>
      <c r="KT10" s="11"/>
      <c r="KU10" s="11"/>
      <c r="KV10" s="11"/>
      <c r="KW10" s="11"/>
      <c r="KX10" s="11"/>
      <c r="KY10" s="11"/>
      <c r="KZ10" s="11"/>
      <c r="LA10" s="11"/>
      <c r="LB10" s="11"/>
      <c r="LC10" s="11"/>
      <c r="LD10" s="11"/>
      <c r="LE10" s="11"/>
      <c r="LF10" s="11"/>
      <c r="LG10" s="11"/>
      <c r="LH10" s="11"/>
      <c r="LI10" s="11"/>
      <c r="LJ10" s="11"/>
      <c r="LK10" s="11"/>
      <c r="LL10" s="11"/>
      <c r="LM10" s="11"/>
      <c r="LN10" s="11"/>
      <c r="LO10" s="11"/>
      <c r="LP10" s="11"/>
      <c r="LQ10" s="11"/>
      <c r="LR10" s="11"/>
      <c r="LS10" s="11"/>
      <c r="LT10" s="11"/>
      <c r="LU10" s="11"/>
      <c r="LV10" s="11"/>
      <c r="LW10" s="11"/>
      <c r="LX10" s="11"/>
      <c r="LY10" s="11"/>
      <c r="LZ10" s="11"/>
      <c r="MA10" s="11"/>
      <c r="MB10" s="11"/>
      <c r="MC10" s="11"/>
      <c r="MD10" s="11"/>
      <c r="ME10" s="11"/>
      <c r="MF10" s="11"/>
      <c r="MG10" s="11"/>
      <c r="MH10" s="11"/>
      <c r="MI10" s="11"/>
      <c r="MJ10" s="11"/>
      <c r="MK10" s="11"/>
      <c r="ML10" s="11"/>
      <c r="MM10" s="11"/>
      <c r="MN10" s="11"/>
      <c r="MO10" s="11"/>
      <c r="MP10" s="11"/>
      <c r="MQ10" s="11"/>
      <c r="MR10" s="11"/>
      <c r="MS10" s="11"/>
      <c r="MT10" s="11"/>
      <c r="MU10" s="11"/>
      <c r="MV10" s="11"/>
      <c r="MW10" s="11"/>
      <c r="MX10" s="11"/>
      <c r="MY10" s="11"/>
      <c r="MZ10" s="11"/>
      <c r="NA10" s="11"/>
      <c r="NB10" s="11"/>
      <c r="NC10" s="11"/>
      <c r="ND10" s="11"/>
      <c r="NE10" s="11"/>
      <c r="NF10" s="11"/>
      <c r="NG10" s="11"/>
      <c r="NH10" s="11"/>
      <c r="NI10" s="11"/>
      <c r="NJ10" s="11"/>
      <c r="NK10" s="11"/>
      <c r="NL10" s="11"/>
      <c r="NM10" s="11"/>
      <c r="NN10" s="11"/>
      <c r="NO10" s="11"/>
      <c r="NP10" s="11"/>
      <c r="NQ10" s="11"/>
      <c r="NR10" s="11"/>
      <c r="NS10" s="11"/>
      <c r="NT10" s="11"/>
      <c r="NU10" s="11"/>
      <c r="NV10" s="11"/>
      <c r="NW10" s="11"/>
      <c r="NX10" s="11"/>
      <c r="NY10" s="11"/>
      <c r="NZ10" s="11"/>
      <c r="OA10" s="11"/>
      <c r="OB10" s="11"/>
      <c r="OC10" s="11"/>
      <c r="OD10" s="11"/>
      <c r="OE10" s="11"/>
      <c r="OF10" s="11"/>
      <c r="OG10" s="11"/>
      <c r="OH10" s="11"/>
      <c r="OI10" s="11"/>
      <c r="OJ10" s="11"/>
      <c r="OK10" s="11"/>
      <c r="OL10" s="11"/>
      <c r="OM10" s="11"/>
      <c r="ON10" s="11"/>
      <c r="OO10" s="11"/>
      <c r="OP10" s="11"/>
      <c r="OQ10" s="11"/>
      <c r="OR10" s="11"/>
      <c r="OS10" s="11"/>
      <c r="OT10" s="11"/>
      <c r="OU10" s="11"/>
      <c r="OV10" s="11"/>
      <c r="OW10" s="11"/>
      <c r="OX10" s="11"/>
      <c r="OY10" s="11"/>
      <c r="OZ10" s="11"/>
      <c r="PA10" s="11"/>
      <c r="PB10" s="11"/>
      <c r="PC10" s="11"/>
      <c r="PD10" s="11"/>
      <c r="PE10" s="11"/>
      <c r="PF10" s="11"/>
      <c r="PG10" s="11"/>
      <c r="PH10" s="11"/>
      <c r="PI10" s="11"/>
      <c r="PJ10" s="11"/>
      <c r="PK10" s="11"/>
      <c r="PL10" s="11"/>
      <c r="PM10" s="11"/>
      <c r="PN10" s="11"/>
      <c r="PO10" s="11"/>
      <c r="PP10" s="11"/>
      <c r="PQ10" s="11"/>
      <c r="PR10" s="11"/>
      <c r="PS10" s="11"/>
      <c r="PT10" s="11"/>
      <c r="PU10" s="11"/>
      <c r="PV10" s="11"/>
      <c r="PW10" s="11"/>
      <c r="PX10" s="11"/>
      <c r="PY10" s="11"/>
      <c r="PZ10" s="11"/>
      <c r="QA10" s="11"/>
      <c r="QB10" s="11"/>
      <c r="QC10" s="11"/>
      <c r="QD10" s="11"/>
      <c r="QE10" s="11"/>
      <c r="QF10" s="11"/>
      <c r="QG10" s="11"/>
      <c r="QH10" s="11"/>
      <c r="QI10" s="11"/>
      <c r="QJ10" s="11"/>
      <c r="QK10" s="11"/>
      <c r="QL10" s="11"/>
      <c r="QM10" s="11"/>
      <c r="QN10" s="11"/>
      <c r="QO10" s="11"/>
      <c r="QP10" s="11"/>
      <c r="QQ10" s="11"/>
      <c r="QR10" s="11"/>
      <c r="QS10" s="11"/>
      <c r="QT10" s="11"/>
      <c r="QU10" s="11"/>
      <c r="QV10" s="11"/>
      <c r="QW10" s="11"/>
      <c r="QX10" s="11"/>
      <c r="QY10" s="11"/>
      <c r="QZ10" s="11"/>
      <c r="RA10" s="11"/>
      <c r="RB10" s="11"/>
      <c r="RC10" s="11"/>
      <c r="RD10" s="11"/>
      <c r="RE10" s="11"/>
      <c r="RF10" s="11"/>
      <c r="RG10" s="11"/>
      <c r="RH10" s="11"/>
      <c r="RI10" s="11"/>
      <c r="RJ10" s="11"/>
      <c r="RK10" s="11"/>
      <c r="RL10" s="11"/>
      <c r="RM10" s="11"/>
      <c r="RN10" s="11"/>
      <c r="RO10" s="11"/>
      <c r="RP10" s="11"/>
      <c r="RQ10" s="11"/>
      <c r="RR10" s="11"/>
      <c r="RS10" s="11"/>
      <c r="RT10" s="11"/>
      <c r="RU10" s="11"/>
      <c r="RV10" s="11"/>
      <c r="RW10" s="11"/>
      <c r="RX10" s="11"/>
      <c r="RY10" s="11"/>
      <c r="RZ10" s="11"/>
      <c r="SA10" s="11"/>
      <c r="SB10" s="11"/>
      <c r="SC10" s="11"/>
      <c r="SD10" s="11"/>
      <c r="SE10" s="11"/>
      <c r="SF10" s="11"/>
      <c r="SG10" s="11"/>
      <c r="SH10" s="11"/>
      <c r="SI10" s="11"/>
      <c r="SJ10" s="11"/>
      <c r="SK10" s="11"/>
      <c r="SL10" s="11"/>
      <c r="SM10" s="11"/>
      <c r="SN10" s="11"/>
      <c r="SO10" s="11"/>
      <c r="SP10" s="11"/>
      <c r="SQ10" s="11"/>
      <c r="SR10" s="11"/>
      <c r="SS10" s="11"/>
      <c r="ST10" s="11"/>
      <c r="SU10" s="11"/>
      <c r="SV10" s="11"/>
      <c r="SW10" s="11"/>
      <c r="SX10" s="11"/>
      <c r="SY10" s="11"/>
      <c r="SZ10" s="11"/>
      <c r="TA10" s="11"/>
      <c r="TB10" s="11"/>
      <c r="TC10" s="11"/>
      <c r="TD10" s="11"/>
      <c r="TE10" s="11"/>
      <c r="TF10" s="11"/>
      <c r="TG10" s="11"/>
      <c r="TH10" s="11"/>
      <c r="TI10" s="11"/>
      <c r="TJ10" s="11"/>
      <c r="TK10" s="11"/>
      <c r="TL10" s="11"/>
      <c r="TM10" s="11"/>
      <c r="TN10" s="11"/>
      <c r="TO10" s="11"/>
      <c r="TP10" s="11"/>
      <c r="TQ10" s="11"/>
      <c r="TR10" s="11"/>
      <c r="TS10" s="11"/>
      <c r="TT10" s="11"/>
      <c r="TU10" s="11"/>
      <c r="TV10" s="11"/>
      <c r="TW10" s="11"/>
      <c r="TX10" s="11"/>
      <c r="TY10" s="11"/>
      <c r="TZ10" s="11"/>
      <c r="UA10" s="11"/>
      <c r="UB10" s="11"/>
      <c r="UC10" s="11"/>
      <c r="UD10" s="11"/>
      <c r="UE10" s="11"/>
      <c r="UF10" s="11"/>
      <c r="UG10" s="11"/>
      <c r="UH10" s="11"/>
      <c r="UI10" s="11"/>
      <c r="UJ10" s="11"/>
      <c r="UK10" s="11"/>
      <c r="UL10" s="11"/>
      <c r="UM10" s="11"/>
      <c r="UN10" s="11"/>
      <c r="UO10" s="11"/>
      <c r="UP10" s="11"/>
      <c r="UQ10" s="11"/>
      <c r="UR10" s="11"/>
      <c r="US10" s="11"/>
      <c r="UT10" s="11"/>
      <c r="UU10" s="11"/>
      <c r="UV10" s="11"/>
      <c r="UW10" s="11"/>
      <c r="UX10" s="11"/>
      <c r="UY10" s="11"/>
      <c r="UZ10" s="11"/>
      <c r="VA10" s="11"/>
      <c r="VB10" s="11"/>
      <c r="VC10" s="11"/>
      <c r="VD10" s="11"/>
      <c r="VE10" s="11"/>
      <c r="VF10" s="11"/>
      <c r="VG10" s="11"/>
      <c r="VH10" s="11"/>
      <c r="VI10" s="11"/>
      <c r="VJ10" s="11"/>
      <c r="VK10" s="11"/>
      <c r="VL10" s="11"/>
      <c r="VM10" s="11"/>
      <c r="VN10" s="11"/>
      <c r="VO10" s="11"/>
      <c r="VP10" s="11"/>
      <c r="VQ10" s="11"/>
      <c r="VR10" s="11"/>
      <c r="VS10" s="11"/>
      <c r="VT10" s="11"/>
      <c r="VU10" s="11"/>
      <c r="VV10" s="11"/>
      <c r="VW10" s="11"/>
      <c r="VX10" s="11"/>
      <c r="VY10" s="11"/>
      <c r="VZ10" s="11"/>
      <c r="WA10" s="11"/>
      <c r="WB10" s="11"/>
      <c r="WC10" s="11"/>
      <c r="WD10" s="11"/>
      <c r="WE10" s="11"/>
      <c r="WF10" s="11"/>
      <c r="WG10" s="11"/>
      <c r="WH10" s="11"/>
      <c r="WI10" s="11"/>
      <c r="WJ10" s="11"/>
      <c r="WK10" s="11"/>
      <c r="WL10" s="11"/>
      <c r="WM10" s="11"/>
      <c r="WN10" s="11"/>
      <c r="WO10" s="11"/>
      <c r="WP10" s="11"/>
      <c r="WQ10" s="11"/>
      <c r="WR10" s="11"/>
      <c r="WS10" s="11"/>
      <c r="WT10" s="11"/>
      <c r="WU10" s="11"/>
      <c r="WV10" s="11"/>
      <c r="WW10" s="11"/>
      <c r="WX10" s="11"/>
      <c r="WY10" s="11"/>
      <c r="WZ10" s="11"/>
      <c r="XA10" s="11"/>
      <c r="XB10" s="11"/>
      <c r="XC10" s="11"/>
      <c r="XD10" s="11"/>
      <c r="XE10" s="11"/>
      <c r="XF10" s="11"/>
      <c r="XG10" s="11"/>
      <c r="XH10" s="11"/>
      <c r="XI10" s="11"/>
      <c r="XJ10" s="11"/>
      <c r="XK10" s="11"/>
      <c r="XL10" s="11"/>
      <c r="XM10" s="11"/>
      <c r="XN10" s="11"/>
      <c r="XO10" s="11"/>
      <c r="XP10" s="11"/>
      <c r="XQ10" s="11"/>
      <c r="XR10" s="11"/>
      <c r="XS10" s="11"/>
      <c r="XT10" s="11"/>
      <c r="XU10" s="11"/>
      <c r="XV10" s="11"/>
      <c r="XW10" s="11"/>
      <c r="XX10" s="11"/>
      <c r="XY10" s="11"/>
      <c r="XZ10" s="11"/>
      <c r="YA10" s="11"/>
      <c r="YB10" s="11"/>
      <c r="YC10" s="11"/>
      <c r="YD10" s="11"/>
      <c r="YE10" s="11"/>
      <c r="YF10" s="11"/>
      <c r="YG10" s="11"/>
      <c r="YH10" s="11"/>
      <c r="YI10" s="11"/>
      <c r="YJ10" s="11"/>
      <c r="YK10" s="11"/>
      <c r="YL10" s="11"/>
      <c r="YM10" s="11"/>
      <c r="YN10" s="11"/>
      <c r="YO10" s="11"/>
      <c r="YP10" s="11"/>
      <c r="YQ10" s="11"/>
      <c r="YR10" s="11"/>
      <c r="YS10" s="11"/>
      <c r="YT10" s="11"/>
      <c r="YU10" s="11"/>
      <c r="YV10" s="11"/>
      <c r="YW10" s="11"/>
      <c r="YX10" s="11"/>
      <c r="YY10" s="11"/>
      <c r="YZ10" s="11"/>
      <c r="ZA10" s="11"/>
      <c r="ZB10" s="11"/>
      <c r="ZC10" s="11"/>
      <c r="ZD10" s="11"/>
      <c r="ZE10" s="11"/>
      <c r="ZF10" s="11"/>
      <c r="ZG10" s="11"/>
      <c r="ZH10" s="11"/>
      <c r="ZI10" s="11"/>
      <c r="ZJ10" s="11"/>
      <c r="ZK10" s="11"/>
      <c r="ZL10" s="11"/>
      <c r="ZM10" s="11"/>
      <c r="ZN10" s="11"/>
      <c r="ZO10" s="11"/>
      <c r="ZP10" s="11"/>
      <c r="ZQ10" s="11"/>
      <c r="ZR10" s="11"/>
      <c r="ZS10" s="11"/>
      <c r="ZT10" s="11"/>
      <c r="ZU10" s="11"/>
      <c r="ZV10" s="11"/>
      <c r="ZW10" s="11"/>
      <c r="ZX10" s="11"/>
      <c r="ZY10" s="11"/>
      <c r="ZZ10" s="11"/>
      <c r="AAA10" s="11"/>
      <c r="AAB10" s="11"/>
      <c r="AAC10" s="11"/>
      <c r="AAD10" s="11"/>
      <c r="AAE10" s="11"/>
      <c r="AAF10" s="11"/>
      <c r="AAG10" s="11"/>
      <c r="AAH10" s="11"/>
      <c r="AAI10" s="11"/>
      <c r="AAJ10" s="11"/>
      <c r="AAK10" s="11"/>
      <c r="AAL10" s="11"/>
    </row>
    <row r="11" spans="1:714" s="6" customFormat="1" x14ac:dyDescent="0.3">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c r="CW11" s="11"/>
      <c r="CX11" s="11"/>
      <c r="CY11" s="11"/>
      <c r="CZ11" s="11"/>
      <c r="DA11" s="11"/>
      <c r="DB11" s="11"/>
      <c r="DC11" s="11"/>
      <c r="DD11" s="11"/>
      <c r="DE11" s="11"/>
      <c r="DF11" s="11"/>
      <c r="DG11" s="11"/>
      <c r="DH11" s="11"/>
      <c r="DI11" s="11"/>
      <c r="DJ11" s="11"/>
      <c r="DK11" s="11"/>
      <c r="DL11" s="11"/>
      <c r="DM11" s="11"/>
      <c r="DN11" s="11"/>
      <c r="DO11" s="11"/>
      <c r="DP11" s="11"/>
      <c r="DQ11" s="11"/>
      <c r="DR11" s="11"/>
      <c r="DS11" s="11"/>
      <c r="DT11" s="11"/>
      <c r="DU11" s="11"/>
      <c r="DV11" s="11"/>
      <c r="DW11" s="11"/>
      <c r="DX11" s="11"/>
      <c r="DY11" s="11"/>
      <c r="DZ11" s="11"/>
      <c r="EA11" s="11"/>
      <c r="EB11" s="11"/>
      <c r="EC11" s="11"/>
      <c r="ED11" s="11"/>
      <c r="EE11" s="11"/>
      <c r="EF11" s="11"/>
      <c r="EG11" s="11"/>
      <c r="EH11" s="11"/>
      <c r="EI11" s="11"/>
      <c r="EJ11" s="11"/>
      <c r="EK11" s="11"/>
      <c r="EL11" s="11"/>
      <c r="EM11" s="11"/>
      <c r="EN11" s="11"/>
      <c r="EO11" s="11"/>
      <c r="EP11" s="11"/>
      <c r="EQ11" s="11"/>
      <c r="ER11" s="11"/>
      <c r="ES11" s="11"/>
      <c r="ET11" s="11"/>
      <c r="EU11" s="11"/>
      <c r="EV11" s="11"/>
      <c r="EW11" s="11"/>
      <c r="EX11" s="11"/>
      <c r="EY11" s="11"/>
      <c r="EZ11" s="11"/>
      <c r="FA11" s="11"/>
      <c r="FB11" s="11"/>
      <c r="FC11" s="11"/>
      <c r="FD11" s="11"/>
      <c r="FE11" s="11"/>
      <c r="FF11" s="11"/>
      <c r="FG11" s="11"/>
      <c r="FH11" s="11"/>
      <c r="FI11" s="11"/>
      <c r="FJ11" s="11"/>
      <c r="FK11" s="11"/>
      <c r="FL11" s="11"/>
      <c r="FM11" s="11"/>
      <c r="FN11" s="11"/>
      <c r="FO11" s="11"/>
      <c r="FP11" s="11"/>
      <c r="FQ11" s="11"/>
      <c r="FR11" s="11"/>
      <c r="FS11" s="11"/>
      <c r="FT11" s="11"/>
      <c r="FU11" s="11"/>
      <c r="FV11" s="11"/>
      <c r="FW11" s="11"/>
      <c r="FX11" s="11"/>
      <c r="FY11" s="11"/>
      <c r="FZ11" s="11"/>
      <c r="GA11" s="11"/>
      <c r="GB11" s="11"/>
      <c r="GC11" s="11"/>
      <c r="GD11" s="11"/>
      <c r="GE11" s="11"/>
      <c r="GF11" s="11"/>
      <c r="GG11" s="11"/>
      <c r="GH11" s="11"/>
      <c r="GI11" s="11"/>
      <c r="GJ11" s="11"/>
      <c r="GK11" s="11"/>
      <c r="GL11" s="11"/>
      <c r="GM11" s="11"/>
      <c r="GN11" s="11"/>
      <c r="GO11" s="11"/>
      <c r="GP11" s="11"/>
      <c r="GQ11" s="11"/>
      <c r="GR11" s="11"/>
      <c r="GS11" s="11"/>
      <c r="GT11" s="11"/>
      <c r="GU11" s="11"/>
      <c r="GV11" s="11"/>
      <c r="GW11" s="11"/>
      <c r="GX11" s="11"/>
      <c r="GY11" s="11"/>
      <c r="GZ11" s="11"/>
      <c r="HA11" s="11"/>
      <c r="HB11" s="11"/>
      <c r="HC11" s="11"/>
      <c r="HD11" s="11"/>
      <c r="HE11" s="11"/>
      <c r="HF11" s="11"/>
      <c r="HG11" s="11"/>
      <c r="HH11" s="11"/>
      <c r="HI11" s="11"/>
      <c r="HJ11" s="11"/>
      <c r="HK11" s="11"/>
      <c r="HL11" s="11"/>
      <c r="HM11" s="11"/>
      <c r="HN11" s="11"/>
      <c r="HO11" s="11"/>
      <c r="HP11" s="11"/>
      <c r="HQ11" s="11"/>
      <c r="HR11" s="11"/>
      <c r="HS11" s="11"/>
      <c r="HT11" s="11"/>
      <c r="HU11" s="11"/>
      <c r="HV11" s="11"/>
      <c r="HW11" s="11"/>
      <c r="HX11" s="11"/>
      <c r="HY11" s="11"/>
      <c r="HZ11" s="11"/>
      <c r="IA11" s="11"/>
      <c r="IB11" s="11"/>
      <c r="IC11" s="11"/>
      <c r="ID11" s="11"/>
      <c r="IE11" s="11"/>
      <c r="IF11" s="11"/>
      <c r="IG11" s="11"/>
      <c r="IH11" s="11"/>
      <c r="II11" s="11"/>
      <c r="IJ11" s="11"/>
      <c r="IK11" s="11"/>
      <c r="IL11" s="11"/>
      <c r="IM11" s="11"/>
      <c r="IN11" s="11"/>
      <c r="IO11" s="11"/>
      <c r="IP11" s="11"/>
      <c r="IQ11" s="11"/>
      <c r="IR11" s="11"/>
      <c r="IS11" s="11"/>
      <c r="IT11" s="11"/>
      <c r="IU11" s="11"/>
      <c r="IV11" s="11"/>
      <c r="IW11" s="11"/>
      <c r="IX11" s="11"/>
      <c r="IY11" s="11"/>
      <c r="IZ11" s="11"/>
      <c r="JA11" s="11"/>
      <c r="JB11" s="11"/>
      <c r="JC11" s="11"/>
      <c r="JD11" s="11"/>
      <c r="JE11" s="11"/>
      <c r="JF11" s="11"/>
      <c r="JG11" s="11"/>
      <c r="JH11" s="11"/>
      <c r="JI11" s="11"/>
      <c r="JJ11" s="11"/>
      <c r="JK11" s="11"/>
      <c r="JL11" s="11"/>
      <c r="JM11" s="11"/>
      <c r="JN11" s="11"/>
      <c r="JO11" s="11"/>
      <c r="JP11" s="11"/>
      <c r="JQ11" s="11"/>
      <c r="JR11" s="11"/>
      <c r="JS11" s="11"/>
      <c r="JT11" s="11"/>
      <c r="JU11" s="11"/>
      <c r="JV11" s="11"/>
      <c r="JW11" s="11"/>
      <c r="JX11" s="11"/>
      <c r="JY11" s="11"/>
      <c r="JZ11" s="11"/>
      <c r="KA11" s="11"/>
      <c r="KB11" s="11"/>
      <c r="KC11" s="11"/>
      <c r="KD11" s="11"/>
      <c r="KE11" s="11"/>
      <c r="KF11" s="11"/>
      <c r="KG11" s="11"/>
      <c r="KH11" s="11"/>
      <c r="KI11" s="11"/>
      <c r="KJ11" s="11"/>
      <c r="KK11" s="11"/>
      <c r="KL11" s="11"/>
      <c r="KM11" s="11"/>
      <c r="KN11" s="11"/>
      <c r="KO11" s="11"/>
      <c r="KP11" s="11"/>
      <c r="KQ11" s="11"/>
      <c r="KR11" s="11"/>
      <c r="KS11" s="11"/>
      <c r="KT11" s="11"/>
      <c r="KU11" s="11"/>
      <c r="KV11" s="11"/>
      <c r="KW11" s="11"/>
      <c r="KX11" s="11"/>
      <c r="KY11" s="11"/>
      <c r="KZ11" s="11"/>
      <c r="LA11" s="11"/>
      <c r="LB11" s="11"/>
      <c r="LC11" s="11"/>
      <c r="LD11" s="11"/>
      <c r="LE11" s="11"/>
      <c r="LF11" s="11"/>
      <c r="LG11" s="11"/>
      <c r="LH11" s="11"/>
      <c r="LI11" s="11"/>
      <c r="LJ11" s="11"/>
      <c r="LK11" s="11"/>
      <c r="LL11" s="11"/>
      <c r="LM11" s="11"/>
      <c r="LN11" s="11"/>
      <c r="LO11" s="11"/>
      <c r="LP11" s="11"/>
      <c r="LQ11" s="11"/>
      <c r="LR11" s="11"/>
      <c r="LS11" s="11"/>
      <c r="LT11" s="11"/>
      <c r="LU11" s="11"/>
      <c r="LV11" s="11"/>
      <c r="LW11" s="11"/>
      <c r="LX11" s="11"/>
      <c r="LY11" s="11"/>
      <c r="LZ11" s="11"/>
      <c r="MA11" s="11"/>
      <c r="MB11" s="11"/>
      <c r="MC11" s="11"/>
      <c r="MD11" s="11"/>
      <c r="ME11" s="11"/>
      <c r="MF11" s="11"/>
      <c r="MG11" s="11"/>
      <c r="MH11" s="11"/>
      <c r="MI11" s="11"/>
      <c r="MJ11" s="11"/>
      <c r="MK11" s="11"/>
      <c r="ML11" s="11"/>
      <c r="MM11" s="11"/>
      <c r="MN11" s="11"/>
      <c r="MO11" s="11"/>
      <c r="MP11" s="11"/>
      <c r="MQ11" s="11"/>
      <c r="MR11" s="11"/>
      <c r="MS11" s="11"/>
      <c r="MT11" s="11"/>
      <c r="MU11" s="11"/>
      <c r="MV11" s="11"/>
      <c r="MW11" s="11"/>
      <c r="MX11" s="11"/>
      <c r="MY11" s="11"/>
      <c r="MZ11" s="11"/>
      <c r="NA11" s="11"/>
      <c r="NB11" s="11"/>
      <c r="NC11" s="11"/>
      <c r="ND11" s="11"/>
      <c r="NE11" s="11"/>
      <c r="NF11" s="11"/>
      <c r="NG11" s="11"/>
      <c r="NH11" s="11"/>
      <c r="NI11" s="11"/>
      <c r="NJ11" s="11"/>
      <c r="NK11" s="11"/>
      <c r="NL11" s="11"/>
      <c r="NM11" s="11"/>
      <c r="NN11" s="11"/>
      <c r="NO11" s="11"/>
      <c r="NP11" s="11"/>
      <c r="NQ11" s="11"/>
      <c r="NR11" s="11"/>
      <c r="NS11" s="11"/>
      <c r="NT11" s="11"/>
      <c r="NU11" s="11"/>
      <c r="NV11" s="11"/>
      <c r="NW11" s="11"/>
      <c r="NX11" s="11"/>
      <c r="NY11" s="11"/>
      <c r="NZ11" s="11"/>
      <c r="OA11" s="11"/>
      <c r="OB11" s="11"/>
      <c r="OC11" s="11"/>
      <c r="OD11" s="11"/>
      <c r="OE11" s="11"/>
      <c r="OF11" s="11"/>
      <c r="OG11" s="11"/>
      <c r="OH11" s="11"/>
      <c r="OI11" s="11"/>
      <c r="OJ11" s="11"/>
      <c r="OK11" s="11"/>
      <c r="OL11" s="11"/>
      <c r="OM11" s="11"/>
      <c r="ON11" s="11"/>
      <c r="OO11" s="11"/>
      <c r="OP11" s="11"/>
      <c r="OQ11" s="11"/>
      <c r="OR11" s="11"/>
      <c r="OS11" s="11"/>
      <c r="OT11" s="11"/>
      <c r="OU11" s="11"/>
      <c r="OV11" s="11"/>
      <c r="OW11" s="11"/>
      <c r="OX11" s="11"/>
      <c r="OY11" s="11"/>
      <c r="OZ11" s="11"/>
      <c r="PA11" s="11"/>
      <c r="PB11" s="11"/>
      <c r="PC11" s="11"/>
      <c r="PD11" s="11"/>
      <c r="PE11" s="11"/>
      <c r="PF11" s="11"/>
      <c r="PG11" s="11"/>
      <c r="PH11" s="11"/>
      <c r="PI11" s="11"/>
      <c r="PJ11" s="11"/>
      <c r="PK11" s="11"/>
      <c r="PL11" s="11"/>
      <c r="PM11" s="11"/>
      <c r="PN11" s="11"/>
      <c r="PO11" s="11"/>
      <c r="PP11" s="11"/>
      <c r="PQ11" s="11"/>
      <c r="PR11" s="11"/>
      <c r="PS11" s="11"/>
      <c r="PT11" s="11"/>
      <c r="PU11" s="11"/>
      <c r="PV11" s="11"/>
      <c r="PW11" s="11"/>
      <c r="PX11" s="11"/>
      <c r="PY11" s="11"/>
      <c r="PZ11" s="11"/>
      <c r="QA11" s="11"/>
      <c r="QB11" s="11"/>
      <c r="QC11" s="11"/>
      <c r="QD11" s="11"/>
      <c r="QE11" s="11"/>
      <c r="QF11" s="11"/>
      <c r="QG11" s="11"/>
      <c r="QH11" s="11"/>
      <c r="QI11" s="11"/>
      <c r="QJ11" s="11"/>
      <c r="QK11" s="11"/>
      <c r="QL11" s="11"/>
      <c r="QM11" s="11"/>
      <c r="QN11" s="11"/>
      <c r="QO11" s="11"/>
      <c r="QP11" s="11"/>
      <c r="QQ11" s="11"/>
      <c r="QR11" s="11"/>
      <c r="QS11" s="11"/>
      <c r="QT11" s="11"/>
      <c r="QU11" s="11"/>
      <c r="QV11" s="11"/>
      <c r="QW11" s="11"/>
      <c r="QX11" s="11"/>
      <c r="QY11" s="11"/>
      <c r="QZ11" s="11"/>
      <c r="RA11" s="11"/>
      <c r="RB11" s="11"/>
      <c r="RC11" s="11"/>
      <c r="RD11" s="11"/>
      <c r="RE11" s="11"/>
      <c r="RF11" s="11"/>
      <c r="RG11" s="11"/>
      <c r="RH11" s="11"/>
      <c r="RI11" s="11"/>
      <c r="RJ11" s="11"/>
      <c r="RK11" s="11"/>
      <c r="RL11" s="11"/>
      <c r="RM11" s="11"/>
      <c r="RN11" s="11"/>
      <c r="RO11" s="11"/>
      <c r="RP11" s="11"/>
      <c r="RQ11" s="11"/>
      <c r="RR11" s="11"/>
      <c r="RS11" s="11"/>
      <c r="RT11" s="11"/>
      <c r="RU11" s="11"/>
      <c r="RV11" s="11"/>
      <c r="RW11" s="11"/>
      <c r="RX11" s="11"/>
      <c r="RY11" s="11"/>
      <c r="RZ11" s="11"/>
      <c r="SA11" s="11"/>
      <c r="SB11" s="11"/>
      <c r="SC11" s="11"/>
      <c r="SD11" s="11"/>
      <c r="SE11" s="11"/>
      <c r="SF11" s="11"/>
      <c r="SG11" s="11"/>
      <c r="SH11" s="11"/>
      <c r="SI11" s="11"/>
      <c r="SJ11" s="11"/>
      <c r="SK11" s="11"/>
      <c r="SL11" s="11"/>
      <c r="SM11" s="11"/>
      <c r="SN11" s="11"/>
      <c r="SO11" s="11"/>
      <c r="SP11" s="11"/>
      <c r="SQ11" s="11"/>
      <c r="SR11" s="11"/>
      <c r="SS11" s="11"/>
      <c r="ST11" s="11"/>
      <c r="SU11" s="11"/>
      <c r="SV11" s="11"/>
      <c r="SW11" s="11"/>
      <c r="SX11" s="11"/>
      <c r="SY11" s="11"/>
      <c r="SZ11" s="11"/>
      <c r="TA11" s="11"/>
      <c r="TB11" s="11"/>
      <c r="TC11" s="11"/>
      <c r="TD11" s="11"/>
      <c r="TE11" s="11"/>
      <c r="TF11" s="11"/>
      <c r="TG11" s="11"/>
      <c r="TH11" s="11"/>
      <c r="TI11" s="11"/>
      <c r="TJ11" s="11"/>
      <c r="TK11" s="11"/>
      <c r="TL11" s="11"/>
      <c r="TM11" s="11"/>
      <c r="TN11" s="11"/>
      <c r="TO11" s="11"/>
      <c r="TP11" s="11"/>
      <c r="TQ11" s="11"/>
      <c r="TR11" s="11"/>
      <c r="TS11" s="11"/>
      <c r="TT11" s="11"/>
      <c r="TU11" s="11"/>
      <c r="TV11" s="11"/>
      <c r="TW11" s="11"/>
      <c r="TX11" s="11"/>
      <c r="TY11" s="11"/>
      <c r="TZ11" s="11"/>
      <c r="UA11" s="11"/>
      <c r="UB11" s="11"/>
      <c r="UC11" s="11"/>
      <c r="UD11" s="11"/>
      <c r="UE11" s="11"/>
      <c r="UF11" s="11"/>
      <c r="UG11" s="11"/>
      <c r="UH11" s="11"/>
      <c r="UI11" s="11"/>
      <c r="UJ11" s="11"/>
      <c r="UK11" s="11"/>
      <c r="UL11" s="11"/>
      <c r="UM11" s="11"/>
      <c r="UN11" s="11"/>
      <c r="UO11" s="11"/>
      <c r="UP11" s="11"/>
      <c r="UQ11" s="11"/>
      <c r="UR11" s="11"/>
      <c r="US11" s="11"/>
      <c r="UT11" s="11"/>
      <c r="UU11" s="11"/>
      <c r="UV11" s="11"/>
      <c r="UW11" s="11"/>
      <c r="UX11" s="11"/>
      <c r="UY11" s="11"/>
      <c r="UZ11" s="11"/>
      <c r="VA11" s="11"/>
      <c r="VB11" s="11"/>
      <c r="VC11" s="11"/>
      <c r="VD11" s="11"/>
      <c r="VE11" s="11"/>
      <c r="VF11" s="11"/>
      <c r="VG11" s="11"/>
      <c r="VH11" s="11"/>
      <c r="VI11" s="11"/>
      <c r="VJ11" s="11"/>
      <c r="VK11" s="11"/>
      <c r="VL11" s="11"/>
      <c r="VM11" s="11"/>
      <c r="VN11" s="11"/>
      <c r="VO11" s="11"/>
      <c r="VP11" s="11"/>
      <c r="VQ11" s="11"/>
      <c r="VR11" s="11"/>
      <c r="VS11" s="11"/>
      <c r="VT11" s="11"/>
      <c r="VU11" s="11"/>
      <c r="VV11" s="11"/>
      <c r="VW11" s="11"/>
      <c r="VX11" s="11"/>
      <c r="VY11" s="11"/>
      <c r="VZ11" s="11"/>
      <c r="WA11" s="11"/>
      <c r="WB11" s="11"/>
      <c r="WC11" s="11"/>
      <c r="WD11" s="11"/>
      <c r="WE11" s="11"/>
      <c r="WF11" s="11"/>
      <c r="WG11" s="11"/>
      <c r="WH11" s="11"/>
      <c r="WI11" s="11"/>
      <c r="WJ11" s="11"/>
      <c r="WK11" s="11"/>
      <c r="WL11" s="11"/>
      <c r="WM11" s="11"/>
      <c r="WN11" s="11"/>
      <c r="WO11" s="11"/>
      <c r="WP11" s="11"/>
      <c r="WQ11" s="11"/>
      <c r="WR11" s="11"/>
      <c r="WS11" s="11"/>
      <c r="WT11" s="11"/>
      <c r="WU11" s="11"/>
      <c r="WV11" s="11"/>
      <c r="WW11" s="11"/>
      <c r="WX11" s="11"/>
      <c r="WY11" s="11"/>
      <c r="WZ11" s="11"/>
      <c r="XA11" s="11"/>
      <c r="XB11" s="11"/>
      <c r="XC11" s="11"/>
      <c r="XD11" s="11"/>
      <c r="XE11" s="11"/>
      <c r="XF11" s="11"/>
      <c r="XG11" s="11"/>
      <c r="XH11" s="11"/>
      <c r="XI11" s="11"/>
      <c r="XJ11" s="11"/>
      <c r="XK11" s="11"/>
      <c r="XL11" s="11"/>
      <c r="XM11" s="11"/>
      <c r="XN11" s="11"/>
      <c r="XO11" s="11"/>
      <c r="XP11" s="11"/>
      <c r="XQ11" s="11"/>
      <c r="XR11" s="11"/>
      <c r="XS11" s="11"/>
      <c r="XT11" s="11"/>
      <c r="XU11" s="11"/>
      <c r="XV11" s="11"/>
      <c r="XW11" s="11"/>
      <c r="XX11" s="11"/>
      <c r="XY11" s="11"/>
      <c r="XZ11" s="11"/>
      <c r="YA11" s="11"/>
      <c r="YB11" s="11"/>
      <c r="YC11" s="11"/>
      <c r="YD11" s="11"/>
      <c r="YE11" s="11"/>
      <c r="YF11" s="11"/>
      <c r="YG11" s="11"/>
      <c r="YH11" s="11"/>
      <c r="YI11" s="11"/>
      <c r="YJ11" s="11"/>
      <c r="YK11" s="11"/>
      <c r="YL11" s="11"/>
      <c r="YM11" s="11"/>
      <c r="YN11" s="11"/>
      <c r="YO11" s="11"/>
      <c r="YP11" s="11"/>
      <c r="YQ11" s="11"/>
      <c r="YR11" s="11"/>
      <c r="YS11" s="11"/>
      <c r="YT11" s="11"/>
      <c r="YU11" s="11"/>
      <c r="YV11" s="11"/>
      <c r="YW11" s="11"/>
      <c r="YX11" s="11"/>
      <c r="YY11" s="11"/>
      <c r="YZ11" s="11"/>
      <c r="ZA11" s="11"/>
      <c r="ZB11" s="11"/>
      <c r="ZC11" s="11"/>
      <c r="ZD11" s="11"/>
      <c r="ZE11" s="11"/>
      <c r="ZF11" s="11"/>
      <c r="ZG11" s="11"/>
      <c r="ZH11" s="11"/>
      <c r="ZI11" s="11"/>
      <c r="ZJ11" s="11"/>
      <c r="ZK11" s="11"/>
      <c r="ZL11" s="11"/>
      <c r="ZM11" s="11"/>
      <c r="ZN11" s="11"/>
      <c r="ZO11" s="11"/>
      <c r="ZP11" s="11"/>
      <c r="ZQ11" s="11"/>
      <c r="ZR11" s="11"/>
      <c r="ZS11" s="11"/>
      <c r="ZT11" s="11"/>
      <c r="ZU11" s="11"/>
      <c r="ZV11" s="11"/>
      <c r="ZW11" s="11"/>
      <c r="ZX11" s="11"/>
      <c r="ZY11" s="11"/>
      <c r="ZZ11" s="11"/>
      <c r="AAA11" s="11"/>
      <c r="AAB11" s="11"/>
      <c r="AAC11" s="11"/>
      <c r="AAD11" s="11"/>
      <c r="AAE11" s="11"/>
      <c r="AAF11" s="11"/>
      <c r="AAG11" s="11"/>
      <c r="AAH11" s="11"/>
      <c r="AAI11" s="11"/>
      <c r="AAJ11" s="11"/>
      <c r="AAK11" s="11"/>
      <c r="AAL11" s="11"/>
    </row>
    <row r="12" spans="1:714" s="6" customFormat="1" x14ac:dyDescent="0.3">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11"/>
      <c r="IR12" s="11"/>
      <c r="IS12" s="11"/>
      <c r="IT12" s="11"/>
      <c r="IU12" s="11"/>
      <c r="IV12" s="11"/>
      <c r="IW12" s="11"/>
      <c r="IX12" s="11"/>
      <c r="IY12" s="11"/>
      <c r="IZ12" s="11"/>
      <c r="JA12" s="11"/>
      <c r="JB12" s="11"/>
      <c r="JC12" s="11"/>
      <c r="JD12" s="11"/>
      <c r="JE12" s="11"/>
      <c r="JF12" s="11"/>
      <c r="JG12" s="11"/>
      <c r="JH12" s="11"/>
      <c r="JI12" s="11"/>
      <c r="JJ12" s="11"/>
      <c r="JK12" s="11"/>
      <c r="JL12" s="11"/>
      <c r="JM12" s="11"/>
      <c r="JN12" s="11"/>
      <c r="JO12" s="11"/>
      <c r="JP12" s="11"/>
      <c r="JQ12" s="11"/>
      <c r="JR12" s="11"/>
      <c r="JS12" s="11"/>
      <c r="JT12" s="11"/>
      <c r="JU12" s="11"/>
      <c r="JV12" s="11"/>
      <c r="JW12" s="11"/>
      <c r="JX12" s="11"/>
      <c r="JY12" s="11"/>
      <c r="JZ12" s="11"/>
      <c r="KA12" s="11"/>
      <c r="KB12" s="11"/>
      <c r="KC12" s="11"/>
      <c r="KD12" s="11"/>
      <c r="KE12" s="11"/>
      <c r="KF12" s="11"/>
      <c r="KG12" s="11"/>
      <c r="KH12" s="11"/>
      <c r="KI12" s="11"/>
      <c r="KJ12" s="11"/>
      <c r="KK12" s="11"/>
      <c r="KL12" s="11"/>
      <c r="KM12" s="11"/>
      <c r="KN12" s="11"/>
      <c r="KO12" s="11"/>
      <c r="KP12" s="11"/>
      <c r="KQ12" s="11"/>
      <c r="KR12" s="11"/>
      <c r="KS12" s="11"/>
      <c r="KT12" s="11"/>
      <c r="KU12" s="11"/>
      <c r="KV12" s="11"/>
      <c r="KW12" s="11"/>
      <c r="KX12" s="11"/>
      <c r="KY12" s="11"/>
      <c r="KZ12" s="11"/>
      <c r="LA12" s="11"/>
      <c r="LB12" s="11"/>
      <c r="LC12" s="11"/>
      <c r="LD12" s="11"/>
      <c r="LE12" s="11"/>
      <c r="LF12" s="11"/>
      <c r="LG12" s="11"/>
      <c r="LH12" s="11"/>
      <c r="LI12" s="11"/>
      <c r="LJ12" s="11"/>
      <c r="LK12" s="11"/>
      <c r="LL12" s="11"/>
      <c r="LM12" s="11"/>
      <c r="LN12" s="11"/>
      <c r="LO12" s="11"/>
      <c r="LP12" s="11"/>
      <c r="LQ12" s="11"/>
      <c r="LR12" s="11"/>
      <c r="LS12" s="11"/>
      <c r="LT12" s="11"/>
      <c r="LU12" s="11"/>
      <c r="LV12" s="11"/>
      <c r="LW12" s="11"/>
      <c r="LX12" s="11"/>
      <c r="LY12" s="11"/>
      <c r="LZ12" s="11"/>
      <c r="MA12" s="11"/>
      <c r="MB12" s="11"/>
      <c r="MC12" s="11"/>
      <c r="MD12" s="11"/>
      <c r="ME12" s="11"/>
      <c r="MF12" s="11"/>
      <c r="MG12" s="11"/>
      <c r="MH12" s="11"/>
      <c r="MI12" s="11"/>
      <c r="MJ12" s="11"/>
      <c r="MK12" s="11"/>
      <c r="ML12" s="11"/>
      <c r="MM12" s="11"/>
      <c r="MN12" s="11"/>
      <c r="MO12" s="11"/>
      <c r="MP12" s="11"/>
      <c r="MQ12" s="11"/>
      <c r="MR12" s="11"/>
      <c r="MS12" s="11"/>
      <c r="MT12" s="11"/>
      <c r="MU12" s="11"/>
      <c r="MV12" s="11"/>
      <c r="MW12" s="11"/>
      <c r="MX12" s="11"/>
      <c r="MY12" s="11"/>
      <c r="MZ12" s="11"/>
      <c r="NA12" s="11"/>
      <c r="NB12" s="11"/>
      <c r="NC12" s="11"/>
      <c r="ND12" s="11"/>
      <c r="NE12" s="11"/>
      <c r="NF12" s="11"/>
      <c r="NG12" s="11"/>
      <c r="NH12" s="11"/>
      <c r="NI12" s="11"/>
      <c r="NJ12" s="11"/>
      <c r="NK12" s="11"/>
      <c r="NL12" s="11"/>
      <c r="NM12" s="11"/>
      <c r="NN12" s="11"/>
      <c r="NO12" s="11"/>
      <c r="NP12" s="11"/>
      <c r="NQ12" s="11"/>
      <c r="NR12" s="11"/>
      <c r="NS12" s="11"/>
      <c r="NT12" s="11"/>
      <c r="NU12" s="11"/>
      <c r="NV12" s="11"/>
      <c r="NW12" s="11"/>
      <c r="NX12" s="11"/>
      <c r="NY12" s="11"/>
      <c r="NZ12" s="11"/>
      <c r="OA12" s="11"/>
      <c r="OB12" s="11"/>
      <c r="OC12" s="11"/>
      <c r="OD12" s="11"/>
      <c r="OE12" s="11"/>
      <c r="OF12" s="11"/>
      <c r="OG12" s="11"/>
      <c r="OH12" s="11"/>
      <c r="OI12" s="11"/>
      <c r="OJ12" s="11"/>
      <c r="OK12" s="11"/>
      <c r="OL12" s="11"/>
      <c r="OM12" s="11"/>
      <c r="ON12" s="11"/>
      <c r="OO12" s="11"/>
      <c r="OP12" s="11"/>
      <c r="OQ12" s="11"/>
      <c r="OR12" s="11"/>
      <c r="OS12" s="11"/>
      <c r="OT12" s="11"/>
      <c r="OU12" s="11"/>
      <c r="OV12" s="11"/>
      <c r="OW12" s="11"/>
      <c r="OX12" s="11"/>
      <c r="OY12" s="11"/>
      <c r="OZ12" s="11"/>
      <c r="PA12" s="11"/>
      <c r="PB12" s="11"/>
      <c r="PC12" s="11"/>
      <c r="PD12" s="11"/>
      <c r="PE12" s="11"/>
      <c r="PF12" s="11"/>
      <c r="PG12" s="11"/>
      <c r="PH12" s="11"/>
      <c r="PI12" s="11"/>
      <c r="PJ12" s="11"/>
      <c r="PK12" s="11"/>
      <c r="PL12" s="11"/>
      <c r="PM12" s="11"/>
      <c r="PN12" s="11"/>
      <c r="PO12" s="11"/>
      <c r="PP12" s="11"/>
      <c r="PQ12" s="11"/>
      <c r="PR12" s="11"/>
      <c r="PS12" s="11"/>
      <c r="PT12" s="11"/>
      <c r="PU12" s="11"/>
      <c r="PV12" s="11"/>
      <c r="PW12" s="11"/>
      <c r="PX12" s="11"/>
      <c r="PY12" s="11"/>
      <c r="PZ12" s="11"/>
      <c r="QA12" s="11"/>
      <c r="QB12" s="11"/>
      <c r="QC12" s="11"/>
      <c r="QD12" s="11"/>
      <c r="QE12" s="11"/>
      <c r="QF12" s="11"/>
      <c r="QG12" s="11"/>
      <c r="QH12" s="11"/>
      <c r="QI12" s="11"/>
      <c r="QJ12" s="11"/>
      <c r="QK12" s="11"/>
      <c r="QL12" s="11"/>
      <c r="QM12" s="11"/>
      <c r="QN12" s="11"/>
      <c r="QO12" s="11"/>
      <c r="QP12" s="11"/>
      <c r="QQ12" s="11"/>
      <c r="QR12" s="11"/>
      <c r="QS12" s="11"/>
      <c r="QT12" s="11"/>
      <c r="QU12" s="11"/>
      <c r="QV12" s="11"/>
      <c r="QW12" s="11"/>
      <c r="QX12" s="11"/>
      <c r="QY12" s="11"/>
      <c r="QZ12" s="11"/>
      <c r="RA12" s="11"/>
      <c r="RB12" s="11"/>
      <c r="RC12" s="11"/>
      <c r="RD12" s="11"/>
      <c r="RE12" s="11"/>
      <c r="RF12" s="11"/>
      <c r="RG12" s="11"/>
      <c r="RH12" s="11"/>
      <c r="RI12" s="11"/>
      <c r="RJ12" s="11"/>
      <c r="RK12" s="11"/>
      <c r="RL12" s="11"/>
      <c r="RM12" s="11"/>
      <c r="RN12" s="11"/>
      <c r="RO12" s="11"/>
      <c r="RP12" s="11"/>
      <c r="RQ12" s="11"/>
      <c r="RR12" s="11"/>
      <c r="RS12" s="11"/>
      <c r="RT12" s="11"/>
      <c r="RU12" s="11"/>
      <c r="RV12" s="11"/>
      <c r="RW12" s="11"/>
      <c r="RX12" s="11"/>
      <c r="RY12" s="11"/>
      <c r="RZ12" s="11"/>
      <c r="SA12" s="11"/>
      <c r="SB12" s="11"/>
      <c r="SC12" s="11"/>
      <c r="SD12" s="11"/>
      <c r="SE12" s="11"/>
      <c r="SF12" s="11"/>
      <c r="SG12" s="11"/>
      <c r="SH12" s="11"/>
      <c r="SI12" s="11"/>
      <c r="SJ12" s="11"/>
      <c r="SK12" s="11"/>
      <c r="SL12" s="11"/>
      <c r="SM12" s="11"/>
      <c r="SN12" s="11"/>
      <c r="SO12" s="11"/>
      <c r="SP12" s="11"/>
      <c r="SQ12" s="11"/>
      <c r="SR12" s="11"/>
      <c r="SS12" s="11"/>
      <c r="ST12" s="11"/>
      <c r="SU12" s="11"/>
      <c r="SV12" s="11"/>
      <c r="SW12" s="11"/>
      <c r="SX12" s="11"/>
      <c r="SY12" s="11"/>
      <c r="SZ12" s="11"/>
      <c r="TA12" s="11"/>
      <c r="TB12" s="11"/>
      <c r="TC12" s="11"/>
      <c r="TD12" s="11"/>
      <c r="TE12" s="11"/>
      <c r="TF12" s="11"/>
      <c r="TG12" s="11"/>
      <c r="TH12" s="11"/>
      <c r="TI12" s="11"/>
      <c r="TJ12" s="11"/>
      <c r="TK12" s="11"/>
      <c r="TL12" s="11"/>
      <c r="TM12" s="11"/>
      <c r="TN12" s="11"/>
      <c r="TO12" s="11"/>
      <c r="TP12" s="11"/>
      <c r="TQ12" s="11"/>
      <c r="TR12" s="11"/>
      <c r="TS12" s="11"/>
      <c r="TT12" s="11"/>
      <c r="TU12" s="11"/>
      <c r="TV12" s="11"/>
      <c r="TW12" s="11"/>
      <c r="TX12" s="11"/>
      <c r="TY12" s="11"/>
      <c r="TZ12" s="11"/>
      <c r="UA12" s="11"/>
      <c r="UB12" s="11"/>
      <c r="UC12" s="11"/>
      <c r="UD12" s="11"/>
      <c r="UE12" s="11"/>
      <c r="UF12" s="11"/>
      <c r="UG12" s="11"/>
      <c r="UH12" s="11"/>
      <c r="UI12" s="11"/>
      <c r="UJ12" s="11"/>
      <c r="UK12" s="11"/>
      <c r="UL12" s="11"/>
      <c r="UM12" s="11"/>
      <c r="UN12" s="11"/>
      <c r="UO12" s="11"/>
      <c r="UP12" s="11"/>
      <c r="UQ12" s="11"/>
      <c r="UR12" s="11"/>
      <c r="US12" s="11"/>
      <c r="UT12" s="11"/>
      <c r="UU12" s="11"/>
      <c r="UV12" s="11"/>
      <c r="UW12" s="11"/>
      <c r="UX12" s="11"/>
      <c r="UY12" s="11"/>
      <c r="UZ12" s="11"/>
      <c r="VA12" s="11"/>
      <c r="VB12" s="11"/>
      <c r="VC12" s="11"/>
      <c r="VD12" s="11"/>
      <c r="VE12" s="11"/>
      <c r="VF12" s="11"/>
      <c r="VG12" s="11"/>
      <c r="VH12" s="11"/>
      <c r="VI12" s="11"/>
      <c r="VJ12" s="11"/>
      <c r="VK12" s="11"/>
      <c r="VL12" s="11"/>
      <c r="VM12" s="11"/>
      <c r="VN12" s="11"/>
      <c r="VO12" s="11"/>
      <c r="VP12" s="11"/>
      <c r="VQ12" s="11"/>
      <c r="VR12" s="11"/>
      <c r="VS12" s="11"/>
      <c r="VT12" s="11"/>
      <c r="VU12" s="11"/>
      <c r="VV12" s="11"/>
      <c r="VW12" s="11"/>
      <c r="VX12" s="11"/>
      <c r="VY12" s="11"/>
      <c r="VZ12" s="11"/>
      <c r="WA12" s="11"/>
      <c r="WB12" s="11"/>
      <c r="WC12" s="11"/>
      <c r="WD12" s="11"/>
      <c r="WE12" s="11"/>
      <c r="WF12" s="11"/>
      <c r="WG12" s="11"/>
      <c r="WH12" s="11"/>
      <c r="WI12" s="11"/>
      <c r="WJ12" s="11"/>
      <c r="WK12" s="11"/>
      <c r="WL12" s="11"/>
      <c r="WM12" s="11"/>
      <c r="WN12" s="11"/>
      <c r="WO12" s="11"/>
      <c r="WP12" s="11"/>
      <c r="WQ12" s="11"/>
      <c r="WR12" s="11"/>
      <c r="WS12" s="11"/>
      <c r="WT12" s="11"/>
      <c r="WU12" s="11"/>
      <c r="WV12" s="11"/>
      <c r="WW12" s="11"/>
      <c r="WX12" s="11"/>
      <c r="WY12" s="11"/>
      <c r="WZ12" s="11"/>
      <c r="XA12" s="11"/>
      <c r="XB12" s="11"/>
      <c r="XC12" s="11"/>
      <c r="XD12" s="11"/>
      <c r="XE12" s="11"/>
      <c r="XF12" s="11"/>
      <c r="XG12" s="11"/>
      <c r="XH12" s="11"/>
      <c r="XI12" s="11"/>
      <c r="XJ12" s="11"/>
      <c r="XK12" s="11"/>
      <c r="XL12" s="11"/>
      <c r="XM12" s="11"/>
      <c r="XN12" s="11"/>
      <c r="XO12" s="11"/>
      <c r="XP12" s="11"/>
      <c r="XQ12" s="11"/>
      <c r="XR12" s="11"/>
      <c r="XS12" s="11"/>
      <c r="XT12" s="11"/>
      <c r="XU12" s="11"/>
      <c r="XV12" s="11"/>
      <c r="XW12" s="11"/>
      <c r="XX12" s="11"/>
      <c r="XY12" s="11"/>
      <c r="XZ12" s="11"/>
      <c r="YA12" s="11"/>
      <c r="YB12" s="11"/>
      <c r="YC12" s="11"/>
      <c r="YD12" s="11"/>
      <c r="YE12" s="11"/>
      <c r="YF12" s="11"/>
      <c r="YG12" s="11"/>
      <c r="YH12" s="11"/>
      <c r="YI12" s="11"/>
      <c r="YJ12" s="11"/>
      <c r="YK12" s="11"/>
      <c r="YL12" s="11"/>
      <c r="YM12" s="11"/>
      <c r="YN12" s="11"/>
      <c r="YO12" s="11"/>
      <c r="YP12" s="11"/>
      <c r="YQ12" s="11"/>
      <c r="YR12" s="11"/>
      <c r="YS12" s="11"/>
      <c r="YT12" s="11"/>
      <c r="YU12" s="11"/>
      <c r="YV12" s="11"/>
      <c r="YW12" s="11"/>
      <c r="YX12" s="11"/>
      <c r="YY12" s="11"/>
      <c r="YZ12" s="11"/>
      <c r="ZA12" s="11"/>
      <c r="ZB12" s="11"/>
      <c r="ZC12" s="11"/>
      <c r="ZD12" s="11"/>
      <c r="ZE12" s="11"/>
      <c r="ZF12" s="11"/>
      <c r="ZG12" s="11"/>
      <c r="ZH12" s="11"/>
      <c r="ZI12" s="11"/>
      <c r="ZJ12" s="11"/>
      <c r="ZK12" s="11"/>
      <c r="ZL12" s="11"/>
      <c r="ZM12" s="11"/>
      <c r="ZN12" s="11"/>
      <c r="ZO12" s="11"/>
      <c r="ZP12" s="11"/>
      <c r="ZQ12" s="11"/>
      <c r="ZR12" s="11"/>
      <c r="ZS12" s="11"/>
      <c r="ZT12" s="11"/>
      <c r="ZU12" s="11"/>
      <c r="ZV12" s="11"/>
      <c r="ZW12" s="11"/>
      <c r="ZX12" s="11"/>
      <c r="ZY12" s="11"/>
      <c r="ZZ12" s="11"/>
      <c r="AAA12" s="11"/>
      <c r="AAB12" s="11"/>
      <c r="AAC12" s="11"/>
      <c r="AAD12" s="11"/>
      <c r="AAE12" s="11"/>
      <c r="AAF12" s="11"/>
      <c r="AAG12" s="11"/>
      <c r="AAH12" s="11"/>
      <c r="AAI12" s="11"/>
      <c r="AAJ12" s="11"/>
      <c r="AAK12" s="11"/>
      <c r="AAL12" s="11"/>
    </row>
    <row r="13" spans="1:714" s="6" customFormat="1" x14ac:dyDescent="0.3">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c r="CW13" s="11"/>
      <c r="CX13" s="11"/>
      <c r="CY13" s="11"/>
      <c r="CZ13" s="11"/>
      <c r="DA13" s="11"/>
      <c r="DB13" s="11"/>
      <c r="DC13" s="11"/>
      <c r="DD13" s="11"/>
      <c r="DE13" s="11"/>
      <c r="DF13" s="11"/>
      <c r="DG13" s="11"/>
      <c r="DH13" s="11"/>
      <c r="DI13" s="11"/>
      <c r="DJ13" s="11"/>
      <c r="DK13" s="11"/>
      <c r="DL13" s="11"/>
      <c r="DM13" s="11"/>
      <c r="DN13" s="11"/>
      <c r="DO13" s="11"/>
      <c r="DP13" s="11"/>
      <c r="DQ13" s="11"/>
      <c r="DR13" s="11"/>
      <c r="DS13" s="11"/>
      <c r="DT13" s="11"/>
      <c r="DU13" s="11"/>
      <c r="DV13" s="11"/>
      <c r="DW13" s="11"/>
      <c r="DX13" s="11"/>
      <c r="DY13" s="11"/>
      <c r="DZ13" s="11"/>
      <c r="EA13" s="11"/>
      <c r="EB13" s="11"/>
      <c r="EC13" s="11"/>
      <c r="ED13" s="11"/>
      <c r="EE13" s="11"/>
      <c r="EF13" s="11"/>
      <c r="EG13" s="11"/>
      <c r="EH13" s="11"/>
      <c r="EI13" s="11"/>
      <c r="EJ13" s="11"/>
      <c r="EK13" s="11"/>
      <c r="EL13" s="11"/>
      <c r="EM13" s="11"/>
      <c r="EN13" s="11"/>
      <c r="EO13" s="11"/>
      <c r="EP13" s="11"/>
      <c r="EQ13" s="11"/>
      <c r="ER13" s="11"/>
      <c r="ES13" s="11"/>
      <c r="ET13" s="11"/>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c r="FZ13" s="11"/>
      <c r="GA13" s="11"/>
      <c r="GB13" s="11"/>
      <c r="GC13" s="11"/>
      <c r="GD13" s="11"/>
      <c r="GE13" s="11"/>
      <c r="GF13" s="11"/>
      <c r="GG13" s="11"/>
      <c r="GH13" s="11"/>
      <c r="GI13" s="11"/>
      <c r="GJ13" s="11"/>
      <c r="GK13" s="11"/>
      <c r="GL13" s="11"/>
      <c r="GM13" s="11"/>
      <c r="GN13" s="11"/>
      <c r="GO13" s="11"/>
      <c r="GP13" s="11"/>
      <c r="GQ13" s="11"/>
      <c r="GR13" s="11"/>
      <c r="GS13" s="11"/>
      <c r="GT13" s="11"/>
      <c r="GU13" s="11"/>
      <c r="GV13" s="11"/>
      <c r="GW13" s="11"/>
      <c r="GX13" s="11"/>
      <c r="GY13" s="11"/>
      <c r="GZ13" s="11"/>
      <c r="HA13" s="11"/>
      <c r="HB13" s="11"/>
      <c r="HC13" s="11"/>
      <c r="HD13" s="11"/>
      <c r="HE13" s="11"/>
      <c r="HF13" s="11"/>
      <c r="HG13" s="11"/>
      <c r="HH13" s="11"/>
      <c r="HI13" s="11"/>
      <c r="HJ13" s="11"/>
      <c r="HK13" s="11"/>
      <c r="HL13" s="11"/>
      <c r="HM13" s="11"/>
      <c r="HN13" s="11"/>
      <c r="HO13" s="11"/>
      <c r="HP13" s="11"/>
      <c r="HQ13" s="11"/>
      <c r="HR13" s="11"/>
      <c r="HS13" s="11"/>
      <c r="HT13" s="11"/>
      <c r="HU13" s="11"/>
      <c r="HV13" s="11"/>
      <c r="HW13" s="11"/>
      <c r="HX13" s="11"/>
      <c r="HY13" s="11"/>
      <c r="HZ13" s="11"/>
      <c r="IA13" s="11"/>
      <c r="IB13" s="11"/>
      <c r="IC13" s="11"/>
      <c r="ID13" s="11"/>
      <c r="IE13" s="11"/>
      <c r="IF13" s="11"/>
      <c r="IG13" s="11"/>
      <c r="IH13" s="11"/>
      <c r="II13" s="11"/>
      <c r="IJ13" s="11"/>
      <c r="IK13" s="11"/>
      <c r="IL13" s="11"/>
      <c r="IM13" s="11"/>
      <c r="IN13" s="11"/>
      <c r="IO13" s="11"/>
      <c r="IP13" s="11"/>
      <c r="IQ13" s="11"/>
      <c r="IR13" s="11"/>
      <c r="IS13" s="11"/>
      <c r="IT13" s="11"/>
      <c r="IU13" s="11"/>
      <c r="IV13" s="11"/>
      <c r="IW13" s="11"/>
      <c r="IX13" s="11"/>
      <c r="IY13" s="11"/>
      <c r="IZ13" s="11"/>
      <c r="JA13" s="11"/>
      <c r="JB13" s="11"/>
      <c r="JC13" s="11"/>
      <c r="JD13" s="11"/>
      <c r="JE13" s="11"/>
      <c r="JF13" s="11"/>
      <c r="JG13" s="11"/>
      <c r="JH13" s="11"/>
      <c r="JI13" s="11"/>
      <c r="JJ13" s="11"/>
      <c r="JK13" s="11"/>
      <c r="JL13" s="11"/>
      <c r="JM13" s="11"/>
      <c r="JN13" s="11"/>
      <c r="JO13" s="11"/>
      <c r="JP13" s="11"/>
      <c r="JQ13" s="11"/>
      <c r="JR13" s="11"/>
      <c r="JS13" s="11"/>
      <c r="JT13" s="11"/>
      <c r="JU13" s="11"/>
      <c r="JV13" s="11"/>
      <c r="JW13" s="11"/>
      <c r="JX13" s="11"/>
      <c r="JY13" s="11"/>
      <c r="JZ13" s="11"/>
      <c r="KA13" s="11"/>
      <c r="KB13" s="11"/>
      <c r="KC13" s="11"/>
      <c r="KD13" s="11"/>
      <c r="KE13" s="11"/>
      <c r="KF13" s="11"/>
      <c r="KG13" s="11"/>
      <c r="KH13" s="11"/>
      <c r="KI13" s="11"/>
      <c r="KJ13" s="11"/>
      <c r="KK13" s="11"/>
      <c r="KL13" s="11"/>
      <c r="KM13" s="11"/>
      <c r="KN13" s="11"/>
      <c r="KO13" s="11"/>
      <c r="KP13" s="11"/>
      <c r="KQ13" s="11"/>
      <c r="KR13" s="11"/>
      <c r="KS13" s="11"/>
      <c r="KT13" s="11"/>
      <c r="KU13" s="11"/>
      <c r="KV13" s="11"/>
      <c r="KW13" s="11"/>
      <c r="KX13" s="11"/>
      <c r="KY13" s="11"/>
      <c r="KZ13" s="11"/>
      <c r="LA13" s="11"/>
      <c r="LB13" s="11"/>
      <c r="LC13" s="11"/>
      <c r="LD13" s="11"/>
      <c r="LE13" s="11"/>
      <c r="LF13" s="11"/>
      <c r="LG13" s="11"/>
      <c r="LH13" s="11"/>
      <c r="LI13" s="11"/>
      <c r="LJ13" s="11"/>
      <c r="LK13" s="11"/>
      <c r="LL13" s="11"/>
      <c r="LM13" s="11"/>
      <c r="LN13" s="11"/>
      <c r="LO13" s="11"/>
      <c r="LP13" s="11"/>
      <c r="LQ13" s="11"/>
      <c r="LR13" s="11"/>
      <c r="LS13" s="11"/>
      <c r="LT13" s="11"/>
      <c r="LU13" s="11"/>
      <c r="LV13" s="11"/>
      <c r="LW13" s="11"/>
      <c r="LX13" s="11"/>
      <c r="LY13" s="11"/>
      <c r="LZ13" s="11"/>
      <c r="MA13" s="11"/>
      <c r="MB13" s="11"/>
      <c r="MC13" s="11"/>
      <c r="MD13" s="11"/>
      <c r="ME13" s="11"/>
      <c r="MF13" s="11"/>
      <c r="MG13" s="11"/>
      <c r="MH13" s="11"/>
      <c r="MI13" s="11"/>
      <c r="MJ13" s="11"/>
      <c r="MK13" s="11"/>
      <c r="ML13" s="11"/>
      <c r="MM13" s="11"/>
      <c r="MN13" s="11"/>
      <c r="MO13" s="11"/>
      <c r="MP13" s="11"/>
      <c r="MQ13" s="11"/>
      <c r="MR13" s="11"/>
      <c r="MS13" s="11"/>
      <c r="MT13" s="11"/>
      <c r="MU13" s="11"/>
      <c r="MV13" s="11"/>
      <c r="MW13" s="11"/>
      <c r="MX13" s="11"/>
      <c r="MY13" s="11"/>
      <c r="MZ13" s="11"/>
      <c r="NA13" s="11"/>
      <c r="NB13" s="11"/>
      <c r="NC13" s="11"/>
      <c r="ND13" s="11"/>
      <c r="NE13" s="11"/>
      <c r="NF13" s="11"/>
      <c r="NG13" s="11"/>
      <c r="NH13" s="11"/>
      <c r="NI13" s="11"/>
      <c r="NJ13" s="11"/>
      <c r="NK13" s="11"/>
      <c r="NL13" s="11"/>
      <c r="NM13" s="11"/>
      <c r="NN13" s="11"/>
      <c r="NO13" s="11"/>
      <c r="NP13" s="11"/>
      <c r="NQ13" s="11"/>
      <c r="NR13" s="11"/>
      <c r="NS13" s="11"/>
      <c r="NT13" s="11"/>
      <c r="NU13" s="11"/>
      <c r="NV13" s="11"/>
      <c r="NW13" s="11"/>
      <c r="NX13" s="11"/>
      <c r="NY13" s="11"/>
      <c r="NZ13" s="11"/>
      <c r="OA13" s="11"/>
      <c r="OB13" s="11"/>
      <c r="OC13" s="11"/>
      <c r="OD13" s="11"/>
      <c r="OE13" s="11"/>
      <c r="OF13" s="11"/>
      <c r="OG13" s="11"/>
      <c r="OH13" s="11"/>
      <c r="OI13" s="11"/>
      <c r="OJ13" s="11"/>
      <c r="OK13" s="11"/>
      <c r="OL13" s="11"/>
      <c r="OM13" s="11"/>
      <c r="ON13" s="11"/>
      <c r="OO13" s="11"/>
      <c r="OP13" s="11"/>
      <c r="OQ13" s="11"/>
      <c r="OR13" s="11"/>
      <c r="OS13" s="11"/>
      <c r="OT13" s="11"/>
      <c r="OU13" s="11"/>
      <c r="OV13" s="11"/>
      <c r="OW13" s="11"/>
      <c r="OX13" s="11"/>
      <c r="OY13" s="11"/>
      <c r="OZ13" s="11"/>
      <c r="PA13" s="11"/>
      <c r="PB13" s="11"/>
      <c r="PC13" s="11"/>
      <c r="PD13" s="11"/>
      <c r="PE13" s="11"/>
      <c r="PF13" s="11"/>
      <c r="PG13" s="11"/>
      <c r="PH13" s="11"/>
      <c r="PI13" s="11"/>
      <c r="PJ13" s="11"/>
      <c r="PK13" s="11"/>
      <c r="PL13" s="11"/>
      <c r="PM13" s="11"/>
      <c r="PN13" s="11"/>
      <c r="PO13" s="11"/>
      <c r="PP13" s="11"/>
      <c r="PQ13" s="11"/>
      <c r="PR13" s="11"/>
      <c r="PS13" s="11"/>
      <c r="PT13" s="11"/>
      <c r="PU13" s="11"/>
      <c r="PV13" s="11"/>
      <c r="PW13" s="11"/>
      <c r="PX13" s="11"/>
      <c r="PY13" s="11"/>
      <c r="PZ13" s="11"/>
      <c r="QA13" s="11"/>
      <c r="QB13" s="11"/>
      <c r="QC13" s="11"/>
      <c r="QD13" s="11"/>
      <c r="QE13" s="11"/>
      <c r="QF13" s="11"/>
      <c r="QG13" s="11"/>
      <c r="QH13" s="11"/>
      <c r="QI13" s="11"/>
      <c r="QJ13" s="11"/>
      <c r="QK13" s="11"/>
      <c r="QL13" s="11"/>
      <c r="QM13" s="11"/>
      <c r="QN13" s="11"/>
      <c r="QO13" s="11"/>
      <c r="QP13" s="11"/>
      <c r="QQ13" s="11"/>
      <c r="QR13" s="11"/>
      <c r="QS13" s="11"/>
      <c r="QT13" s="11"/>
      <c r="QU13" s="11"/>
      <c r="QV13" s="11"/>
      <c r="QW13" s="11"/>
      <c r="QX13" s="11"/>
      <c r="QY13" s="11"/>
      <c r="QZ13" s="11"/>
      <c r="RA13" s="11"/>
      <c r="RB13" s="11"/>
      <c r="RC13" s="11"/>
      <c r="RD13" s="11"/>
      <c r="RE13" s="11"/>
      <c r="RF13" s="11"/>
      <c r="RG13" s="11"/>
      <c r="RH13" s="11"/>
      <c r="RI13" s="11"/>
      <c r="RJ13" s="11"/>
      <c r="RK13" s="11"/>
      <c r="RL13" s="11"/>
      <c r="RM13" s="11"/>
      <c r="RN13" s="11"/>
      <c r="RO13" s="11"/>
      <c r="RP13" s="11"/>
      <c r="RQ13" s="11"/>
      <c r="RR13" s="11"/>
      <c r="RS13" s="11"/>
      <c r="RT13" s="11"/>
      <c r="RU13" s="11"/>
      <c r="RV13" s="11"/>
      <c r="RW13" s="11"/>
      <c r="RX13" s="11"/>
      <c r="RY13" s="11"/>
      <c r="RZ13" s="11"/>
      <c r="SA13" s="11"/>
      <c r="SB13" s="11"/>
      <c r="SC13" s="11"/>
      <c r="SD13" s="11"/>
      <c r="SE13" s="11"/>
      <c r="SF13" s="11"/>
      <c r="SG13" s="11"/>
      <c r="SH13" s="11"/>
      <c r="SI13" s="11"/>
      <c r="SJ13" s="11"/>
      <c r="SK13" s="11"/>
      <c r="SL13" s="11"/>
      <c r="SM13" s="11"/>
      <c r="SN13" s="11"/>
      <c r="SO13" s="11"/>
      <c r="SP13" s="11"/>
      <c r="SQ13" s="11"/>
      <c r="SR13" s="11"/>
      <c r="SS13" s="11"/>
      <c r="ST13" s="11"/>
      <c r="SU13" s="11"/>
      <c r="SV13" s="11"/>
      <c r="SW13" s="11"/>
      <c r="SX13" s="11"/>
      <c r="SY13" s="11"/>
      <c r="SZ13" s="11"/>
      <c r="TA13" s="11"/>
      <c r="TB13" s="11"/>
      <c r="TC13" s="11"/>
      <c r="TD13" s="11"/>
      <c r="TE13" s="11"/>
      <c r="TF13" s="11"/>
      <c r="TG13" s="11"/>
      <c r="TH13" s="11"/>
      <c r="TI13" s="11"/>
      <c r="TJ13" s="11"/>
      <c r="TK13" s="11"/>
      <c r="TL13" s="11"/>
      <c r="TM13" s="11"/>
      <c r="TN13" s="11"/>
      <c r="TO13" s="11"/>
      <c r="TP13" s="11"/>
      <c r="TQ13" s="11"/>
      <c r="TR13" s="11"/>
      <c r="TS13" s="11"/>
      <c r="TT13" s="11"/>
      <c r="TU13" s="11"/>
      <c r="TV13" s="11"/>
      <c r="TW13" s="11"/>
      <c r="TX13" s="11"/>
      <c r="TY13" s="11"/>
      <c r="TZ13" s="11"/>
      <c r="UA13" s="11"/>
      <c r="UB13" s="11"/>
      <c r="UC13" s="11"/>
      <c r="UD13" s="11"/>
      <c r="UE13" s="11"/>
      <c r="UF13" s="11"/>
      <c r="UG13" s="11"/>
      <c r="UH13" s="11"/>
      <c r="UI13" s="11"/>
      <c r="UJ13" s="11"/>
      <c r="UK13" s="11"/>
      <c r="UL13" s="11"/>
      <c r="UM13" s="11"/>
      <c r="UN13" s="11"/>
      <c r="UO13" s="11"/>
      <c r="UP13" s="11"/>
      <c r="UQ13" s="11"/>
      <c r="UR13" s="11"/>
      <c r="US13" s="11"/>
      <c r="UT13" s="11"/>
      <c r="UU13" s="11"/>
      <c r="UV13" s="11"/>
      <c r="UW13" s="11"/>
      <c r="UX13" s="11"/>
      <c r="UY13" s="11"/>
      <c r="UZ13" s="11"/>
      <c r="VA13" s="11"/>
      <c r="VB13" s="11"/>
      <c r="VC13" s="11"/>
      <c r="VD13" s="11"/>
      <c r="VE13" s="11"/>
      <c r="VF13" s="11"/>
      <c r="VG13" s="11"/>
      <c r="VH13" s="11"/>
      <c r="VI13" s="11"/>
      <c r="VJ13" s="11"/>
      <c r="VK13" s="11"/>
      <c r="VL13" s="11"/>
      <c r="VM13" s="11"/>
      <c r="VN13" s="11"/>
      <c r="VO13" s="11"/>
      <c r="VP13" s="11"/>
      <c r="VQ13" s="11"/>
      <c r="VR13" s="11"/>
      <c r="VS13" s="11"/>
      <c r="VT13" s="11"/>
      <c r="VU13" s="11"/>
      <c r="VV13" s="11"/>
      <c r="VW13" s="11"/>
      <c r="VX13" s="11"/>
      <c r="VY13" s="11"/>
      <c r="VZ13" s="11"/>
      <c r="WA13" s="11"/>
      <c r="WB13" s="11"/>
      <c r="WC13" s="11"/>
      <c r="WD13" s="11"/>
      <c r="WE13" s="11"/>
      <c r="WF13" s="11"/>
      <c r="WG13" s="11"/>
      <c r="WH13" s="11"/>
      <c r="WI13" s="11"/>
      <c r="WJ13" s="11"/>
      <c r="WK13" s="11"/>
      <c r="WL13" s="11"/>
      <c r="WM13" s="11"/>
      <c r="WN13" s="11"/>
      <c r="WO13" s="11"/>
      <c r="WP13" s="11"/>
      <c r="WQ13" s="11"/>
      <c r="WR13" s="11"/>
      <c r="WS13" s="11"/>
      <c r="WT13" s="11"/>
      <c r="WU13" s="11"/>
      <c r="WV13" s="11"/>
      <c r="WW13" s="11"/>
      <c r="WX13" s="11"/>
      <c r="WY13" s="11"/>
      <c r="WZ13" s="11"/>
      <c r="XA13" s="11"/>
      <c r="XB13" s="11"/>
      <c r="XC13" s="11"/>
      <c r="XD13" s="11"/>
      <c r="XE13" s="11"/>
      <c r="XF13" s="11"/>
      <c r="XG13" s="11"/>
      <c r="XH13" s="11"/>
      <c r="XI13" s="11"/>
      <c r="XJ13" s="11"/>
      <c r="XK13" s="11"/>
      <c r="XL13" s="11"/>
      <c r="XM13" s="11"/>
      <c r="XN13" s="11"/>
      <c r="XO13" s="11"/>
      <c r="XP13" s="11"/>
      <c r="XQ13" s="11"/>
      <c r="XR13" s="11"/>
      <c r="XS13" s="11"/>
      <c r="XT13" s="11"/>
      <c r="XU13" s="11"/>
      <c r="XV13" s="11"/>
      <c r="XW13" s="11"/>
      <c r="XX13" s="11"/>
      <c r="XY13" s="11"/>
      <c r="XZ13" s="11"/>
      <c r="YA13" s="11"/>
      <c r="YB13" s="11"/>
      <c r="YC13" s="11"/>
      <c r="YD13" s="11"/>
      <c r="YE13" s="11"/>
      <c r="YF13" s="11"/>
      <c r="YG13" s="11"/>
      <c r="YH13" s="11"/>
      <c r="YI13" s="11"/>
      <c r="YJ13" s="11"/>
      <c r="YK13" s="11"/>
      <c r="YL13" s="11"/>
      <c r="YM13" s="11"/>
      <c r="YN13" s="11"/>
      <c r="YO13" s="11"/>
      <c r="YP13" s="11"/>
      <c r="YQ13" s="11"/>
      <c r="YR13" s="11"/>
      <c r="YS13" s="11"/>
      <c r="YT13" s="11"/>
      <c r="YU13" s="11"/>
      <c r="YV13" s="11"/>
      <c r="YW13" s="11"/>
      <c r="YX13" s="11"/>
      <c r="YY13" s="11"/>
      <c r="YZ13" s="11"/>
      <c r="ZA13" s="11"/>
      <c r="ZB13" s="11"/>
      <c r="ZC13" s="11"/>
      <c r="ZD13" s="11"/>
      <c r="ZE13" s="11"/>
      <c r="ZF13" s="11"/>
      <c r="ZG13" s="11"/>
      <c r="ZH13" s="11"/>
      <c r="ZI13" s="11"/>
      <c r="ZJ13" s="11"/>
      <c r="ZK13" s="11"/>
      <c r="ZL13" s="11"/>
      <c r="ZM13" s="11"/>
      <c r="ZN13" s="11"/>
      <c r="ZO13" s="11"/>
      <c r="ZP13" s="11"/>
      <c r="ZQ13" s="11"/>
      <c r="ZR13" s="11"/>
      <c r="ZS13" s="11"/>
      <c r="ZT13" s="11"/>
      <c r="ZU13" s="11"/>
      <c r="ZV13" s="11"/>
      <c r="ZW13" s="11"/>
      <c r="ZX13" s="11"/>
      <c r="ZY13" s="11"/>
      <c r="ZZ13" s="11"/>
      <c r="AAA13" s="11"/>
      <c r="AAB13" s="11"/>
      <c r="AAC13" s="11"/>
      <c r="AAD13" s="11"/>
      <c r="AAE13" s="11"/>
      <c r="AAF13" s="11"/>
      <c r="AAG13" s="11"/>
      <c r="AAH13" s="11"/>
      <c r="AAI13" s="11"/>
      <c r="AAJ13" s="11"/>
      <c r="AAK13" s="11"/>
      <c r="AAL13" s="11"/>
    </row>
    <row r="14" spans="1:714" s="6" customFormat="1" x14ac:dyDescent="0.3">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c r="YL14" s="11"/>
      <c r="YM14" s="11"/>
      <c r="YN14" s="11"/>
      <c r="YO14" s="11"/>
      <c r="YP14" s="11"/>
      <c r="YQ14" s="11"/>
      <c r="YR14" s="11"/>
      <c r="YS14" s="11"/>
      <c r="YT14" s="11"/>
      <c r="YU14" s="11"/>
      <c r="YV14" s="11"/>
      <c r="YW14" s="11"/>
      <c r="YX14" s="11"/>
      <c r="YY14" s="11"/>
      <c r="YZ14" s="11"/>
      <c r="ZA14" s="11"/>
      <c r="ZB14" s="11"/>
      <c r="ZC14" s="11"/>
      <c r="ZD14" s="11"/>
      <c r="ZE14" s="11"/>
      <c r="ZF14" s="11"/>
      <c r="ZG14" s="11"/>
      <c r="ZH14" s="11"/>
      <c r="ZI14" s="11"/>
      <c r="ZJ14" s="11"/>
      <c r="ZK14" s="11"/>
      <c r="ZL14" s="11"/>
      <c r="ZM14" s="11"/>
      <c r="ZN14" s="11"/>
      <c r="ZO14" s="11"/>
      <c r="ZP14" s="11"/>
      <c r="ZQ14" s="11"/>
      <c r="ZR14" s="11"/>
      <c r="ZS14" s="11"/>
      <c r="ZT14" s="11"/>
      <c r="ZU14" s="11"/>
      <c r="ZV14" s="11"/>
      <c r="ZW14" s="11"/>
      <c r="ZX14" s="11"/>
      <c r="ZY14" s="11"/>
      <c r="ZZ14" s="11"/>
      <c r="AAA14" s="11"/>
      <c r="AAB14" s="11"/>
      <c r="AAC14" s="11"/>
      <c r="AAD14" s="11"/>
      <c r="AAE14" s="11"/>
      <c r="AAF14" s="11"/>
      <c r="AAG14" s="11"/>
      <c r="AAH14" s="11"/>
      <c r="AAI14" s="11"/>
      <c r="AAJ14" s="11"/>
      <c r="AAK14" s="11"/>
      <c r="AAL14" s="11"/>
    </row>
    <row r="15" spans="1:714" s="6" customFormat="1" x14ac:dyDescent="0.3">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c r="DA15" s="11"/>
      <c r="DB15" s="11"/>
      <c r="DC15" s="11"/>
      <c r="DD15" s="11"/>
      <c r="DE15" s="11"/>
      <c r="DF15" s="11"/>
      <c r="DG15" s="11"/>
      <c r="DH15" s="11"/>
      <c r="DI15" s="11"/>
      <c r="DJ15" s="11"/>
      <c r="DK15" s="11"/>
      <c r="DL15" s="11"/>
      <c r="DM15" s="11"/>
      <c r="DN15" s="11"/>
      <c r="DO15" s="11"/>
      <c r="DP15" s="11"/>
      <c r="DQ15" s="11"/>
      <c r="DR15" s="11"/>
      <c r="DS15" s="11"/>
      <c r="DT15" s="11"/>
      <c r="DU15" s="11"/>
      <c r="DV15" s="11"/>
      <c r="DW15" s="11"/>
      <c r="DX15" s="11"/>
      <c r="DY15" s="11"/>
      <c r="DZ15" s="11"/>
      <c r="EA15" s="11"/>
      <c r="EB15" s="11"/>
      <c r="EC15" s="11"/>
      <c r="ED15" s="11"/>
      <c r="EE15" s="11"/>
      <c r="EF15" s="11"/>
      <c r="EG15" s="11"/>
      <c r="EH15" s="11"/>
      <c r="EI15" s="11"/>
      <c r="EJ15" s="11"/>
      <c r="EK15" s="11"/>
      <c r="EL15" s="11"/>
      <c r="EM15" s="11"/>
      <c r="EN15" s="11"/>
      <c r="EO15" s="11"/>
      <c r="EP15" s="11"/>
      <c r="EQ15" s="11"/>
      <c r="ER15" s="11"/>
      <c r="ES15" s="11"/>
      <c r="ET15" s="11"/>
      <c r="EU15" s="11"/>
      <c r="EV15" s="11"/>
      <c r="EW15" s="11"/>
      <c r="EX15" s="11"/>
      <c r="EY15" s="11"/>
      <c r="EZ15" s="11"/>
      <c r="FA15" s="11"/>
      <c r="FB15" s="11"/>
      <c r="FC15" s="11"/>
      <c r="FD15" s="11"/>
      <c r="FE15" s="11"/>
      <c r="FF15" s="11"/>
      <c r="FG15" s="11"/>
      <c r="FH15" s="11"/>
      <c r="FI15" s="11"/>
      <c r="FJ15" s="11"/>
      <c r="FK15" s="11"/>
      <c r="FL15" s="11"/>
      <c r="FM15" s="11"/>
      <c r="FN15" s="11"/>
      <c r="FO15" s="11"/>
      <c r="FP15" s="11"/>
      <c r="FQ15" s="11"/>
      <c r="FR15" s="11"/>
      <c r="FS15" s="11"/>
      <c r="FT15" s="11"/>
      <c r="FU15" s="11"/>
      <c r="FV15" s="11"/>
      <c r="FW15" s="11"/>
      <c r="FX15" s="11"/>
      <c r="FY15" s="11"/>
      <c r="FZ15" s="11"/>
      <c r="GA15" s="11"/>
      <c r="GB15" s="11"/>
      <c r="GC15" s="11"/>
      <c r="GD15" s="11"/>
      <c r="GE15" s="11"/>
      <c r="GF15" s="11"/>
      <c r="GG15" s="11"/>
      <c r="GH15" s="11"/>
      <c r="GI15" s="11"/>
      <c r="GJ15" s="11"/>
      <c r="GK15" s="11"/>
      <c r="GL15" s="11"/>
      <c r="GM15" s="11"/>
      <c r="GN15" s="11"/>
      <c r="GO15" s="11"/>
      <c r="GP15" s="11"/>
      <c r="GQ15" s="11"/>
      <c r="GR15" s="11"/>
      <c r="GS15" s="11"/>
      <c r="GT15" s="11"/>
      <c r="GU15" s="11"/>
      <c r="GV15" s="11"/>
      <c r="GW15" s="11"/>
      <c r="GX15" s="11"/>
      <c r="GY15" s="11"/>
      <c r="GZ15" s="11"/>
      <c r="HA15" s="11"/>
      <c r="HB15" s="11"/>
      <c r="HC15" s="11"/>
      <c r="HD15" s="11"/>
      <c r="HE15" s="11"/>
      <c r="HF15" s="11"/>
      <c r="HG15" s="11"/>
      <c r="HH15" s="11"/>
      <c r="HI15" s="11"/>
      <c r="HJ15" s="11"/>
      <c r="HK15" s="11"/>
      <c r="HL15" s="11"/>
      <c r="HM15" s="11"/>
      <c r="HN15" s="11"/>
      <c r="HO15" s="11"/>
      <c r="HP15" s="11"/>
      <c r="HQ15" s="11"/>
      <c r="HR15" s="11"/>
      <c r="HS15" s="11"/>
      <c r="HT15" s="11"/>
      <c r="HU15" s="11"/>
      <c r="HV15" s="11"/>
      <c r="HW15" s="11"/>
      <c r="HX15" s="11"/>
      <c r="HY15" s="11"/>
      <c r="HZ15" s="11"/>
      <c r="IA15" s="11"/>
      <c r="IB15" s="11"/>
      <c r="IC15" s="11"/>
      <c r="ID15" s="11"/>
      <c r="IE15" s="11"/>
      <c r="IF15" s="11"/>
      <c r="IG15" s="11"/>
      <c r="IH15" s="11"/>
      <c r="II15" s="11"/>
      <c r="IJ15" s="11"/>
      <c r="IK15" s="11"/>
      <c r="IL15" s="11"/>
      <c r="IM15" s="11"/>
      <c r="IN15" s="11"/>
      <c r="IO15" s="11"/>
      <c r="IP15" s="11"/>
      <c r="IQ15" s="11"/>
      <c r="IR15" s="11"/>
      <c r="IS15" s="11"/>
      <c r="IT15" s="11"/>
      <c r="IU15" s="11"/>
      <c r="IV15" s="11"/>
      <c r="IW15" s="11"/>
      <c r="IX15" s="11"/>
      <c r="IY15" s="11"/>
      <c r="IZ15" s="11"/>
      <c r="JA15" s="11"/>
      <c r="JB15" s="11"/>
      <c r="JC15" s="11"/>
      <c r="JD15" s="11"/>
      <c r="JE15" s="11"/>
      <c r="JF15" s="11"/>
      <c r="JG15" s="11"/>
      <c r="JH15" s="11"/>
      <c r="JI15" s="11"/>
      <c r="JJ15" s="11"/>
      <c r="JK15" s="11"/>
      <c r="JL15" s="11"/>
      <c r="JM15" s="11"/>
      <c r="JN15" s="11"/>
      <c r="JO15" s="11"/>
      <c r="JP15" s="11"/>
      <c r="JQ15" s="11"/>
      <c r="JR15" s="11"/>
      <c r="JS15" s="11"/>
      <c r="JT15" s="11"/>
      <c r="JU15" s="11"/>
      <c r="JV15" s="11"/>
      <c r="JW15" s="11"/>
      <c r="JX15" s="11"/>
      <c r="JY15" s="11"/>
      <c r="JZ15" s="11"/>
      <c r="KA15" s="11"/>
      <c r="KB15" s="11"/>
      <c r="KC15" s="11"/>
      <c r="KD15" s="11"/>
      <c r="KE15" s="11"/>
      <c r="KF15" s="11"/>
      <c r="KG15" s="11"/>
      <c r="KH15" s="11"/>
      <c r="KI15" s="11"/>
      <c r="KJ15" s="11"/>
      <c r="KK15" s="11"/>
      <c r="KL15" s="11"/>
      <c r="KM15" s="11"/>
      <c r="KN15" s="11"/>
      <c r="KO15" s="11"/>
      <c r="KP15" s="11"/>
      <c r="KQ15" s="11"/>
      <c r="KR15" s="11"/>
      <c r="KS15" s="11"/>
      <c r="KT15" s="11"/>
      <c r="KU15" s="11"/>
      <c r="KV15" s="11"/>
      <c r="KW15" s="11"/>
      <c r="KX15" s="11"/>
      <c r="KY15" s="11"/>
      <c r="KZ15" s="11"/>
      <c r="LA15" s="11"/>
      <c r="LB15" s="11"/>
      <c r="LC15" s="11"/>
      <c r="LD15" s="11"/>
      <c r="LE15" s="11"/>
      <c r="LF15" s="11"/>
      <c r="LG15" s="11"/>
      <c r="LH15" s="11"/>
      <c r="LI15" s="11"/>
      <c r="LJ15" s="11"/>
      <c r="LK15" s="11"/>
      <c r="LL15" s="11"/>
      <c r="LM15" s="11"/>
      <c r="LN15" s="11"/>
      <c r="LO15" s="11"/>
      <c r="LP15" s="11"/>
      <c r="LQ15" s="11"/>
      <c r="LR15" s="11"/>
      <c r="LS15" s="11"/>
      <c r="LT15" s="11"/>
      <c r="LU15" s="11"/>
      <c r="LV15" s="11"/>
      <c r="LW15" s="11"/>
      <c r="LX15" s="11"/>
      <c r="LY15" s="11"/>
      <c r="LZ15" s="11"/>
      <c r="MA15" s="11"/>
      <c r="MB15" s="11"/>
      <c r="MC15" s="11"/>
      <c r="MD15" s="11"/>
      <c r="ME15" s="11"/>
      <c r="MF15" s="11"/>
      <c r="MG15" s="11"/>
      <c r="MH15" s="11"/>
      <c r="MI15" s="11"/>
      <c r="MJ15" s="11"/>
      <c r="MK15" s="11"/>
      <c r="ML15" s="11"/>
      <c r="MM15" s="11"/>
      <c r="MN15" s="11"/>
      <c r="MO15" s="11"/>
      <c r="MP15" s="11"/>
      <c r="MQ15" s="11"/>
      <c r="MR15" s="11"/>
      <c r="MS15" s="11"/>
      <c r="MT15" s="11"/>
      <c r="MU15" s="11"/>
      <c r="MV15" s="11"/>
      <c r="MW15" s="11"/>
      <c r="MX15" s="11"/>
      <c r="MY15" s="11"/>
      <c r="MZ15" s="11"/>
      <c r="NA15" s="11"/>
      <c r="NB15" s="11"/>
      <c r="NC15" s="11"/>
      <c r="ND15" s="11"/>
      <c r="NE15" s="11"/>
      <c r="NF15" s="11"/>
      <c r="NG15" s="11"/>
      <c r="NH15" s="11"/>
      <c r="NI15" s="11"/>
      <c r="NJ15" s="11"/>
      <c r="NK15" s="11"/>
      <c r="NL15" s="11"/>
      <c r="NM15" s="11"/>
      <c r="NN15" s="11"/>
      <c r="NO15" s="11"/>
      <c r="NP15" s="11"/>
      <c r="NQ15" s="11"/>
      <c r="NR15" s="11"/>
      <c r="NS15" s="11"/>
      <c r="NT15" s="11"/>
      <c r="NU15" s="11"/>
      <c r="NV15" s="11"/>
      <c r="NW15" s="11"/>
      <c r="NX15" s="11"/>
      <c r="NY15" s="11"/>
      <c r="NZ15" s="11"/>
      <c r="OA15" s="11"/>
      <c r="OB15" s="11"/>
      <c r="OC15" s="11"/>
      <c r="OD15" s="11"/>
      <c r="OE15" s="11"/>
      <c r="OF15" s="11"/>
      <c r="OG15" s="11"/>
      <c r="OH15" s="11"/>
      <c r="OI15" s="11"/>
      <c r="OJ15" s="11"/>
      <c r="OK15" s="11"/>
      <c r="OL15" s="11"/>
      <c r="OM15" s="11"/>
      <c r="ON15" s="11"/>
      <c r="OO15" s="11"/>
      <c r="OP15" s="11"/>
      <c r="OQ15" s="11"/>
      <c r="OR15" s="11"/>
      <c r="OS15" s="11"/>
      <c r="OT15" s="11"/>
      <c r="OU15" s="11"/>
      <c r="OV15" s="11"/>
      <c r="OW15" s="11"/>
      <c r="OX15" s="11"/>
      <c r="OY15" s="11"/>
      <c r="OZ15" s="11"/>
      <c r="PA15" s="11"/>
      <c r="PB15" s="11"/>
      <c r="PC15" s="11"/>
      <c r="PD15" s="11"/>
      <c r="PE15" s="11"/>
      <c r="PF15" s="11"/>
      <c r="PG15" s="11"/>
      <c r="PH15" s="11"/>
      <c r="PI15" s="11"/>
      <c r="PJ15" s="11"/>
      <c r="PK15" s="11"/>
      <c r="PL15" s="11"/>
      <c r="PM15" s="11"/>
      <c r="PN15" s="11"/>
      <c r="PO15" s="11"/>
      <c r="PP15" s="11"/>
      <c r="PQ15" s="11"/>
      <c r="PR15" s="11"/>
      <c r="PS15" s="11"/>
      <c r="PT15" s="11"/>
      <c r="PU15" s="11"/>
      <c r="PV15" s="11"/>
      <c r="PW15" s="11"/>
      <c r="PX15" s="11"/>
      <c r="PY15" s="11"/>
      <c r="PZ15" s="11"/>
      <c r="QA15" s="11"/>
      <c r="QB15" s="11"/>
      <c r="QC15" s="11"/>
      <c r="QD15" s="11"/>
      <c r="QE15" s="11"/>
      <c r="QF15" s="11"/>
      <c r="QG15" s="11"/>
      <c r="QH15" s="11"/>
      <c r="QI15" s="11"/>
      <c r="QJ15" s="11"/>
      <c r="QK15" s="11"/>
      <c r="QL15" s="11"/>
      <c r="QM15" s="11"/>
      <c r="QN15" s="11"/>
      <c r="QO15" s="11"/>
      <c r="QP15" s="11"/>
      <c r="QQ15" s="11"/>
      <c r="QR15" s="11"/>
      <c r="QS15" s="11"/>
      <c r="QT15" s="11"/>
      <c r="QU15" s="11"/>
      <c r="QV15" s="11"/>
      <c r="QW15" s="11"/>
      <c r="QX15" s="11"/>
      <c r="QY15" s="11"/>
      <c r="QZ15" s="11"/>
      <c r="RA15" s="11"/>
      <c r="RB15" s="11"/>
      <c r="RC15" s="11"/>
      <c r="RD15" s="11"/>
      <c r="RE15" s="11"/>
      <c r="RF15" s="11"/>
      <c r="RG15" s="11"/>
      <c r="RH15" s="11"/>
      <c r="RI15" s="11"/>
      <c r="RJ15" s="11"/>
      <c r="RK15" s="11"/>
      <c r="RL15" s="11"/>
      <c r="RM15" s="11"/>
      <c r="RN15" s="11"/>
      <c r="RO15" s="11"/>
      <c r="RP15" s="11"/>
      <c r="RQ15" s="11"/>
      <c r="RR15" s="11"/>
      <c r="RS15" s="11"/>
      <c r="RT15" s="11"/>
      <c r="RU15" s="11"/>
      <c r="RV15" s="11"/>
      <c r="RW15" s="11"/>
      <c r="RX15" s="11"/>
      <c r="RY15" s="11"/>
      <c r="RZ15" s="11"/>
      <c r="SA15" s="11"/>
      <c r="SB15" s="11"/>
      <c r="SC15" s="11"/>
      <c r="SD15" s="11"/>
      <c r="SE15" s="11"/>
      <c r="SF15" s="11"/>
      <c r="SG15" s="11"/>
      <c r="SH15" s="11"/>
      <c r="SI15" s="11"/>
      <c r="SJ15" s="11"/>
      <c r="SK15" s="11"/>
      <c r="SL15" s="11"/>
      <c r="SM15" s="11"/>
      <c r="SN15" s="11"/>
      <c r="SO15" s="11"/>
      <c r="SP15" s="11"/>
      <c r="SQ15" s="11"/>
      <c r="SR15" s="11"/>
      <c r="SS15" s="11"/>
      <c r="ST15" s="11"/>
      <c r="SU15" s="11"/>
      <c r="SV15" s="11"/>
      <c r="SW15" s="11"/>
      <c r="SX15" s="11"/>
      <c r="SY15" s="11"/>
      <c r="SZ15" s="11"/>
      <c r="TA15" s="11"/>
      <c r="TB15" s="11"/>
      <c r="TC15" s="11"/>
      <c r="TD15" s="11"/>
      <c r="TE15" s="11"/>
      <c r="TF15" s="11"/>
      <c r="TG15" s="11"/>
      <c r="TH15" s="11"/>
      <c r="TI15" s="11"/>
      <c r="TJ15" s="11"/>
      <c r="TK15" s="11"/>
      <c r="TL15" s="11"/>
      <c r="TM15" s="11"/>
      <c r="TN15" s="11"/>
      <c r="TO15" s="11"/>
      <c r="TP15" s="11"/>
      <c r="TQ15" s="11"/>
      <c r="TR15" s="11"/>
      <c r="TS15" s="11"/>
      <c r="TT15" s="11"/>
      <c r="TU15" s="11"/>
      <c r="TV15" s="11"/>
      <c r="TW15" s="11"/>
      <c r="TX15" s="11"/>
      <c r="TY15" s="11"/>
      <c r="TZ15" s="11"/>
      <c r="UA15" s="11"/>
      <c r="UB15" s="11"/>
      <c r="UC15" s="11"/>
      <c r="UD15" s="11"/>
      <c r="UE15" s="11"/>
      <c r="UF15" s="11"/>
      <c r="UG15" s="11"/>
      <c r="UH15" s="11"/>
      <c r="UI15" s="11"/>
      <c r="UJ15" s="11"/>
      <c r="UK15" s="11"/>
      <c r="UL15" s="11"/>
      <c r="UM15" s="11"/>
      <c r="UN15" s="11"/>
      <c r="UO15" s="11"/>
      <c r="UP15" s="11"/>
      <c r="UQ15" s="11"/>
      <c r="UR15" s="11"/>
      <c r="US15" s="11"/>
      <c r="UT15" s="11"/>
      <c r="UU15" s="11"/>
      <c r="UV15" s="11"/>
      <c r="UW15" s="11"/>
      <c r="UX15" s="11"/>
      <c r="UY15" s="11"/>
      <c r="UZ15" s="11"/>
      <c r="VA15" s="11"/>
      <c r="VB15" s="11"/>
      <c r="VC15" s="11"/>
      <c r="VD15" s="11"/>
      <c r="VE15" s="11"/>
      <c r="VF15" s="11"/>
      <c r="VG15" s="11"/>
      <c r="VH15" s="11"/>
      <c r="VI15" s="11"/>
      <c r="VJ15" s="11"/>
      <c r="VK15" s="11"/>
      <c r="VL15" s="11"/>
      <c r="VM15" s="11"/>
      <c r="VN15" s="11"/>
      <c r="VO15" s="11"/>
      <c r="VP15" s="11"/>
      <c r="VQ15" s="11"/>
      <c r="VR15" s="11"/>
      <c r="VS15" s="11"/>
      <c r="VT15" s="11"/>
      <c r="VU15" s="11"/>
      <c r="VV15" s="11"/>
      <c r="VW15" s="11"/>
      <c r="VX15" s="11"/>
      <c r="VY15" s="11"/>
      <c r="VZ15" s="11"/>
      <c r="WA15" s="11"/>
      <c r="WB15" s="11"/>
      <c r="WC15" s="11"/>
      <c r="WD15" s="11"/>
      <c r="WE15" s="11"/>
      <c r="WF15" s="11"/>
      <c r="WG15" s="11"/>
      <c r="WH15" s="11"/>
      <c r="WI15" s="11"/>
      <c r="WJ15" s="11"/>
      <c r="WK15" s="11"/>
      <c r="WL15" s="11"/>
      <c r="WM15" s="11"/>
      <c r="WN15" s="11"/>
      <c r="WO15" s="11"/>
      <c r="WP15" s="11"/>
      <c r="WQ15" s="11"/>
      <c r="WR15" s="11"/>
      <c r="WS15" s="11"/>
      <c r="WT15" s="11"/>
      <c r="WU15" s="11"/>
      <c r="WV15" s="11"/>
      <c r="WW15" s="11"/>
      <c r="WX15" s="11"/>
      <c r="WY15" s="11"/>
      <c r="WZ15" s="11"/>
      <c r="XA15" s="11"/>
      <c r="XB15" s="11"/>
      <c r="XC15" s="11"/>
      <c r="XD15" s="11"/>
      <c r="XE15" s="11"/>
      <c r="XF15" s="11"/>
      <c r="XG15" s="11"/>
      <c r="XH15" s="11"/>
      <c r="XI15" s="11"/>
      <c r="XJ15" s="11"/>
      <c r="XK15" s="11"/>
      <c r="XL15" s="11"/>
      <c r="XM15" s="11"/>
      <c r="XN15" s="11"/>
      <c r="XO15" s="11"/>
      <c r="XP15" s="11"/>
      <c r="XQ15" s="11"/>
      <c r="XR15" s="11"/>
      <c r="XS15" s="11"/>
      <c r="XT15" s="11"/>
      <c r="XU15" s="11"/>
      <c r="XV15" s="11"/>
      <c r="XW15" s="11"/>
      <c r="XX15" s="11"/>
      <c r="XY15" s="11"/>
      <c r="XZ15" s="11"/>
      <c r="YA15" s="11"/>
      <c r="YB15" s="11"/>
      <c r="YC15" s="11"/>
      <c r="YD15" s="11"/>
      <c r="YE15" s="11"/>
      <c r="YF15" s="11"/>
      <c r="YG15" s="11"/>
      <c r="YH15" s="11"/>
      <c r="YI15" s="11"/>
      <c r="YJ15" s="11"/>
      <c r="YK15" s="11"/>
      <c r="YL15" s="11"/>
      <c r="YM15" s="11"/>
      <c r="YN15" s="11"/>
      <c r="YO15" s="11"/>
      <c r="YP15" s="11"/>
      <c r="YQ15" s="11"/>
      <c r="YR15" s="11"/>
      <c r="YS15" s="11"/>
      <c r="YT15" s="11"/>
      <c r="YU15" s="11"/>
      <c r="YV15" s="11"/>
      <c r="YW15" s="11"/>
      <c r="YX15" s="11"/>
      <c r="YY15" s="11"/>
      <c r="YZ15" s="11"/>
      <c r="ZA15" s="11"/>
      <c r="ZB15" s="11"/>
      <c r="ZC15" s="11"/>
      <c r="ZD15" s="11"/>
      <c r="ZE15" s="11"/>
      <c r="ZF15" s="11"/>
      <c r="ZG15" s="11"/>
      <c r="ZH15" s="11"/>
      <c r="ZI15" s="11"/>
      <c r="ZJ15" s="11"/>
      <c r="ZK15" s="11"/>
      <c r="ZL15" s="11"/>
      <c r="ZM15" s="11"/>
      <c r="ZN15" s="11"/>
      <c r="ZO15" s="11"/>
      <c r="ZP15" s="11"/>
      <c r="ZQ15" s="11"/>
      <c r="ZR15" s="11"/>
      <c r="ZS15" s="11"/>
      <c r="ZT15" s="11"/>
      <c r="ZU15" s="11"/>
      <c r="ZV15" s="11"/>
      <c r="ZW15" s="11"/>
      <c r="ZX15" s="11"/>
      <c r="ZY15" s="11"/>
      <c r="ZZ15" s="11"/>
      <c r="AAA15" s="11"/>
      <c r="AAB15" s="11"/>
      <c r="AAC15" s="11"/>
      <c r="AAD15" s="11"/>
      <c r="AAE15" s="11"/>
      <c r="AAF15" s="11"/>
      <c r="AAG15" s="11"/>
      <c r="AAH15" s="11"/>
      <c r="AAI15" s="11"/>
      <c r="AAJ15" s="11"/>
      <c r="AAK15" s="11"/>
      <c r="AAL15" s="11"/>
    </row>
    <row r="16" spans="1:714" s="6" customFormat="1" x14ac:dyDescent="0.3">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c r="IW16" s="11"/>
      <c r="IX16" s="11"/>
      <c r="IY16" s="11"/>
      <c r="IZ16" s="11"/>
      <c r="JA16" s="11"/>
      <c r="JB16" s="11"/>
      <c r="JC16" s="11"/>
      <c r="JD16" s="11"/>
      <c r="JE16" s="11"/>
      <c r="JF16" s="11"/>
      <c r="JG16" s="11"/>
      <c r="JH16" s="11"/>
      <c r="JI16" s="11"/>
      <c r="JJ16" s="11"/>
      <c r="JK16" s="11"/>
      <c r="JL16" s="11"/>
      <c r="JM16" s="11"/>
      <c r="JN16" s="11"/>
      <c r="JO16" s="11"/>
      <c r="JP16" s="11"/>
      <c r="JQ16" s="11"/>
      <c r="JR16" s="11"/>
      <c r="JS16" s="11"/>
      <c r="JT16" s="11"/>
      <c r="JU16" s="11"/>
      <c r="JV16" s="11"/>
      <c r="JW16" s="11"/>
      <c r="JX16" s="11"/>
      <c r="JY16" s="11"/>
      <c r="JZ16" s="11"/>
      <c r="KA16" s="11"/>
      <c r="KB16" s="11"/>
      <c r="KC16" s="11"/>
      <c r="KD16" s="11"/>
      <c r="KE16" s="11"/>
      <c r="KF16" s="11"/>
      <c r="KG16" s="11"/>
      <c r="KH16" s="11"/>
      <c r="KI16" s="11"/>
      <c r="KJ16" s="11"/>
      <c r="KK16" s="11"/>
      <c r="KL16" s="11"/>
      <c r="KM16" s="11"/>
      <c r="KN16" s="11"/>
      <c r="KO16" s="11"/>
      <c r="KP16" s="11"/>
      <c r="KQ16" s="11"/>
      <c r="KR16" s="11"/>
      <c r="KS16" s="11"/>
      <c r="KT16" s="11"/>
      <c r="KU16" s="11"/>
      <c r="KV16" s="11"/>
      <c r="KW16" s="11"/>
      <c r="KX16" s="11"/>
      <c r="KY16" s="11"/>
      <c r="KZ16" s="11"/>
      <c r="LA16" s="11"/>
      <c r="LB16" s="11"/>
      <c r="LC16" s="11"/>
      <c r="LD16" s="11"/>
      <c r="LE16" s="11"/>
      <c r="LF16" s="11"/>
      <c r="LG16" s="11"/>
      <c r="LH16" s="11"/>
      <c r="LI16" s="11"/>
      <c r="LJ16" s="11"/>
      <c r="LK16" s="11"/>
      <c r="LL16" s="11"/>
      <c r="LM16" s="11"/>
      <c r="LN16" s="11"/>
      <c r="LO16" s="11"/>
      <c r="LP16" s="11"/>
      <c r="LQ16" s="11"/>
      <c r="LR16" s="11"/>
      <c r="LS16" s="11"/>
      <c r="LT16" s="11"/>
      <c r="LU16" s="11"/>
      <c r="LV16" s="11"/>
      <c r="LW16" s="11"/>
      <c r="LX16" s="11"/>
      <c r="LY16" s="11"/>
      <c r="LZ16" s="11"/>
      <c r="MA16" s="11"/>
      <c r="MB16" s="11"/>
      <c r="MC16" s="11"/>
      <c r="MD16" s="11"/>
      <c r="ME16" s="11"/>
      <c r="MF16" s="11"/>
      <c r="MG16" s="11"/>
      <c r="MH16" s="11"/>
      <c r="MI16" s="11"/>
      <c r="MJ16" s="11"/>
      <c r="MK16" s="11"/>
      <c r="ML16" s="11"/>
      <c r="MM16" s="11"/>
      <c r="MN16" s="11"/>
      <c r="MO16" s="11"/>
      <c r="MP16" s="11"/>
      <c r="MQ16" s="11"/>
      <c r="MR16" s="11"/>
      <c r="MS16" s="11"/>
      <c r="MT16" s="11"/>
      <c r="MU16" s="11"/>
      <c r="MV16" s="11"/>
      <c r="MW16" s="11"/>
      <c r="MX16" s="11"/>
      <c r="MY16" s="11"/>
      <c r="MZ16" s="11"/>
      <c r="NA16" s="11"/>
      <c r="NB16" s="11"/>
      <c r="NC16" s="11"/>
      <c r="ND16" s="11"/>
      <c r="NE16" s="11"/>
      <c r="NF16" s="11"/>
      <c r="NG16" s="11"/>
      <c r="NH16" s="11"/>
      <c r="NI16" s="11"/>
      <c r="NJ16" s="11"/>
      <c r="NK16" s="11"/>
      <c r="NL16" s="11"/>
      <c r="NM16" s="11"/>
      <c r="NN16" s="11"/>
      <c r="NO16" s="11"/>
      <c r="NP16" s="11"/>
      <c r="NQ16" s="11"/>
      <c r="NR16" s="11"/>
      <c r="NS16" s="11"/>
      <c r="NT16" s="11"/>
      <c r="NU16" s="11"/>
      <c r="NV16" s="11"/>
      <c r="NW16" s="11"/>
      <c r="NX16" s="11"/>
      <c r="NY16" s="11"/>
      <c r="NZ16" s="11"/>
      <c r="OA16" s="11"/>
      <c r="OB16" s="11"/>
      <c r="OC16" s="11"/>
      <c r="OD16" s="11"/>
      <c r="OE16" s="11"/>
      <c r="OF16" s="11"/>
      <c r="OG16" s="11"/>
      <c r="OH16" s="11"/>
      <c r="OI16" s="11"/>
      <c r="OJ16" s="11"/>
      <c r="OK16" s="11"/>
      <c r="OL16" s="11"/>
      <c r="OM16" s="11"/>
      <c r="ON16" s="11"/>
      <c r="OO16" s="11"/>
      <c r="OP16" s="11"/>
      <c r="OQ16" s="11"/>
      <c r="OR16" s="11"/>
      <c r="OS16" s="11"/>
      <c r="OT16" s="11"/>
      <c r="OU16" s="11"/>
      <c r="OV16" s="11"/>
      <c r="OW16" s="11"/>
      <c r="OX16" s="11"/>
      <c r="OY16" s="11"/>
      <c r="OZ16" s="11"/>
      <c r="PA16" s="11"/>
      <c r="PB16" s="11"/>
      <c r="PC16" s="11"/>
      <c r="PD16" s="11"/>
      <c r="PE16" s="11"/>
      <c r="PF16" s="11"/>
      <c r="PG16" s="11"/>
      <c r="PH16" s="11"/>
      <c r="PI16" s="11"/>
      <c r="PJ16" s="11"/>
      <c r="PK16" s="11"/>
      <c r="PL16" s="11"/>
      <c r="PM16" s="11"/>
      <c r="PN16" s="11"/>
      <c r="PO16" s="11"/>
      <c r="PP16" s="11"/>
      <c r="PQ16" s="11"/>
      <c r="PR16" s="11"/>
      <c r="PS16" s="11"/>
      <c r="PT16" s="11"/>
      <c r="PU16" s="11"/>
      <c r="PV16" s="11"/>
      <c r="PW16" s="11"/>
      <c r="PX16" s="11"/>
      <c r="PY16" s="11"/>
      <c r="PZ16" s="11"/>
      <c r="QA16" s="11"/>
      <c r="QB16" s="11"/>
      <c r="QC16" s="11"/>
      <c r="QD16" s="11"/>
      <c r="QE16" s="11"/>
      <c r="QF16" s="11"/>
      <c r="QG16" s="11"/>
      <c r="QH16" s="11"/>
      <c r="QI16" s="11"/>
      <c r="QJ16" s="11"/>
      <c r="QK16" s="11"/>
      <c r="QL16" s="11"/>
      <c r="QM16" s="11"/>
      <c r="QN16" s="11"/>
      <c r="QO16" s="11"/>
      <c r="QP16" s="11"/>
      <c r="QQ16" s="11"/>
      <c r="QR16" s="11"/>
      <c r="QS16" s="11"/>
      <c r="QT16" s="11"/>
      <c r="QU16" s="11"/>
      <c r="QV16" s="11"/>
      <c r="QW16" s="11"/>
      <c r="QX16" s="11"/>
      <c r="QY16" s="11"/>
      <c r="QZ16" s="11"/>
      <c r="RA16" s="11"/>
      <c r="RB16" s="11"/>
      <c r="RC16" s="11"/>
      <c r="RD16" s="11"/>
      <c r="RE16" s="11"/>
      <c r="RF16" s="11"/>
      <c r="RG16" s="11"/>
      <c r="RH16" s="11"/>
      <c r="RI16" s="11"/>
      <c r="RJ16" s="11"/>
      <c r="RK16" s="11"/>
      <c r="RL16" s="11"/>
      <c r="RM16" s="11"/>
      <c r="RN16" s="11"/>
      <c r="RO16" s="11"/>
      <c r="RP16" s="11"/>
      <c r="RQ16" s="11"/>
      <c r="RR16" s="11"/>
      <c r="RS16" s="11"/>
      <c r="RT16" s="11"/>
      <c r="RU16" s="11"/>
      <c r="RV16" s="11"/>
      <c r="RW16" s="11"/>
      <c r="RX16" s="11"/>
      <c r="RY16" s="11"/>
      <c r="RZ16" s="11"/>
      <c r="SA16" s="11"/>
      <c r="SB16" s="11"/>
      <c r="SC16" s="11"/>
      <c r="SD16" s="11"/>
      <c r="SE16" s="11"/>
      <c r="SF16" s="11"/>
      <c r="SG16" s="11"/>
      <c r="SH16" s="11"/>
      <c r="SI16" s="11"/>
      <c r="SJ16" s="11"/>
      <c r="SK16" s="11"/>
      <c r="SL16" s="11"/>
      <c r="SM16" s="11"/>
      <c r="SN16" s="11"/>
      <c r="SO16" s="11"/>
      <c r="SP16" s="11"/>
      <c r="SQ16" s="11"/>
      <c r="SR16" s="11"/>
      <c r="SS16" s="11"/>
      <c r="ST16" s="11"/>
      <c r="SU16" s="11"/>
      <c r="SV16" s="11"/>
      <c r="SW16" s="11"/>
      <c r="SX16" s="11"/>
      <c r="SY16" s="11"/>
      <c r="SZ16" s="11"/>
      <c r="TA16" s="11"/>
      <c r="TB16" s="11"/>
      <c r="TC16" s="11"/>
      <c r="TD16" s="11"/>
      <c r="TE16" s="11"/>
      <c r="TF16" s="11"/>
      <c r="TG16" s="11"/>
      <c r="TH16" s="11"/>
      <c r="TI16" s="11"/>
      <c r="TJ16" s="11"/>
      <c r="TK16" s="11"/>
      <c r="TL16" s="11"/>
      <c r="TM16" s="11"/>
      <c r="TN16" s="11"/>
      <c r="TO16" s="11"/>
      <c r="TP16" s="11"/>
      <c r="TQ16" s="11"/>
      <c r="TR16" s="11"/>
      <c r="TS16" s="11"/>
      <c r="TT16" s="11"/>
      <c r="TU16" s="11"/>
      <c r="TV16" s="11"/>
      <c r="TW16" s="11"/>
      <c r="TX16" s="11"/>
      <c r="TY16" s="11"/>
      <c r="TZ16" s="11"/>
      <c r="UA16" s="11"/>
      <c r="UB16" s="11"/>
      <c r="UC16" s="11"/>
      <c r="UD16" s="11"/>
      <c r="UE16" s="11"/>
      <c r="UF16" s="11"/>
      <c r="UG16" s="11"/>
      <c r="UH16" s="11"/>
      <c r="UI16" s="11"/>
      <c r="UJ16" s="11"/>
      <c r="UK16" s="11"/>
      <c r="UL16" s="11"/>
      <c r="UM16" s="11"/>
      <c r="UN16" s="11"/>
      <c r="UO16" s="11"/>
      <c r="UP16" s="11"/>
      <c r="UQ16" s="11"/>
      <c r="UR16" s="11"/>
      <c r="US16" s="11"/>
      <c r="UT16" s="11"/>
      <c r="UU16" s="11"/>
      <c r="UV16" s="11"/>
      <c r="UW16" s="11"/>
      <c r="UX16" s="11"/>
      <c r="UY16" s="11"/>
      <c r="UZ16" s="11"/>
      <c r="VA16" s="11"/>
      <c r="VB16" s="11"/>
      <c r="VC16" s="11"/>
      <c r="VD16" s="11"/>
      <c r="VE16" s="11"/>
      <c r="VF16" s="11"/>
      <c r="VG16" s="11"/>
      <c r="VH16" s="11"/>
      <c r="VI16" s="11"/>
      <c r="VJ16" s="11"/>
      <c r="VK16" s="11"/>
      <c r="VL16" s="11"/>
      <c r="VM16" s="11"/>
      <c r="VN16" s="11"/>
      <c r="VO16" s="11"/>
      <c r="VP16" s="11"/>
      <c r="VQ16" s="11"/>
      <c r="VR16" s="11"/>
      <c r="VS16" s="11"/>
      <c r="VT16" s="11"/>
      <c r="VU16" s="11"/>
      <c r="VV16" s="11"/>
      <c r="VW16" s="11"/>
      <c r="VX16" s="11"/>
      <c r="VY16" s="11"/>
      <c r="VZ16" s="11"/>
      <c r="WA16" s="11"/>
      <c r="WB16" s="11"/>
      <c r="WC16" s="11"/>
      <c r="WD16" s="11"/>
      <c r="WE16" s="11"/>
      <c r="WF16" s="11"/>
      <c r="WG16" s="11"/>
      <c r="WH16" s="11"/>
      <c r="WI16" s="11"/>
      <c r="WJ16" s="11"/>
      <c r="WK16" s="11"/>
      <c r="WL16" s="11"/>
      <c r="WM16" s="11"/>
      <c r="WN16" s="11"/>
      <c r="WO16" s="11"/>
      <c r="WP16" s="11"/>
      <c r="WQ16" s="11"/>
      <c r="WR16" s="11"/>
      <c r="WS16" s="11"/>
      <c r="WT16" s="11"/>
      <c r="WU16" s="11"/>
      <c r="WV16" s="11"/>
      <c r="WW16" s="11"/>
      <c r="WX16" s="11"/>
      <c r="WY16" s="11"/>
      <c r="WZ16" s="11"/>
      <c r="XA16" s="11"/>
      <c r="XB16" s="11"/>
      <c r="XC16" s="11"/>
      <c r="XD16" s="11"/>
      <c r="XE16" s="11"/>
      <c r="XF16" s="11"/>
      <c r="XG16" s="11"/>
      <c r="XH16" s="11"/>
      <c r="XI16" s="11"/>
      <c r="XJ16" s="11"/>
      <c r="XK16" s="11"/>
      <c r="XL16" s="11"/>
      <c r="XM16" s="11"/>
      <c r="XN16" s="11"/>
      <c r="XO16" s="11"/>
      <c r="XP16" s="11"/>
      <c r="XQ16" s="11"/>
      <c r="XR16" s="11"/>
      <c r="XS16" s="11"/>
      <c r="XT16" s="11"/>
      <c r="XU16" s="11"/>
      <c r="XV16" s="11"/>
      <c r="XW16" s="11"/>
      <c r="XX16" s="11"/>
      <c r="XY16" s="11"/>
      <c r="XZ16" s="11"/>
      <c r="YA16" s="11"/>
      <c r="YB16" s="11"/>
      <c r="YC16" s="11"/>
      <c r="YD16" s="11"/>
      <c r="YE16" s="11"/>
      <c r="YF16" s="11"/>
      <c r="YG16" s="11"/>
      <c r="YH16" s="11"/>
      <c r="YI16" s="11"/>
      <c r="YJ16" s="11"/>
      <c r="YK16" s="11"/>
      <c r="YL16" s="11"/>
      <c r="YM16" s="11"/>
      <c r="YN16" s="11"/>
      <c r="YO16" s="11"/>
      <c r="YP16" s="11"/>
      <c r="YQ16" s="11"/>
      <c r="YR16" s="11"/>
      <c r="YS16" s="11"/>
      <c r="YT16" s="11"/>
      <c r="YU16" s="11"/>
      <c r="YV16" s="11"/>
      <c r="YW16" s="11"/>
      <c r="YX16" s="11"/>
      <c r="YY16" s="11"/>
      <c r="YZ16" s="11"/>
      <c r="ZA16" s="11"/>
      <c r="ZB16" s="11"/>
      <c r="ZC16" s="11"/>
      <c r="ZD16" s="11"/>
      <c r="ZE16" s="11"/>
      <c r="ZF16" s="11"/>
      <c r="ZG16" s="11"/>
      <c r="ZH16" s="11"/>
      <c r="ZI16" s="11"/>
      <c r="ZJ16" s="11"/>
      <c r="ZK16" s="11"/>
      <c r="ZL16" s="11"/>
      <c r="ZM16" s="11"/>
      <c r="ZN16" s="11"/>
      <c r="ZO16" s="11"/>
      <c r="ZP16" s="11"/>
      <c r="ZQ16" s="11"/>
      <c r="ZR16" s="11"/>
      <c r="ZS16" s="11"/>
      <c r="ZT16" s="11"/>
      <c r="ZU16" s="11"/>
      <c r="ZV16" s="11"/>
      <c r="ZW16" s="11"/>
      <c r="ZX16" s="11"/>
      <c r="ZY16" s="11"/>
      <c r="ZZ16" s="11"/>
      <c r="AAA16" s="11"/>
      <c r="AAB16" s="11"/>
      <c r="AAC16" s="11"/>
      <c r="AAD16" s="11"/>
      <c r="AAE16" s="11"/>
      <c r="AAF16" s="11"/>
      <c r="AAG16" s="11"/>
      <c r="AAH16" s="11"/>
      <c r="AAI16" s="11"/>
      <c r="AAJ16" s="11"/>
      <c r="AAK16" s="11"/>
      <c r="AAL16" s="11"/>
    </row>
    <row r="17" spans="26:714" s="6" customFormat="1" x14ac:dyDescent="0.3">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c r="CS17" s="11"/>
      <c r="CT17" s="11"/>
      <c r="CU17" s="11"/>
      <c r="CV17" s="11"/>
      <c r="CW17" s="11"/>
      <c r="CX17" s="11"/>
      <c r="CY17" s="11"/>
      <c r="CZ17" s="11"/>
      <c r="DA17" s="11"/>
      <c r="DB17" s="11"/>
      <c r="DC17" s="11"/>
      <c r="DD17" s="11"/>
      <c r="DE17" s="11"/>
      <c r="DF17" s="11"/>
      <c r="DG17" s="11"/>
      <c r="DH17" s="11"/>
      <c r="DI17" s="11"/>
      <c r="DJ17" s="11"/>
      <c r="DK17" s="11"/>
      <c r="DL17" s="11"/>
      <c r="DM17" s="11"/>
      <c r="DN17" s="11"/>
      <c r="DO17" s="11"/>
      <c r="DP17" s="11"/>
      <c r="DQ17" s="11"/>
      <c r="DR17" s="11"/>
      <c r="DS17" s="11"/>
      <c r="DT17" s="11"/>
      <c r="DU17" s="11"/>
      <c r="DV17" s="11"/>
      <c r="DW17" s="11"/>
      <c r="DX17" s="11"/>
      <c r="DY17" s="11"/>
      <c r="DZ17" s="11"/>
      <c r="EA17" s="11"/>
      <c r="EB17" s="11"/>
      <c r="EC17" s="11"/>
      <c r="ED17" s="11"/>
      <c r="EE17" s="11"/>
      <c r="EF17" s="11"/>
      <c r="EG17" s="11"/>
      <c r="EH17" s="11"/>
      <c r="EI17" s="11"/>
      <c r="EJ17" s="11"/>
      <c r="EK17" s="11"/>
      <c r="EL17" s="11"/>
      <c r="EM17" s="11"/>
      <c r="EN17" s="11"/>
      <c r="EO17" s="11"/>
      <c r="EP17" s="11"/>
      <c r="EQ17" s="11"/>
      <c r="ER17" s="11"/>
      <c r="ES17" s="11"/>
      <c r="ET17" s="11"/>
      <c r="EU17" s="11"/>
      <c r="EV17" s="11"/>
      <c r="EW17" s="11"/>
      <c r="EX17" s="11"/>
      <c r="EY17" s="11"/>
      <c r="EZ17" s="11"/>
      <c r="FA17" s="11"/>
      <c r="FB17" s="11"/>
      <c r="FC17" s="11"/>
      <c r="FD17" s="11"/>
      <c r="FE17" s="11"/>
      <c r="FF17" s="11"/>
      <c r="FG17" s="11"/>
      <c r="FH17" s="11"/>
      <c r="FI17" s="11"/>
      <c r="FJ17" s="11"/>
      <c r="FK17" s="11"/>
      <c r="FL17" s="11"/>
      <c r="FM17" s="11"/>
      <c r="FN17" s="11"/>
      <c r="FO17" s="11"/>
      <c r="FP17" s="11"/>
      <c r="FQ17" s="11"/>
      <c r="FR17" s="11"/>
      <c r="FS17" s="11"/>
      <c r="FT17" s="11"/>
      <c r="FU17" s="11"/>
      <c r="FV17" s="11"/>
      <c r="FW17" s="11"/>
      <c r="FX17" s="11"/>
      <c r="FY17" s="11"/>
      <c r="FZ17" s="11"/>
      <c r="GA17" s="11"/>
      <c r="GB17" s="11"/>
      <c r="GC17" s="11"/>
      <c r="GD17" s="11"/>
      <c r="GE17" s="11"/>
      <c r="GF17" s="11"/>
      <c r="GG17" s="11"/>
      <c r="GH17" s="11"/>
      <c r="GI17" s="11"/>
      <c r="GJ17" s="11"/>
      <c r="GK17" s="11"/>
      <c r="GL17" s="11"/>
      <c r="GM17" s="11"/>
      <c r="GN17" s="11"/>
      <c r="GO17" s="11"/>
      <c r="GP17" s="11"/>
      <c r="GQ17" s="11"/>
      <c r="GR17" s="11"/>
      <c r="GS17" s="11"/>
      <c r="GT17" s="11"/>
      <c r="GU17" s="11"/>
      <c r="GV17" s="11"/>
      <c r="GW17" s="11"/>
      <c r="GX17" s="11"/>
      <c r="GY17" s="11"/>
      <c r="GZ17" s="11"/>
      <c r="HA17" s="11"/>
      <c r="HB17" s="11"/>
      <c r="HC17" s="11"/>
      <c r="HD17" s="11"/>
      <c r="HE17" s="11"/>
      <c r="HF17" s="11"/>
      <c r="HG17" s="11"/>
      <c r="HH17" s="11"/>
      <c r="HI17" s="11"/>
      <c r="HJ17" s="11"/>
      <c r="HK17" s="11"/>
      <c r="HL17" s="11"/>
      <c r="HM17" s="11"/>
      <c r="HN17" s="11"/>
      <c r="HO17" s="11"/>
      <c r="HP17" s="11"/>
      <c r="HQ17" s="11"/>
      <c r="HR17" s="11"/>
      <c r="HS17" s="11"/>
      <c r="HT17" s="11"/>
      <c r="HU17" s="11"/>
      <c r="HV17" s="11"/>
      <c r="HW17" s="11"/>
      <c r="HX17" s="11"/>
      <c r="HY17" s="11"/>
      <c r="HZ17" s="11"/>
      <c r="IA17" s="11"/>
      <c r="IB17" s="11"/>
      <c r="IC17" s="11"/>
      <c r="ID17" s="11"/>
      <c r="IE17" s="11"/>
      <c r="IF17" s="11"/>
      <c r="IG17" s="11"/>
      <c r="IH17" s="11"/>
      <c r="II17" s="11"/>
      <c r="IJ17" s="11"/>
      <c r="IK17" s="11"/>
      <c r="IL17" s="11"/>
      <c r="IM17" s="11"/>
      <c r="IN17" s="11"/>
      <c r="IO17" s="11"/>
      <c r="IP17" s="11"/>
      <c r="IQ17" s="11"/>
      <c r="IR17" s="11"/>
      <c r="IS17" s="11"/>
      <c r="IT17" s="11"/>
      <c r="IU17" s="11"/>
      <c r="IV17" s="11"/>
      <c r="IW17" s="11"/>
      <c r="IX17" s="11"/>
      <c r="IY17" s="11"/>
      <c r="IZ17" s="11"/>
      <c r="JA17" s="11"/>
      <c r="JB17" s="11"/>
      <c r="JC17" s="11"/>
      <c r="JD17" s="11"/>
      <c r="JE17" s="11"/>
      <c r="JF17" s="11"/>
      <c r="JG17" s="11"/>
      <c r="JH17" s="11"/>
      <c r="JI17" s="11"/>
      <c r="JJ17" s="11"/>
      <c r="JK17" s="11"/>
      <c r="JL17" s="11"/>
      <c r="JM17" s="11"/>
      <c r="JN17" s="11"/>
      <c r="JO17" s="11"/>
      <c r="JP17" s="11"/>
      <c r="JQ17" s="11"/>
      <c r="JR17" s="11"/>
      <c r="JS17" s="11"/>
      <c r="JT17" s="11"/>
      <c r="JU17" s="11"/>
      <c r="JV17" s="11"/>
      <c r="JW17" s="11"/>
      <c r="JX17" s="11"/>
      <c r="JY17" s="11"/>
      <c r="JZ17" s="11"/>
      <c r="KA17" s="11"/>
      <c r="KB17" s="11"/>
      <c r="KC17" s="11"/>
      <c r="KD17" s="11"/>
      <c r="KE17" s="11"/>
      <c r="KF17" s="11"/>
      <c r="KG17" s="11"/>
      <c r="KH17" s="11"/>
      <c r="KI17" s="11"/>
      <c r="KJ17" s="11"/>
      <c r="KK17" s="11"/>
      <c r="KL17" s="11"/>
      <c r="KM17" s="11"/>
      <c r="KN17" s="11"/>
      <c r="KO17" s="11"/>
      <c r="KP17" s="11"/>
      <c r="KQ17" s="11"/>
      <c r="KR17" s="11"/>
      <c r="KS17" s="11"/>
      <c r="KT17" s="11"/>
      <c r="KU17" s="11"/>
      <c r="KV17" s="11"/>
      <c r="KW17" s="11"/>
      <c r="KX17" s="11"/>
      <c r="KY17" s="11"/>
      <c r="KZ17" s="11"/>
      <c r="LA17" s="11"/>
      <c r="LB17" s="11"/>
      <c r="LC17" s="11"/>
      <c r="LD17" s="11"/>
      <c r="LE17" s="11"/>
      <c r="LF17" s="11"/>
      <c r="LG17" s="11"/>
      <c r="LH17" s="11"/>
      <c r="LI17" s="11"/>
      <c r="LJ17" s="11"/>
      <c r="LK17" s="11"/>
      <c r="LL17" s="11"/>
      <c r="LM17" s="11"/>
      <c r="LN17" s="11"/>
      <c r="LO17" s="11"/>
      <c r="LP17" s="11"/>
      <c r="LQ17" s="11"/>
      <c r="LR17" s="11"/>
      <c r="LS17" s="11"/>
      <c r="LT17" s="11"/>
      <c r="LU17" s="11"/>
      <c r="LV17" s="11"/>
      <c r="LW17" s="11"/>
      <c r="LX17" s="11"/>
      <c r="LY17" s="11"/>
      <c r="LZ17" s="11"/>
      <c r="MA17" s="11"/>
      <c r="MB17" s="11"/>
      <c r="MC17" s="11"/>
      <c r="MD17" s="11"/>
      <c r="ME17" s="11"/>
      <c r="MF17" s="11"/>
      <c r="MG17" s="11"/>
      <c r="MH17" s="11"/>
      <c r="MI17" s="11"/>
      <c r="MJ17" s="11"/>
      <c r="MK17" s="11"/>
      <c r="ML17" s="11"/>
      <c r="MM17" s="11"/>
      <c r="MN17" s="11"/>
      <c r="MO17" s="11"/>
      <c r="MP17" s="11"/>
      <c r="MQ17" s="11"/>
      <c r="MR17" s="11"/>
      <c r="MS17" s="11"/>
      <c r="MT17" s="11"/>
      <c r="MU17" s="11"/>
      <c r="MV17" s="11"/>
      <c r="MW17" s="11"/>
      <c r="MX17" s="11"/>
      <c r="MY17" s="11"/>
      <c r="MZ17" s="11"/>
      <c r="NA17" s="11"/>
      <c r="NB17" s="11"/>
      <c r="NC17" s="11"/>
      <c r="ND17" s="11"/>
      <c r="NE17" s="11"/>
      <c r="NF17" s="11"/>
      <c r="NG17" s="11"/>
      <c r="NH17" s="11"/>
      <c r="NI17" s="11"/>
      <c r="NJ17" s="11"/>
      <c r="NK17" s="11"/>
      <c r="NL17" s="11"/>
      <c r="NM17" s="11"/>
      <c r="NN17" s="11"/>
      <c r="NO17" s="11"/>
      <c r="NP17" s="11"/>
      <c r="NQ17" s="11"/>
      <c r="NR17" s="11"/>
      <c r="NS17" s="11"/>
      <c r="NT17" s="11"/>
      <c r="NU17" s="11"/>
      <c r="NV17" s="11"/>
      <c r="NW17" s="11"/>
      <c r="NX17" s="11"/>
      <c r="NY17" s="11"/>
      <c r="NZ17" s="11"/>
      <c r="OA17" s="11"/>
      <c r="OB17" s="11"/>
      <c r="OC17" s="11"/>
      <c r="OD17" s="11"/>
      <c r="OE17" s="11"/>
      <c r="OF17" s="11"/>
      <c r="OG17" s="11"/>
      <c r="OH17" s="11"/>
      <c r="OI17" s="11"/>
      <c r="OJ17" s="11"/>
      <c r="OK17" s="11"/>
      <c r="OL17" s="11"/>
      <c r="OM17" s="11"/>
      <c r="ON17" s="11"/>
      <c r="OO17" s="11"/>
      <c r="OP17" s="11"/>
      <c r="OQ17" s="11"/>
      <c r="OR17" s="11"/>
      <c r="OS17" s="11"/>
      <c r="OT17" s="11"/>
      <c r="OU17" s="11"/>
      <c r="OV17" s="11"/>
      <c r="OW17" s="11"/>
      <c r="OX17" s="11"/>
      <c r="OY17" s="11"/>
      <c r="OZ17" s="11"/>
      <c r="PA17" s="11"/>
      <c r="PB17" s="11"/>
      <c r="PC17" s="11"/>
      <c r="PD17" s="11"/>
      <c r="PE17" s="11"/>
      <c r="PF17" s="11"/>
      <c r="PG17" s="11"/>
      <c r="PH17" s="11"/>
      <c r="PI17" s="11"/>
      <c r="PJ17" s="11"/>
      <c r="PK17" s="11"/>
      <c r="PL17" s="11"/>
      <c r="PM17" s="11"/>
      <c r="PN17" s="11"/>
      <c r="PO17" s="11"/>
      <c r="PP17" s="11"/>
      <c r="PQ17" s="11"/>
      <c r="PR17" s="11"/>
      <c r="PS17" s="11"/>
      <c r="PT17" s="11"/>
      <c r="PU17" s="11"/>
      <c r="PV17" s="11"/>
      <c r="PW17" s="11"/>
      <c r="PX17" s="11"/>
      <c r="PY17" s="11"/>
      <c r="PZ17" s="11"/>
      <c r="QA17" s="11"/>
      <c r="QB17" s="11"/>
      <c r="QC17" s="11"/>
      <c r="QD17" s="11"/>
      <c r="QE17" s="11"/>
      <c r="QF17" s="11"/>
      <c r="QG17" s="11"/>
      <c r="QH17" s="11"/>
      <c r="QI17" s="11"/>
      <c r="QJ17" s="11"/>
      <c r="QK17" s="11"/>
      <c r="QL17" s="11"/>
      <c r="QM17" s="11"/>
      <c r="QN17" s="11"/>
      <c r="QO17" s="11"/>
      <c r="QP17" s="11"/>
      <c r="QQ17" s="11"/>
      <c r="QR17" s="11"/>
      <c r="QS17" s="11"/>
      <c r="QT17" s="11"/>
      <c r="QU17" s="11"/>
      <c r="QV17" s="11"/>
      <c r="QW17" s="11"/>
      <c r="QX17" s="11"/>
      <c r="QY17" s="11"/>
      <c r="QZ17" s="11"/>
      <c r="RA17" s="11"/>
      <c r="RB17" s="11"/>
      <c r="RC17" s="11"/>
      <c r="RD17" s="11"/>
      <c r="RE17" s="11"/>
      <c r="RF17" s="11"/>
      <c r="RG17" s="11"/>
      <c r="RH17" s="11"/>
      <c r="RI17" s="11"/>
      <c r="RJ17" s="11"/>
      <c r="RK17" s="11"/>
      <c r="RL17" s="11"/>
      <c r="RM17" s="11"/>
      <c r="RN17" s="11"/>
      <c r="RO17" s="11"/>
      <c r="RP17" s="11"/>
      <c r="RQ17" s="11"/>
      <c r="RR17" s="11"/>
      <c r="RS17" s="11"/>
      <c r="RT17" s="11"/>
      <c r="RU17" s="11"/>
      <c r="RV17" s="11"/>
      <c r="RW17" s="11"/>
      <c r="RX17" s="11"/>
      <c r="RY17" s="11"/>
      <c r="RZ17" s="11"/>
      <c r="SA17" s="11"/>
      <c r="SB17" s="11"/>
      <c r="SC17" s="11"/>
      <c r="SD17" s="11"/>
      <c r="SE17" s="11"/>
      <c r="SF17" s="11"/>
      <c r="SG17" s="11"/>
      <c r="SH17" s="11"/>
      <c r="SI17" s="11"/>
      <c r="SJ17" s="11"/>
      <c r="SK17" s="11"/>
      <c r="SL17" s="11"/>
      <c r="SM17" s="11"/>
      <c r="SN17" s="11"/>
      <c r="SO17" s="11"/>
      <c r="SP17" s="11"/>
      <c r="SQ17" s="11"/>
      <c r="SR17" s="11"/>
      <c r="SS17" s="11"/>
      <c r="ST17" s="11"/>
      <c r="SU17" s="11"/>
      <c r="SV17" s="11"/>
      <c r="SW17" s="11"/>
      <c r="SX17" s="11"/>
      <c r="SY17" s="11"/>
      <c r="SZ17" s="11"/>
      <c r="TA17" s="11"/>
      <c r="TB17" s="11"/>
      <c r="TC17" s="11"/>
      <c r="TD17" s="11"/>
      <c r="TE17" s="11"/>
      <c r="TF17" s="11"/>
      <c r="TG17" s="11"/>
      <c r="TH17" s="11"/>
      <c r="TI17" s="11"/>
      <c r="TJ17" s="11"/>
      <c r="TK17" s="11"/>
      <c r="TL17" s="11"/>
      <c r="TM17" s="11"/>
      <c r="TN17" s="11"/>
      <c r="TO17" s="11"/>
      <c r="TP17" s="11"/>
      <c r="TQ17" s="11"/>
      <c r="TR17" s="11"/>
      <c r="TS17" s="11"/>
      <c r="TT17" s="11"/>
      <c r="TU17" s="11"/>
      <c r="TV17" s="11"/>
      <c r="TW17" s="11"/>
      <c r="TX17" s="11"/>
      <c r="TY17" s="11"/>
      <c r="TZ17" s="11"/>
      <c r="UA17" s="11"/>
      <c r="UB17" s="11"/>
      <c r="UC17" s="11"/>
      <c r="UD17" s="11"/>
      <c r="UE17" s="11"/>
      <c r="UF17" s="11"/>
      <c r="UG17" s="11"/>
      <c r="UH17" s="11"/>
      <c r="UI17" s="11"/>
      <c r="UJ17" s="11"/>
      <c r="UK17" s="11"/>
      <c r="UL17" s="11"/>
      <c r="UM17" s="11"/>
      <c r="UN17" s="11"/>
      <c r="UO17" s="11"/>
      <c r="UP17" s="11"/>
      <c r="UQ17" s="11"/>
      <c r="UR17" s="11"/>
      <c r="US17" s="11"/>
      <c r="UT17" s="11"/>
      <c r="UU17" s="11"/>
      <c r="UV17" s="11"/>
      <c r="UW17" s="11"/>
      <c r="UX17" s="11"/>
      <c r="UY17" s="11"/>
      <c r="UZ17" s="11"/>
      <c r="VA17" s="11"/>
      <c r="VB17" s="11"/>
      <c r="VC17" s="11"/>
      <c r="VD17" s="11"/>
      <c r="VE17" s="11"/>
      <c r="VF17" s="11"/>
      <c r="VG17" s="11"/>
      <c r="VH17" s="11"/>
      <c r="VI17" s="11"/>
      <c r="VJ17" s="11"/>
      <c r="VK17" s="11"/>
      <c r="VL17" s="11"/>
      <c r="VM17" s="11"/>
      <c r="VN17" s="11"/>
      <c r="VO17" s="11"/>
      <c r="VP17" s="11"/>
      <c r="VQ17" s="11"/>
      <c r="VR17" s="11"/>
      <c r="VS17" s="11"/>
      <c r="VT17" s="11"/>
      <c r="VU17" s="11"/>
      <c r="VV17" s="11"/>
      <c r="VW17" s="11"/>
      <c r="VX17" s="11"/>
      <c r="VY17" s="11"/>
      <c r="VZ17" s="11"/>
      <c r="WA17" s="11"/>
      <c r="WB17" s="11"/>
      <c r="WC17" s="11"/>
      <c r="WD17" s="11"/>
      <c r="WE17" s="11"/>
      <c r="WF17" s="11"/>
      <c r="WG17" s="11"/>
      <c r="WH17" s="11"/>
      <c r="WI17" s="11"/>
      <c r="WJ17" s="11"/>
      <c r="WK17" s="11"/>
      <c r="WL17" s="11"/>
      <c r="WM17" s="11"/>
      <c r="WN17" s="11"/>
      <c r="WO17" s="11"/>
      <c r="WP17" s="11"/>
      <c r="WQ17" s="11"/>
      <c r="WR17" s="11"/>
      <c r="WS17" s="11"/>
      <c r="WT17" s="11"/>
      <c r="WU17" s="11"/>
      <c r="WV17" s="11"/>
      <c r="WW17" s="11"/>
      <c r="WX17" s="11"/>
      <c r="WY17" s="11"/>
      <c r="WZ17" s="11"/>
      <c r="XA17" s="11"/>
      <c r="XB17" s="11"/>
      <c r="XC17" s="11"/>
      <c r="XD17" s="11"/>
      <c r="XE17" s="11"/>
      <c r="XF17" s="11"/>
      <c r="XG17" s="11"/>
      <c r="XH17" s="11"/>
      <c r="XI17" s="11"/>
      <c r="XJ17" s="11"/>
      <c r="XK17" s="11"/>
      <c r="XL17" s="11"/>
      <c r="XM17" s="11"/>
      <c r="XN17" s="11"/>
      <c r="XO17" s="11"/>
      <c r="XP17" s="11"/>
      <c r="XQ17" s="11"/>
      <c r="XR17" s="11"/>
      <c r="XS17" s="11"/>
      <c r="XT17" s="11"/>
      <c r="XU17" s="11"/>
      <c r="XV17" s="11"/>
      <c r="XW17" s="11"/>
      <c r="XX17" s="11"/>
      <c r="XY17" s="11"/>
      <c r="XZ17" s="11"/>
      <c r="YA17" s="11"/>
      <c r="YB17" s="11"/>
      <c r="YC17" s="11"/>
      <c r="YD17" s="11"/>
      <c r="YE17" s="11"/>
      <c r="YF17" s="11"/>
      <c r="YG17" s="11"/>
      <c r="YH17" s="11"/>
      <c r="YI17" s="11"/>
      <c r="YJ17" s="11"/>
      <c r="YK17" s="11"/>
      <c r="YL17" s="11"/>
      <c r="YM17" s="11"/>
      <c r="YN17" s="11"/>
      <c r="YO17" s="11"/>
      <c r="YP17" s="11"/>
      <c r="YQ17" s="11"/>
      <c r="YR17" s="11"/>
      <c r="YS17" s="11"/>
      <c r="YT17" s="11"/>
      <c r="YU17" s="11"/>
      <c r="YV17" s="11"/>
      <c r="YW17" s="11"/>
      <c r="YX17" s="11"/>
      <c r="YY17" s="11"/>
      <c r="YZ17" s="11"/>
      <c r="ZA17" s="11"/>
      <c r="ZB17" s="11"/>
      <c r="ZC17" s="11"/>
      <c r="ZD17" s="11"/>
      <c r="ZE17" s="11"/>
      <c r="ZF17" s="11"/>
      <c r="ZG17" s="11"/>
      <c r="ZH17" s="11"/>
      <c r="ZI17" s="11"/>
      <c r="ZJ17" s="11"/>
      <c r="ZK17" s="11"/>
      <c r="ZL17" s="11"/>
      <c r="ZM17" s="11"/>
      <c r="ZN17" s="11"/>
      <c r="ZO17" s="11"/>
      <c r="ZP17" s="11"/>
      <c r="ZQ17" s="11"/>
      <c r="ZR17" s="11"/>
      <c r="ZS17" s="11"/>
      <c r="ZT17" s="11"/>
      <c r="ZU17" s="11"/>
      <c r="ZV17" s="11"/>
      <c r="ZW17" s="11"/>
      <c r="ZX17" s="11"/>
      <c r="ZY17" s="11"/>
      <c r="ZZ17" s="11"/>
      <c r="AAA17" s="11"/>
      <c r="AAB17" s="11"/>
      <c r="AAC17" s="11"/>
      <c r="AAD17" s="11"/>
      <c r="AAE17" s="11"/>
      <c r="AAF17" s="11"/>
      <c r="AAG17" s="11"/>
      <c r="AAH17" s="11"/>
      <c r="AAI17" s="11"/>
      <c r="AAJ17" s="11"/>
      <c r="AAK17" s="11"/>
      <c r="AAL17" s="11"/>
    </row>
    <row r="18" spans="26:714" s="6" customFormat="1" x14ac:dyDescent="0.3">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c r="IQ18" s="11"/>
      <c r="IR18" s="11"/>
      <c r="IS18" s="11"/>
      <c r="IT18" s="11"/>
      <c r="IU18" s="11"/>
      <c r="IV18" s="11"/>
      <c r="IW18" s="11"/>
      <c r="IX18" s="11"/>
      <c r="IY18" s="11"/>
      <c r="IZ18" s="11"/>
      <c r="JA18" s="11"/>
      <c r="JB18" s="11"/>
      <c r="JC18" s="11"/>
      <c r="JD18" s="11"/>
      <c r="JE18" s="11"/>
      <c r="JF18" s="11"/>
      <c r="JG18" s="11"/>
      <c r="JH18" s="11"/>
      <c r="JI18" s="11"/>
      <c r="JJ18" s="11"/>
      <c r="JK18" s="11"/>
      <c r="JL18" s="11"/>
      <c r="JM18" s="11"/>
      <c r="JN18" s="11"/>
      <c r="JO18" s="11"/>
      <c r="JP18" s="11"/>
      <c r="JQ18" s="11"/>
      <c r="JR18" s="11"/>
      <c r="JS18" s="11"/>
      <c r="JT18" s="11"/>
      <c r="JU18" s="11"/>
      <c r="JV18" s="11"/>
      <c r="JW18" s="11"/>
      <c r="JX18" s="11"/>
      <c r="JY18" s="11"/>
      <c r="JZ18" s="11"/>
      <c r="KA18" s="11"/>
      <c r="KB18" s="11"/>
      <c r="KC18" s="11"/>
      <c r="KD18" s="11"/>
      <c r="KE18" s="11"/>
      <c r="KF18" s="11"/>
      <c r="KG18" s="11"/>
      <c r="KH18" s="11"/>
      <c r="KI18" s="11"/>
      <c r="KJ18" s="11"/>
      <c r="KK18" s="11"/>
      <c r="KL18" s="11"/>
      <c r="KM18" s="11"/>
      <c r="KN18" s="11"/>
      <c r="KO18" s="11"/>
      <c r="KP18" s="11"/>
      <c r="KQ18" s="11"/>
      <c r="KR18" s="11"/>
      <c r="KS18" s="11"/>
      <c r="KT18" s="11"/>
      <c r="KU18" s="11"/>
      <c r="KV18" s="11"/>
      <c r="KW18" s="11"/>
      <c r="KX18" s="11"/>
      <c r="KY18" s="11"/>
      <c r="KZ18" s="11"/>
      <c r="LA18" s="11"/>
      <c r="LB18" s="11"/>
      <c r="LC18" s="11"/>
      <c r="LD18" s="11"/>
      <c r="LE18" s="11"/>
      <c r="LF18" s="11"/>
      <c r="LG18" s="11"/>
      <c r="LH18" s="11"/>
      <c r="LI18" s="11"/>
      <c r="LJ18" s="11"/>
      <c r="LK18" s="11"/>
      <c r="LL18" s="11"/>
      <c r="LM18" s="11"/>
      <c r="LN18" s="11"/>
      <c r="LO18" s="11"/>
      <c r="LP18" s="11"/>
      <c r="LQ18" s="11"/>
      <c r="LR18" s="11"/>
      <c r="LS18" s="11"/>
      <c r="LT18" s="11"/>
      <c r="LU18" s="11"/>
      <c r="LV18" s="11"/>
      <c r="LW18" s="11"/>
      <c r="LX18" s="11"/>
      <c r="LY18" s="11"/>
      <c r="LZ18" s="11"/>
      <c r="MA18" s="11"/>
      <c r="MB18" s="11"/>
      <c r="MC18" s="11"/>
      <c r="MD18" s="11"/>
      <c r="ME18" s="11"/>
      <c r="MF18" s="11"/>
      <c r="MG18" s="11"/>
      <c r="MH18" s="11"/>
      <c r="MI18" s="11"/>
      <c r="MJ18" s="11"/>
      <c r="MK18" s="11"/>
      <c r="ML18" s="11"/>
      <c r="MM18" s="11"/>
      <c r="MN18" s="11"/>
      <c r="MO18" s="11"/>
      <c r="MP18" s="11"/>
      <c r="MQ18" s="11"/>
      <c r="MR18" s="11"/>
      <c r="MS18" s="11"/>
      <c r="MT18" s="11"/>
      <c r="MU18" s="11"/>
      <c r="MV18" s="11"/>
      <c r="MW18" s="11"/>
      <c r="MX18" s="11"/>
      <c r="MY18" s="11"/>
      <c r="MZ18" s="11"/>
      <c r="NA18" s="11"/>
      <c r="NB18" s="11"/>
      <c r="NC18" s="11"/>
      <c r="ND18" s="11"/>
      <c r="NE18" s="11"/>
      <c r="NF18" s="11"/>
      <c r="NG18" s="11"/>
      <c r="NH18" s="11"/>
      <c r="NI18" s="11"/>
      <c r="NJ18" s="11"/>
      <c r="NK18" s="11"/>
      <c r="NL18" s="11"/>
      <c r="NM18" s="11"/>
      <c r="NN18" s="11"/>
      <c r="NO18" s="11"/>
      <c r="NP18" s="11"/>
      <c r="NQ18" s="11"/>
      <c r="NR18" s="11"/>
      <c r="NS18" s="11"/>
      <c r="NT18" s="11"/>
      <c r="NU18" s="11"/>
      <c r="NV18" s="11"/>
      <c r="NW18" s="11"/>
      <c r="NX18" s="11"/>
      <c r="NY18" s="11"/>
      <c r="NZ18" s="11"/>
      <c r="OA18" s="11"/>
      <c r="OB18" s="11"/>
      <c r="OC18" s="11"/>
      <c r="OD18" s="11"/>
      <c r="OE18" s="11"/>
      <c r="OF18" s="11"/>
      <c r="OG18" s="11"/>
      <c r="OH18" s="11"/>
      <c r="OI18" s="11"/>
      <c r="OJ18" s="11"/>
      <c r="OK18" s="11"/>
      <c r="OL18" s="11"/>
      <c r="OM18" s="11"/>
      <c r="ON18" s="11"/>
      <c r="OO18" s="11"/>
      <c r="OP18" s="11"/>
      <c r="OQ18" s="11"/>
      <c r="OR18" s="11"/>
      <c r="OS18" s="11"/>
      <c r="OT18" s="11"/>
      <c r="OU18" s="11"/>
      <c r="OV18" s="11"/>
      <c r="OW18" s="11"/>
      <c r="OX18" s="11"/>
      <c r="OY18" s="11"/>
      <c r="OZ18" s="11"/>
      <c r="PA18" s="11"/>
      <c r="PB18" s="11"/>
      <c r="PC18" s="11"/>
      <c r="PD18" s="11"/>
      <c r="PE18" s="11"/>
      <c r="PF18" s="11"/>
      <c r="PG18" s="11"/>
      <c r="PH18" s="11"/>
      <c r="PI18" s="11"/>
      <c r="PJ18" s="11"/>
      <c r="PK18" s="11"/>
      <c r="PL18" s="11"/>
      <c r="PM18" s="11"/>
      <c r="PN18" s="11"/>
      <c r="PO18" s="11"/>
      <c r="PP18" s="11"/>
      <c r="PQ18" s="11"/>
      <c r="PR18" s="11"/>
      <c r="PS18" s="11"/>
      <c r="PT18" s="11"/>
      <c r="PU18" s="11"/>
      <c r="PV18" s="11"/>
      <c r="PW18" s="11"/>
      <c r="PX18" s="11"/>
      <c r="PY18" s="11"/>
      <c r="PZ18" s="11"/>
      <c r="QA18" s="11"/>
      <c r="QB18" s="11"/>
      <c r="QC18" s="11"/>
      <c r="QD18" s="11"/>
      <c r="QE18" s="11"/>
      <c r="QF18" s="11"/>
      <c r="QG18" s="11"/>
      <c r="QH18" s="11"/>
      <c r="QI18" s="11"/>
      <c r="QJ18" s="11"/>
      <c r="QK18" s="11"/>
      <c r="QL18" s="11"/>
      <c r="QM18" s="11"/>
      <c r="QN18" s="11"/>
      <c r="QO18" s="11"/>
      <c r="QP18" s="11"/>
      <c r="QQ18" s="11"/>
      <c r="QR18" s="11"/>
      <c r="QS18" s="11"/>
      <c r="QT18" s="11"/>
      <c r="QU18" s="11"/>
      <c r="QV18" s="11"/>
      <c r="QW18" s="11"/>
      <c r="QX18" s="11"/>
      <c r="QY18" s="11"/>
      <c r="QZ18" s="11"/>
      <c r="RA18" s="11"/>
      <c r="RB18" s="11"/>
      <c r="RC18" s="11"/>
      <c r="RD18" s="11"/>
      <c r="RE18" s="11"/>
      <c r="RF18" s="11"/>
      <c r="RG18" s="11"/>
      <c r="RH18" s="11"/>
      <c r="RI18" s="11"/>
      <c r="RJ18" s="11"/>
      <c r="RK18" s="11"/>
      <c r="RL18" s="11"/>
      <c r="RM18" s="11"/>
      <c r="RN18" s="11"/>
      <c r="RO18" s="11"/>
      <c r="RP18" s="11"/>
      <c r="RQ18" s="11"/>
      <c r="RR18" s="11"/>
      <c r="RS18" s="11"/>
      <c r="RT18" s="11"/>
      <c r="RU18" s="11"/>
      <c r="RV18" s="11"/>
      <c r="RW18" s="11"/>
      <c r="RX18" s="11"/>
      <c r="RY18" s="11"/>
      <c r="RZ18" s="11"/>
      <c r="SA18" s="11"/>
      <c r="SB18" s="11"/>
      <c r="SC18" s="11"/>
      <c r="SD18" s="11"/>
      <c r="SE18" s="11"/>
      <c r="SF18" s="11"/>
      <c r="SG18" s="11"/>
      <c r="SH18" s="11"/>
      <c r="SI18" s="11"/>
      <c r="SJ18" s="11"/>
      <c r="SK18" s="11"/>
      <c r="SL18" s="11"/>
      <c r="SM18" s="11"/>
      <c r="SN18" s="11"/>
      <c r="SO18" s="11"/>
      <c r="SP18" s="11"/>
      <c r="SQ18" s="11"/>
      <c r="SR18" s="11"/>
      <c r="SS18" s="11"/>
      <c r="ST18" s="11"/>
      <c r="SU18" s="11"/>
      <c r="SV18" s="11"/>
      <c r="SW18" s="11"/>
      <c r="SX18" s="11"/>
      <c r="SY18" s="11"/>
      <c r="SZ18" s="11"/>
      <c r="TA18" s="11"/>
      <c r="TB18" s="11"/>
      <c r="TC18" s="11"/>
      <c r="TD18" s="11"/>
      <c r="TE18" s="11"/>
      <c r="TF18" s="11"/>
      <c r="TG18" s="11"/>
      <c r="TH18" s="11"/>
      <c r="TI18" s="11"/>
      <c r="TJ18" s="11"/>
      <c r="TK18" s="11"/>
      <c r="TL18" s="11"/>
      <c r="TM18" s="11"/>
      <c r="TN18" s="11"/>
      <c r="TO18" s="11"/>
      <c r="TP18" s="11"/>
      <c r="TQ18" s="11"/>
      <c r="TR18" s="11"/>
      <c r="TS18" s="11"/>
      <c r="TT18" s="11"/>
      <c r="TU18" s="11"/>
      <c r="TV18" s="11"/>
      <c r="TW18" s="11"/>
      <c r="TX18" s="11"/>
      <c r="TY18" s="11"/>
      <c r="TZ18" s="11"/>
      <c r="UA18" s="11"/>
      <c r="UB18" s="11"/>
      <c r="UC18" s="11"/>
      <c r="UD18" s="11"/>
      <c r="UE18" s="11"/>
      <c r="UF18" s="11"/>
      <c r="UG18" s="11"/>
      <c r="UH18" s="11"/>
      <c r="UI18" s="11"/>
      <c r="UJ18" s="11"/>
      <c r="UK18" s="11"/>
      <c r="UL18" s="11"/>
      <c r="UM18" s="11"/>
      <c r="UN18" s="11"/>
      <c r="UO18" s="11"/>
      <c r="UP18" s="11"/>
      <c r="UQ18" s="11"/>
      <c r="UR18" s="11"/>
      <c r="US18" s="11"/>
      <c r="UT18" s="11"/>
      <c r="UU18" s="11"/>
      <c r="UV18" s="11"/>
      <c r="UW18" s="11"/>
      <c r="UX18" s="11"/>
      <c r="UY18" s="11"/>
      <c r="UZ18" s="11"/>
      <c r="VA18" s="11"/>
      <c r="VB18" s="11"/>
      <c r="VC18" s="11"/>
      <c r="VD18" s="11"/>
      <c r="VE18" s="11"/>
      <c r="VF18" s="11"/>
      <c r="VG18" s="11"/>
      <c r="VH18" s="11"/>
      <c r="VI18" s="11"/>
      <c r="VJ18" s="11"/>
      <c r="VK18" s="11"/>
      <c r="VL18" s="11"/>
      <c r="VM18" s="11"/>
      <c r="VN18" s="11"/>
      <c r="VO18" s="11"/>
      <c r="VP18" s="11"/>
      <c r="VQ18" s="11"/>
      <c r="VR18" s="11"/>
      <c r="VS18" s="11"/>
      <c r="VT18" s="11"/>
      <c r="VU18" s="11"/>
      <c r="VV18" s="11"/>
      <c r="VW18" s="11"/>
      <c r="VX18" s="11"/>
      <c r="VY18" s="11"/>
      <c r="VZ18" s="11"/>
      <c r="WA18" s="11"/>
      <c r="WB18" s="11"/>
      <c r="WC18" s="11"/>
      <c r="WD18" s="11"/>
      <c r="WE18" s="11"/>
      <c r="WF18" s="11"/>
      <c r="WG18" s="11"/>
      <c r="WH18" s="11"/>
      <c r="WI18" s="11"/>
      <c r="WJ18" s="11"/>
      <c r="WK18" s="11"/>
      <c r="WL18" s="11"/>
      <c r="WM18" s="11"/>
      <c r="WN18" s="11"/>
      <c r="WO18" s="11"/>
      <c r="WP18" s="11"/>
      <c r="WQ18" s="11"/>
      <c r="WR18" s="11"/>
      <c r="WS18" s="11"/>
      <c r="WT18" s="11"/>
      <c r="WU18" s="11"/>
      <c r="WV18" s="11"/>
      <c r="WW18" s="11"/>
      <c r="WX18" s="11"/>
      <c r="WY18" s="11"/>
      <c r="WZ18" s="11"/>
      <c r="XA18" s="11"/>
      <c r="XB18" s="11"/>
      <c r="XC18" s="11"/>
      <c r="XD18" s="11"/>
      <c r="XE18" s="11"/>
      <c r="XF18" s="11"/>
      <c r="XG18" s="11"/>
      <c r="XH18" s="11"/>
      <c r="XI18" s="11"/>
      <c r="XJ18" s="11"/>
      <c r="XK18" s="11"/>
      <c r="XL18" s="11"/>
      <c r="XM18" s="11"/>
      <c r="XN18" s="11"/>
      <c r="XO18" s="11"/>
      <c r="XP18" s="11"/>
      <c r="XQ18" s="11"/>
      <c r="XR18" s="11"/>
      <c r="XS18" s="11"/>
      <c r="XT18" s="11"/>
      <c r="XU18" s="11"/>
      <c r="XV18" s="11"/>
      <c r="XW18" s="11"/>
      <c r="XX18" s="11"/>
      <c r="XY18" s="11"/>
      <c r="XZ18" s="11"/>
      <c r="YA18" s="11"/>
      <c r="YB18" s="11"/>
      <c r="YC18" s="11"/>
      <c r="YD18" s="11"/>
      <c r="YE18" s="11"/>
      <c r="YF18" s="11"/>
      <c r="YG18" s="11"/>
      <c r="YH18" s="11"/>
      <c r="YI18" s="11"/>
      <c r="YJ18" s="11"/>
      <c r="YK18" s="11"/>
      <c r="YL18" s="11"/>
      <c r="YM18" s="11"/>
      <c r="YN18" s="11"/>
      <c r="YO18" s="11"/>
      <c r="YP18" s="11"/>
      <c r="YQ18" s="11"/>
      <c r="YR18" s="11"/>
      <c r="YS18" s="11"/>
      <c r="YT18" s="11"/>
      <c r="YU18" s="11"/>
      <c r="YV18" s="11"/>
      <c r="YW18" s="11"/>
      <c r="YX18" s="11"/>
      <c r="YY18" s="11"/>
      <c r="YZ18" s="11"/>
      <c r="ZA18" s="11"/>
      <c r="ZB18" s="11"/>
      <c r="ZC18" s="11"/>
      <c r="ZD18" s="11"/>
      <c r="ZE18" s="11"/>
      <c r="ZF18" s="11"/>
      <c r="ZG18" s="11"/>
      <c r="ZH18" s="11"/>
      <c r="ZI18" s="11"/>
      <c r="ZJ18" s="11"/>
      <c r="ZK18" s="11"/>
      <c r="ZL18" s="11"/>
      <c r="ZM18" s="11"/>
      <c r="ZN18" s="11"/>
      <c r="ZO18" s="11"/>
      <c r="ZP18" s="11"/>
      <c r="ZQ18" s="11"/>
      <c r="ZR18" s="11"/>
      <c r="ZS18" s="11"/>
      <c r="ZT18" s="11"/>
      <c r="ZU18" s="11"/>
      <c r="ZV18" s="11"/>
      <c r="ZW18" s="11"/>
      <c r="ZX18" s="11"/>
      <c r="ZY18" s="11"/>
      <c r="ZZ18" s="11"/>
      <c r="AAA18" s="11"/>
      <c r="AAB18" s="11"/>
      <c r="AAC18" s="11"/>
      <c r="AAD18" s="11"/>
      <c r="AAE18" s="11"/>
      <c r="AAF18" s="11"/>
      <c r="AAG18" s="11"/>
      <c r="AAH18" s="11"/>
      <c r="AAI18" s="11"/>
      <c r="AAJ18" s="11"/>
      <c r="AAK18" s="11"/>
      <c r="AAL18" s="11"/>
    </row>
    <row r="19" spans="26:714" s="6" customFormat="1" x14ac:dyDescent="0.3">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c r="IQ19" s="11"/>
      <c r="IR19" s="11"/>
      <c r="IS19" s="11"/>
      <c r="IT19" s="11"/>
      <c r="IU19" s="11"/>
      <c r="IV19" s="11"/>
      <c r="IW19" s="11"/>
      <c r="IX19" s="11"/>
      <c r="IY19" s="11"/>
      <c r="IZ19" s="11"/>
      <c r="JA19" s="11"/>
      <c r="JB19" s="11"/>
      <c r="JC19" s="11"/>
      <c r="JD19" s="11"/>
      <c r="JE19" s="11"/>
      <c r="JF19" s="11"/>
      <c r="JG19" s="11"/>
      <c r="JH19" s="11"/>
      <c r="JI19" s="11"/>
      <c r="JJ19" s="11"/>
      <c r="JK19" s="11"/>
      <c r="JL19" s="11"/>
      <c r="JM19" s="11"/>
      <c r="JN19" s="11"/>
      <c r="JO19" s="11"/>
      <c r="JP19" s="11"/>
      <c r="JQ19" s="11"/>
      <c r="JR19" s="11"/>
      <c r="JS19" s="11"/>
      <c r="JT19" s="11"/>
      <c r="JU19" s="11"/>
      <c r="JV19" s="11"/>
      <c r="JW19" s="11"/>
      <c r="JX19" s="11"/>
      <c r="JY19" s="11"/>
      <c r="JZ19" s="11"/>
      <c r="KA19" s="11"/>
      <c r="KB19" s="11"/>
      <c r="KC19" s="11"/>
      <c r="KD19" s="11"/>
      <c r="KE19" s="11"/>
      <c r="KF19" s="11"/>
      <c r="KG19" s="11"/>
      <c r="KH19" s="11"/>
      <c r="KI19" s="11"/>
      <c r="KJ19" s="11"/>
      <c r="KK19" s="11"/>
      <c r="KL19" s="11"/>
      <c r="KM19" s="11"/>
      <c r="KN19" s="11"/>
      <c r="KO19" s="11"/>
      <c r="KP19" s="11"/>
      <c r="KQ19" s="11"/>
      <c r="KR19" s="11"/>
      <c r="KS19" s="11"/>
      <c r="KT19" s="11"/>
      <c r="KU19" s="11"/>
      <c r="KV19" s="11"/>
      <c r="KW19" s="11"/>
      <c r="KX19" s="11"/>
      <c r="KY19" s="11"/>
      <c r="KZ19" s="11"/>
      <c r="LA19" s="11"/>
      <c r="LB19" s="11"/>
      <c r="LC19" s="11"/>
      <c r="LD19" s="11"/>
      <c r="LE19" s="11"/>
      <c r="LF19" s="11"/>
      <c r="LG19" s="11"/>
      <c r="LH19" s="11"/>
      <c r="LI19" s="11"/>
      <c r="LJ19" s="11"/>
      <c r="LK19" s="11"/>
      <c r="LL19" s="11"/>
      <c r="LM19" s="11"/>
      <c r="LN19" s="11"/>
      <c r="LO19" s="11"/>
      <c r="LP19" s="11"/>
      <c r="LQ19" s="11"/>
      <c r="LR19" s="11"/>
      <c r="LS19" s="11"/>
      <c r="LT19" s="11"/>
      <c r="LU19" s="11"/>
      <c r="LV19" s="11"/>
      <c r="LW19" s="11"/>
      <c r="LX19" s="11"/>
      <c r="LY19" s="11"/>
      <c r="LZ19" s="11"/>
      <c r="MA19" s="11"/>
      <c r="MB19" s="11"/>
      <c r="MC19" s="11"/>
      <c r="MD19" s="11"/>
      <c r="ME19" s="11"/>
      <c r="MF19" s="11"/>
      <c r="MG19" s="11"/>
      <c r="MH19" s="11"/>
      <c r="MI19" s="11"/>
      <c r="MJ19" s="11"/>
      <c r="MK19" s="11"/>
      <c r="ML19" s="11"/>
      <c r="MM19" s="11"/>
      <c r="MN19" s="11"/>
      <c r="MO19" s="11"/>
      <c r="MP19" s="11"/>
      <c r="MQ19" s="11"/>
      <c r="MR19" s="11"/>
      <c r="MS19" s="11"/>
      <c r="MT19" s="11"/>
      <c r="MU19" s="11"/>
      <c r="MV19" s="11"/>
      <c r="MW19" s="11"/>
      <c r="MX19" s="11"/>
      <c r="MY19" s="11"/>
      <c r="MZ19" s="11"/>
      <c r="NA19" s="11"/>
      <c r="NB19" s="11"/>
      <c r="NC19" s="11"/>
      <c r="ND19" s="11"/>
      <c r="NE19" s="11"/>
      <c r="NF19" s="11"/>
      <c r="NG19" s="11"/>
      <c r="NH19" s="11"/>
      <c r="NI19" s="11"/>
      <c r="NJ19" s="11"/>
      <c r="NK19" s="11"/>
      <c r="NL19" s="11"/>
      <c r="NM19" s="11"/>
      <c r="NN19" s="11"/>
      <c r="NO19" s="11"/>
      <c r="NP19" s="11"/>
      <c r="NQ19" s="11"/>
      <c r="NR19" s="11"/>
      <c r="NS19" s="11"/>
      <c r="NT19" s="11"/>
      <c r="NU19" s="11"/>
      <c r="NV19" s="11"/>
      <c r="NW19" s="11"/>
      <c r="NX19" s="11"/>
      <c r="NY19" s="11"/>
      <c r="NZ19" s="11"/>
      <c r="OA19" s="11"/>
      <c r="OB19" s="11"/>
      <c r="OC19" s="11"/>
      <c r="OD19" s="11"/>
      <c r="OE19" s="11"/>
      <c r="OF19" s="11"/>
      <c r="OG19" s="11"/>
      <c r="OH19" s="11"/>
      <c r="OI19" s="11"/>
      <c r="OJ19" s="11"/>
      <c r="OK19" s="11"/>
      <c r="OL19" s="11"/>
      <c r="OM19" s="11"/>
      <c r="ON19" s="11"/>
      <c r="OO19" s="11"/>
      <c r="OP19" s="11"/>
      <c r="OQ19" s="11"/>
      <c r="OR19" s="11"/>
      <c r="OS19" s="11"/>
      <c r="OT19" s="11"/>
      <c r="OU19" s="11"/>
      <c r="OV19" s="11"/>
      <c r="OW19" s="11"/>
      <c r="OX19" s="11"/>
      <c r="OY19" s="11"/>
      <c r="OZ19" s="11"/>
      <c r="PA19" s="11"/>
      <c r="PB19" s="11"/>
      <c r="PC19" s="11"/>
      <c r="PD19" s="11"/>
      <c r="PE19" s="11"/>
      <c r="PF19" s="11"/>
      <c r="PG19" s="11"/>
      <c r="PH19" s="11"/>
      <c r="PI19" s="11"/>
      <c r="PJ19" s="11"/>
      <c r="PK19" s="11"/>
      <c r="PL19" s="11"/>
      <c r="PM19" s="11"/>
      <c r="PN19" s="11"/>
      <c r="PO19" s="11"/>
      <c r="PP19" s="11"/>
      <c r="PQ19" s="11"/>
      <c r="PR19" s="11"/>
      <c r="PS19" s="11"/>
      <c r="PT19" s="11"/>
      <c r="PU19" s="11"/>
      <c r="PV19" s="11"/>
      <c r="PW19" s="11"/>
      <c r="PX19" s="11"/>
      <c r="PY19" s="11"/>
      <c r="PZ19" s="11"/>
      <c r="QA19" s="11"/>
      <c r="QB19" s="11"/>
      <c r="QC19" s="11"/>
      <c r="QD19" s="11"/>
      <c r="QE19" s="11"/>
      <c r="QF19" s="11"/>
      <c r="QG19" s="11"/>
      <c r="QH19" s="11"/>
      <c r="QI19" s="11"/>
      <c r="QJ19" s="11"/>
      <c r="QK19" s="11"/>
      <c r="QL19" s="11"/>
      <c r="QM19" s="11"/>
      <c r="QN19" s="11"/>
      <c r="QO19" s="11"/>
      <c r="QP19" s="11"/>
      <c r="QQ19" s="11"/>
      <c r="QR19" s="11"/>
      <c r="QS19" s="11"/>
      <c r="QT19" s="11"/>
      <c r="QU19" s="11"/>
      <c r="QV19" s="11"/>
      <c r="QW19" s="11"/>
      <c r="QX19" s="11"/>
      <c r="QY19" s="11"/>
      <c r="QZ19" s="11"/>
      <c r="RA19" s="11"/>
      <c r="RB19" s="11"/>
      <c r="RC19" s="11"/>
      <c r="RD19" s="11"/>
      <c r="RE19" s="11"/>
      <c r="RF19" s="11"/>
      <c r="RG19" s="11"/>
      <c r="RH19" s="11"/>
      <c r="RI19" s="11"/>
      <c r="RJ19" s="11"/>
      <c r="RK19" s="11"/>
      <c r="RL19" s="11"/>
      <c r="RM19" s="11"/>
      <c r="RN19" s="11"/>
      <c r="RO19" s="11"/>
      <c r="RP19" s="11"/>
      <c r="RQ19" s="11"/>
      <c r="RR19" s="11"/>
      <c r="RS19" s="11"/>
      <c r="RT19" s="11"/>
      <c r="RU19" s="11"/>
      <c r="RV19" s="11"/>
      <c r="RW19" s="11"/>
      <c r="RX19" s="11"/>
      <c r="RY19" s="11"/>
      <c r="RZ19" s="11"/>
      <c r="SA19" s="11"/>
      <c r="SB19" s="11"/>
      <c r="SC19" s="11"/>
      <c r="SD19" s="11"/>
      <c r="SE19" s="11"/>
      <c r="SF19" s="11"/>
      <c r="SG19" s="11"/>
      <c r="SH19" s="11"/>
      <c r="SI19" s="11"/>
      <c r="SJ19" s="11"/>
      <c r="SK19" s="11"/>
      <c r="SL19" s="11"/>
      <c r="SM19" s="11"/>
      <c r="SN19" s="11"/>
      <c r="SO19" s="11"/>
      <c r="SP19" s="11"/>
      <c r="SQ19" s="11"/>
      <c r="SR19" s="11"/>
      <c r="SS19" s="11"/>
      <c r="ST19" s="11"/>
      <c r="SU19" s="11"/>
      <c r="SV19" s="11"/>
      <c r="SW19" s="11"/>
      <c r="SX19" s="11"/>
      <c r="SY19" s="11"/>
      <c r="SZ19" s="11"/>
      <c r="TA19" s="11"/>
      <c r="TB19" s="11"/>
      <c r="TC19" s="11"/>
      <c r="TD19" s="11"/>
      <c r="TE19" s="11"/>
      <c r="TF19" s="11"/>
      <c r="TG19" s="11"/>
      <c r="TH19" s="11"/>
      <c r="TI19" s="11"/>
      <c r="TJ19" s="11"/>
      <c r="TK19" s="11"/>
      <c r="TL19" s="11"/>
      <c r="TM19" s="11"/>
      <c r="TN19" s="11"/>
      <c r="TO19" s="11"/>
      <c r="TP19" s="11"/>
      <c r="TQ19" s="11"/>
      <c r="TR19" s="11"/>
      <c r="TS19" s="11"/>
      <c r="TT19" s="11"/>
      <c r="TU19" s="11"/>
      <c r="TV19" s="11"/>
      <c r="TW19" s="11"/>
      <c r="TX19" s="11"/>
      <c r="TY19" s="11"/>
      <c r="TZ19" s="11"/>
      <c r="UA19" s="11"/>
      <c r="UB19" s="11"/>
      <c r="UC19" s="11"/>
      <c r="UD19" s="11"/>
      <c r="UE19" s="11"/>
      <c r="UF19" s="11"/>
      <c r="UG19" s="11"/>
      <c r="UH19" s="11"/>
      <c r="UI19" s="11"/>
      <c r="UJ19" s="11"/>
      <c r="UK19" s="11"/>
      <c r="UL19" s="11"/>
      <c r="UM19" s="11"/>
      <c r="UN19" s="11"/>
      <c r="UO19" s="11"/>
      <c r="UP19" s="11"/>
      <c r="UQ19" s="11"/>
      <c r="UR19" s="11"/>
      <c r="US19" s="11"/>
      <c r="UT19" s="11"/>
      <c r="UU19" s="11"/>
      <c r="UV19" s="11"/>
      <c r="UW19" s="11"/>
      <c r="UX19" s="11"/>
      <c r="UY19" s="11"/>
      <c r="UZ19" s="11"/>
      <c r="VA19" s="11"/>
      <c r="VB19" s="11"/>
      <c r="VC19" s="11"/>
      <c r="VD19" s="11"/>
      <c r="VE19" s="11"/>
      <c r="VF19" s="11"/>
      <c r="VG19" s="11"/>
      <c r="VH19" s="11"/>
      <c r="VI19" s="11"/>
      <c r="VJ19" s="11"/>
      <c r="VK19" s="11"/>
      <c r="VL19" s="11"/>
      <c r="VM19" s="11"/>
      <c r="VN19" s="11"/>
      <c r="VO19" s="11"/>
      <c r="VP19" s="11"/>
      <c r="VQ19" s="11"/>
      <c r="VR19" s="11"/>
      <c r="VS19" s="11"/>
      <c r="VT19" s="11"/>
      <c r="VU19" s="11"/>
      <c r="VV19" s="11"/>
      <c r="VW19" s="11"/>
      <c r="VX19" s="11"/>
      <c r="VY19" s="11"/>
      <c r="VZ19" s="11"/>
      <c r="WA19" s="11"/>
      <c r="WB19" s="11"/>
      <c r="WC19" s="11"/>
      <c r="WD19" s="11"/>
      <c r="WE19" s="11"/>
      <c r="WF19" s="11"/>
      <c r="WG19" s="11"/>
      <c r="WH19" s="11"/>
      <c r="WI19" s="11"/>
      <c r="WJ19" s="11"/>
      <c r="WK19" s="11"/>
      <c r="WL19" s="11"/>
      <c r="WM19" s="11"/>
      <c r="WN19" s="11"/>
      <c r="WO19" s="11"/>
      <c r="WP19" s="11"/>
      <c r="WQ19" s="11"/>
      <c r="WR19" s="11"/>
      <c r="WS19" s="11"/>
      <c r="WT19" s="11"/>
      <c r="WU19" s="11"/>
      <c r="WV19" s="11"/>
      <c r="WW19" s="11"/>
      <c r="WX19" s="11"/>
      <c r="WY19" s="11"/>
      <c r="WZ19" s="11"/>
      <c r="XA19" s="11"/>
      <c r="XB19" s="11"/>
      <c r="XC19" s="11"/>
      <c r="XD19" s="11"/>
      <c r="XE19" s="11"/>
      <c r="XF19" s="11"/>
      <c r="XG19" s="11"/>
      <c r="XH19" s="11"/>
      <c r="XI19" s="11"/>
      <c r="XJ19" s="11"/>
      <c r="XK19" s="11"/>
      <c r="XL19" s="11"/>
      <c r="XM19" s="11"/>
      <c r="XN19" s="11"/>
      <c r="XO19" s="11"/>
      <c r="XP19" s="11"/>
      <c r="XQ19" s="11"/>
      <c r="XR19" s="11"/>
      <c r="XS19" s="11"/>
      <c r="XT19" s="11"/>
      <c r="XU19" s="11"/>
      <c r="XV19" s="11"/>
      <c r="XW19" s="11"/>
      <c r="XX19" s="11"/>
      <c r="XY19" s="11"/>
      <c r="XZ19" s="11"/>
      <c r="YA19" s="11"/>
      <c r="YB19" s="11"/>
      <c r="YC19" s="11"/>
      <c r="YD19" s="11"/>
      <c r="YE19" s="11"/>
      <c r="YF19" s="11"/>
      <c r="YG19" s="11"/>
      <c r="YH19" s="11"/>
      <c r="YI19" s="11"/>
      <c r="YJ19" s="11"/>
      <c r="YK19" s="11"/>
      <c r="YL19" s="11"/>
      <c r="YM19" s="11"/>
      <c r="YN19" s="11"/>
      <c r="YO19" s="11"/>
      <c r="YP19" s="11"/>
      <c r="YQ19" s="11"/>
      <c r="YR19" s="11"/>
      <c r="YS19" s="11"/>
      <c r="YT19" s="11"/>
      <c r="YU19" s="11"/>
      <c r="YV19" s="11"/>
      <c r="YW19" s="11"/>
      <c r="YX19" s="11"/>
      <c r="YY19" s="11"/>
      <c r="YZ19" s="11"/>
      <c r="ZA19" s="11"/>
      <c r="ZB19" s="11"/>
      <c r="ZC19" s="11"/>
      <c r="ZD19" s="11"/>
      <c r="ZE19" s="11"/>
      <c r="ZF19" s="11"/>
      <c r="ZG19" s="11"/>
      <c r="ZH19" s="11"/>
      <c r="ZI19" s="11"/>
      <c r="ZJ19" s="11"/>
      <c r="ZK19" s="11"/>
      <c r="ZL19" s="11"/>
      <c r="ZM19" s="11"/>
      <c r="ZN19" s="11"/>
      <c r="ZO19" s="11"/>
      <c r="ZP19" s="11"/>
      <c r="ZQ19" s="11"/>
      <c r="ZR19" s="11"/>
      <c r="ZS19" s="11"/>
      <c r="ZT19" s="11"/>
      <c r="ZU19" s="11"/>
      <c r="ZV19" s="11"/>
      <c r="ZW19" s="11"/>
      <c r="ZX19" s="11"/>
      <c r="ZY19" s="11"/>
      <c r="ZZ19" s="11"/>
      <c r="AAA19" s="11"/>
      <c r="AAB19" s="11"/>
      <c r="AAC19" s="11"/>
      <c r="AAD19" s="11"/>
      <c r="AAE19" s="11"/>
      <c r="AAF19" s="11"/>
      <c r="AAG19" s="11"/>
      <c r="AAH19" s="11"/>
      <c r="AAI19" s="11"/>
      <c r="AAJ19" s="11"/>
      <c r="AAK19" s="11"/>
      <c r="AAL19" s="11"/>
    </row>
    <row r="20" spans="26:714" s="6" customFormat="1" x14ac:dyDescent="0.3">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c r="IS20" s="11"/>
      <c r="IT20" s="11"/>
      <c r="IU20" s="11"/>
      <c r="IV20" s="11"/>
      <c r="IW20" s="11"/>
      <c r="IX20" s="11"/>
      <c r="IY20" s="11"/>
      <c r="IZ20" s="11"/>
      <c r="JA20" s="11"/>
      <c r="JB20" s="11"/>
      <c r="JC20" s="11"/>
      <c r="JD20" s="11"/>
      <c r="JE20" s="11"/>
      <c r="JF20" s="11"/>
      <c r="JG20" s="11"/>
      <c r="JH20" s="11"/>
      <c r="JI20" s="11"/>
      <c r="JJ20" s="11"/>
      <c r="JK20" s="11"/>
      <c r="JL20" s="11"/>
      <c r="JM20" s="11"/>
      <c r="JN20" s="11"/>
      <c r="JO20" s="11"/>
      <c r="JP20" s="11"/>
      <c r="JQ20" s="11"/>
      <c r="JR20" s="11"/>
      <c r="JS20" s="11"/>
      <c r="JT20" s="11"/>
      <c r="JU20" s="11"/>
      <c r="JV20" s="11"/>
      <c r="JW20" s="11"/>
      <c r="JX20" s="11"/>
      <c r="JY20" s="11"/>
      <c r="JZ20" s="11"/>
      <c r="KA20" s="11"/>
      <c r="KB20" s="11"/>
      <c r="KC20" s="11"/>
      <c r="KD20" s="11"/>
      <c r="KE20" s="11"/>
      <c r="KF20" s="11"/>
      <c r="KG20" s="11"/>
      <c r="KH20" s="11"/>
      <c r="KI20" s="11"/>
      <c r="KJ20" s="11"/>
      <c r="KK20" s="11"/>
      <c r="KL20" s="11"/>
      <c r="KM20" s="11"/>
      <c r="KN20" s="11"/>
      <c r="KO20" s="11"/>
      <c r="KP20" s="11"/>
      <c r="KQ20" s="11"/>
      <c r="KR20" s="11"/>
      <c r="KS20" s="11"/>
      <c r="KT20" s="11"/>
      <c r="KU20" s="11"/>
      <c r="KV20" s="11"/>
      <c r="KW20" s="11"/>
      <c r="KX20" s="11"/>
      <c r="KY20" s="11"/>
      <c r="KZ20" s="11"/>
      <c r="LA20" s="11"/>
      <c r="LB20" s="11"/>
      <c r="LC20" s="11"/>
      <c r="LD20" s="11"/>
      <c r="LE20" s="11"/>
      <c r="LF20" s="11"/>
      <c r="LG20" s="11"/>
      <c r="LH20" s="11"/>
      <c r="LI20" s="11"/>
      <c r="LJ20" s="11"/>
      <c r="LK20" s="11"/>
      <c r="LL20" s="11"/>
      <c r="LM20" s="11"/>
      <c r="LN20" s="11"/>
      <c r="LO20" s="11"/>
      <c r="LP20" s="11"/>
      <c r="LQ20" s="11"/>
      <c r="LR20" s="11"/>
      <c r="LS20" s="11"/>
      <c r="LT20" s="11"/>
      <c r="LU20" s="11"/>
      <c r="LV20" s="11"/>
      <c r="LW20" s="11"/>
      <c r="LX20" s="11"/>
      <c r="LY20" s="11"/>
      <c r="LZ20" s="11"/>
      <c r="MA20" s="11"/>
      <c r="MB20" s="11"/>
      <c r="MC20" s="11"/>
      <c r="MD20" s="11"/>
      <c r="ME20" s="11"/>
      <c r="MF20" s="11"/>
      <c r="MG20" s="11"/>
      <c r="MH20" s="11"/>
      <c r="MI20" s="11"/>
      <c r="MJ20" s="11"/>
      <c r="MK20" s="11"/>
      <c r="ML20" s="11"/>
      <c r="MM20" s="11"/>
      <c r="MN20" s="11"/>
      <c r="MO20" s="11"/>
      <c r="MP20" s="11"/>
      <c r="MQ20" s="11"/>
      <c r="MR20" s="11"/>
      <c r="MS20" s="11"/>
      <c r="MT20" s="11"/>
      <c r="MU20" s="11"/>
      <c r="MV20" s="11"/>
      <c r="MW20" s="11"/>
      <c r="MX20" s="11"/>
      <c r="MY20" s="11"/>
      <c r="MZ20" s="11"/>
      <c r="NA20" s="11"/>
      <c r="NB20" s="11"/>
      <c r="NC20" s="11"/>
      <c r="ND20" s="11"/>
      <c r="NE20" s="11"/>
      <c r="NF20" s="11"/>
      <c r="NG20" s="11"/>
      <c r="NH20" s="11"/>
      <c r="NI20" s="11"/>
      <c r="NJ20" s="11"/>
      <c r="NK20" s="11"/>
      <c r="NL20" s="11"/>
      <c r="NM20" s="11"/>
      <c r="NN20" s="11"/>
      <c r="NO20" s="11"/>
      <c r="NP20" s="11"/>
      <c r="NQ20" s="11"/>
      <c r="NR20" s="11"/>
      <c r="NS20" s="11"/>
      <c r="NT20" s="11"/>
      <c r="NU20" s="11"/>
      <c r="NV20" s="11"/>
      <c r="NW20" s="11"/>
      <c r="NX20" s="11"/>
      <c r="NY20" s="11"/>
      <c r="NZ20" s="11"/>
      <c r="OA20" s="11"/>
      <c r="OB20" s="11"/>
      <c r="OC20" s="11"/>
      <c r="OD20" s="11"/>
      <c r="OE20" s="11"/>
      <c r="OF20" s="11"/>
      <c r="OG20" s="11"/>
      <c r="OH20" s="11"/>
      <c r="OI20" s="11"/>
      <c r="OJ20" s="11"/>
      <c r="OK20" s="11"/>
      <c r="OL20" s="11"/>
      <c r="OM20" s="11"/>
      <c r="ON20" s="11"/>
      <c r="OO20" s="11"/>
      <c r="OP20" s="11"/>
      <c r="OQ20" s="11"/>
      <c r="OR20" s="11"/>
      <c r="OS20" s="11"/>
      <c r="OT20" s="11"/>
      <c r="OU20" s="11"/>
      <c r="OV20" s="11"/>
      <c r="OW20" s="11"/>
      <c r="OX20" s="11"/>
      <c r="OY20" s="11"/>
      <c r="OZ20" s="11"/>
      <c r="PA20" s="11"/>
      <c r="PB20" s="11"/>
      <c r="PC20" s="11"/>
      <c r="PD20" s="11"/>
      <c r="PE20" s="11"/>
      <c r="PF20" s="11"/>
      <c r="PG20" s="11"/>
      <c r="PH20" s="11"/>
      <c r="PI20" s="11"/>
      <c r="PJ20" s="11"/>
      <c r="PK20" s="11"/>
      <c r="PL20" s="11"/>
      <c r="PM20" s="11"/>
      <c r="PN20" s="11"/>
      <c r="PO20" s="11"/>
      <c r="PP20" s="11"/>
      <c r="PQ20" s="11"/>
      <c r="PR20" s="11"/>
      <c r="PS20" s="11"/>
      <c r="PT20" s="11"/>
      <c r="PU20" s="11"/>
      <c r="PV20" s="11"/>
      <c r="PW20" s="11"/>
      <c r="PX20" s="11"/>
      <c r="PY20" s="11"/>
      <c r="PZ20" s="11"/>
      <c r="QA20" s="11"/>
      <c r="QB20" s="11"/>
      <c r="QC20" s="11"/>
      <c r="QD20" s="11"/>
      <c r="QE20" s="11"/>
      <c r="QF20" s="11"/>
      <c r="QG20" s="11"/>
      <c r="QH20" s="11"/>
      <c r="QI20" s="11"/>
      <c r="QJ20" s="11"/>
      <c r="QK20" s="11"/>
      <c r="QL20" s="11"/>
      <c r="QM20" s="11"/>
      <c r="QN20" s="11"/>
      <c r="QO20" s="11"/>
      <c r="QP20" s="11"/>
      <c r="QQ20" s="11"/>
      <c r="QR20" s="11"/>
      <c r="QS20" s="11"/>
      <c r="QT20" s="11"/>
      <c r="QU20" s="11"/>
      <c r="QV20" s="11"/>
      <c r="QW20" s="11"/>
      <c r="QX20" s="11"/>
      <c r="QY20" s="11"/>
      <c r="QZ20" s="11"/>
      <c r="RA20" s="11"/>
      <c r="RB20" s="11"/>
      <c r="RC20" s="11"/>
      <c r="RD20" s="11"/>
      <c r="RE20" s="11"/>
      <c r="RF20" s="11"/>
      <c r="RG20" s="11"/>
      <c r="RH20" s="11"/>
      <c r="RI20" s="11"/>
      <c r="RJ20" s="11"/>
      <c r="RK20" s="11"/>
      <c r="RL20" s="11"/>
      <c r="RM20" s="11"/>
      <c r="RN20" s="11"/>
      <c r="RO20" s="11"/>
      <c r="RP20" s="11"/>
      <c r="RQ20" s="11"/>
      <c r="RR20" s="11"/>
      <c r="RS20" s="11"/>
      <c r="RT20" s="11"/>
      <c r="RU20" s="11"/>
      <c r="RV20" s="11"/>
      <c r="RW20" s="11"/>
      <c r="RX20" s="11"/>
      <c r="RY20" s="11"/>
      <c r="RZ20" s="11"/>
      <c r="SA20" s="11"/>
      <c r="SB20" s="11"/>
      <c r="SC20" s="11"/>
      <c r="SD20" s="11"/>
      <c r="SE20" s="11"/>
      <c r="SF20" s="11"/>
      <c r="SG20" s="11"/>
      <c r="SH20" s="11"/>
      <c r="SI20" s="11"/>
      <c r="SJ20" s="11"/>
      <c r="SK20" s="11"/>
      <c r="SL20" s="11"/>
      <c r="SM20" s="11"/>
      <c r="SN20" s="11"/>
      <c r="SO20" s="11"/>
      <c r="SP20" s="11"/>
      <c r="SQ20" s="11"/>
      <c r="SR20" s="11"/>
      <c r="SS20" s="11"/>
      <c r="ST20" s="11"/>
      <c r="SU20" s="11"/>
      <c r="SV20" s="11"/>
      <c r="SW20" s="11"/>
      <c r="SX20" s="11"/>
      <c r="SY20" s="11"/>
      <c r="SZ20" s="11"/>
      <c r="TA20" s="11"/>
      <c r="TB20" s="11"/>
      <c r="TC20" s="11"/>
      <c r="TD20" s="11"/>
      <c r="TE20" s="11"/>
      <c r="TF20" s="11"/>
      <c r="TG20" s="11"/>
      <c r="TH20" s="11"/>
      <c r="TI20" s="11"/>
      <c r="TJ20" s="11"/>
      <c r="TK20" s="11"/>
      <c r="TL20" s="11"/>
      <c r="TM20" s="11"/>
      <c r="TN20" s="11"/>
      <c r="TO20" s="11"/>
      <c r="TP20" s="11"/>
      <c r="TQ20" s="11"/>
      <c r="TR20" s="11"/>
      <c r="TS20" s="11"/>
      <c r="TT20" s="11"/>
      <c r="TU20" s="11"/>
      <c r="TV20" s="11"/>
      <c r="TW20" s="11"/>
      <c r="TX20" s="11"/>
      <c r="TY20" s="11"/>
      <c r="TZ20" s="11"/>
      <c r="UA20" s="11"/>
      <c r="UB20" s="11"/>
      <c r="UC20" s="11"/>
      <c r="UD20" s="11"/>
      <c r="UE20" s="11"/>
      <c r="UF20" s="11"/>
      <c r="UG20" s="11"/>
      <c r="UH20" s="11"/>
      <c r="UI20" s="11"/>
      <c r="UJ20" s="11"/>
      <c r="UK20" s="11"/>
      <c r="UL20" s="11"/>
      <c r="UM20" s="11"/>
      <c r="UN20" s="11"/>
      <c r="UO20" s="11"/>
      <c r="UP20" s="11"/>
      <c r="UQ20" s="11"/>
      <c r="UR20" s="11"/>
      <c r="US20" s="11"/>
      <c r="UT20" s="11"/>
      <c r="UU20" s="11"/>
      <c r="UV20" s="11"/>
      <c r="UW20" s="11"/>
      <c r="UX20" s="11"/>
      <c r="UY20" s="11"/>
      <c r="UZ20" s="11"/>
      <c r="VA20" s="11"/>
      <c r="VB20" s="11"/>
      <c r="VC20" s="11"/>
      <c r="VD20" s="11"/>
      <c r="VE20" s="11"/>
      <c r="VF20" s="11"/>
      <c r="VG20" s="11"/>
      <c r="VH20" s="11"/>
      <c r="VI20" s="11"/>
      <c r="VJ20" s="11"/>
      <c r="VK20" s="11"/>
      <c r="VL20" s="11"/>
      <c r="VM20" s="11"/>
      <c r="VN20" s="11"/>
      <c r="VO20" s="11"/>
      <c r="VP20" s="11"/>
      <c r="VQ20" s="11"/>
      <c r="VR20" s="11"/>
      <c r="VS20" s="11"/>
      <c r="VT20" s="11"/>
      <c r="VU20" s="11"/>
      <c r="VV20" s="11"/>
      <c r="VW20" s="11"/>
      <c r="VX20" s="11"/>
      <c r="VY20" s="11"/>
      <c r="VZ20" s="11"/>
      <c r="WA20" s="11"/>
      <c r="WB20" s="11"/>
      <c r="WC20" s="11"/>
      <c r="WD20" s="11"/>
      <c r="WE20" s="11"/>
      <c r="WF20" s="11"/>
      <c r="WG20" s="11"/>
      <c r="WH20" s="11"/>
      <c r="WI20" s="11"/>
      <c r="WJ20" s="11"/>
      <c r="WK20" s="11"/>
      <c r="WL20" s="11"/>
      <c r="WM20" s="11"/>
      <c r="WN20" s="11"/>
      <c r="WO20" s="11"/>
      <c r="WP20" s="11"/>
      <c r="WQ20" s="11"/>
      <c r="WR20" s="11"/>
      <c r="WS20" s="11"/>
      <c r="WT20" s="11"/>
      <c r="WU20" s="11"/>
      <c r="WV20" s="11"/>
      <c r="WW20" s="11"/>
      <c r="WX20" s="11"/>
      <c r="WY20" s="11"/>
      <c r="WZ20" s="11"/>
      <c r="XA20" s="11"/>
      <c r="XB20" s="11"/>
      <c r="XC20" s="11"/>
      <c r="XD20" s="11"/>
      <c r="XE20" s="11"/>
      <c r="XF20" s="11"/>
      <c r="XG20" s="11"/>
      <c r="XH20" s="11"/>
      <c r="XI20" s="11"/>
      <c r="XJ20" s="11"/>
      <c r="XK20" s="11"/>
      <c r="XL20" s="11"/>
      <c r="XM20" s="11"/>
      <c r="XN20" s="11"/>
      <c r="XO20" s="11"/>
      <c r="XP20" s="11"/>
      <c r="XQ20" s="11"/>
      <c r="XR20" s="11"/>
      <c r="XS20" s="11"/>
      <c r="XT20" s="11"/>
      <c r="XU20" s="11"/>
      <c r="XV20" s="11"/>
      <c r="XW20" s="11"/>
      <c r="XX20" s="11"/>
      <c r="XY20" s="11"/>
      <c r="XZ20" s="11"/>
      <c r="YA20" s="11"/>
      <c r="YB20" s="11"/>
      <c r="YC20" s="11"/>
      <c r="YD20" s="11"/>
      <c r="YE20" s="11"/>
      <c r="YF20" s="11"/>
      <c r="YG20" s="11"/>
      <c r="YH20" s="11"/>
      <c r="YI20" s="11"/>
      <c r="YJ20" s="11"/>
      <c r="YK20" s="11"/>
      <c r="YL20" s="11"/>
      <c r="YM20" s="11"/>
      <c r="YN20" s="11"/>
      <c r="YO20" s="11"/>
      <c r="YP20" s="11"/>
      <c r="YQ20" s="11"/>
      <c r="YR20" s="11"/>
      <c r="YS20" s="11"/>
      <c r="YT20" s="11"/>
      <c r="YU20" s="11"/>
      <c r="YV20" s="11"/>
      <c r="YW20" s="11"/>
      <c r="YX20" s="11"/>
      <c r="YY20" s="11"/>
      <c r="YZ20" s="11"/>
      <c r="ZA20" s="11"/>
      <c r="ZB20" s="11"/>
      <c r="ZC20" s="11"/>
      <c r="ZD20" s="11"/>
      <c r="ZE20" s="11"/>
      <c r="ZF20" s="11"/>
      <c r="ZG20" s="11"/>
      <c r="ZH20" s="11"/>
      <c r="ZI20" s="11"/>
      <c r="ZJ20" s="11"/>
      <c r="ZK20" s="11"/>
      <c r="ZL20" s="11"/>
      <c r="ZM20" s="11"/>
      <c r="ZN20" s="11"/>
      <c r="ZO20" s="11"/>
      <c r="ZP20" s="11"/>
      <c r="ZQ20" s="11"/>
      <c r="ZR20" s="11"/>
      <c r="ZS20" s="11"/>
      <c r="ZT20" s="11"/>
      <c r="ZU20" s="11"/>
      <c r="ZV20" s="11"/>
      <c r="ZW20" s="11"/>
      <c r="ZX20" s="11"/>
      <c r="ZY20" s="11"/>
      <c r="ZZ20" s="11"/>
      <c r="AAA20" s="11"/>
      <c r="AAB20" s="11"/>
      <c r="AAC20" s="11"/>
      <c r="AAD20" s="11"/>
      <c r="AAE20" s="11"/>
      <c r="AAF20" s="11"/>
      <c r="AAG20" s="11"/>
      <c r="AAH20" s="11"/>
      <c r="AAI20" s="11"/>
      <c r="AAJ20" s="11"/>
      <c r="AAK20" s="11"/>
      <c r="AAL20" s="11"/>
    </row>
    <row r="21" spans="26:714" s="6" customFormat="1" x14ac:dyDescent="0.3">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c r="II21" s="11"/>
      <c r="IJ21" s="11"/>
      <c r="IK21" s="11"/>
      <c r="IL21" s="11"/>
      <c r="IM21" s="11"/>
      <c r="IN21" s="11"/>
      <c r="IO21" s="11"/>
      <c r="IP21" s="11"/>
      <c r="IQ21" s="11"/>
      <c r="IR21" s="11"/>
      <c r="IS21" s="11"/>
      <c r="IT21" s="11"/>
      <c r="IU21" s="11"/>
      <c r="IV21" s="11"/>
      <c r="IW21" s="11"/>
      <c r="IX21" s="11"/>
      <c r="IY21" s="11"/>
      <c r="IZ21" s="11"/>
      <c r="JA21" s="11"/>
      <c r="JB21" s="11"/>
      <c r="JC21" s="11"/>
      <c r="JD21" s="11"/>
      <c r="JE21" s="11"/>
      <c r="JF21" s="11"/>
      <c r="JG21" s="11"/>
      <c r="JH21" s="11"/>
      <c r="JI21" s="11"/>
      <c r="JJ21" s="11"/>
      <c r="JK21" s="11"/>
      <c r="JL21" s="11"/>
      <c r="JM21" s="11"/>
      <c r="JN21" s="11"/>
      <c r="JO21" s="11"/>
      <c r="JP21" s="11"/>
      <c r="JQ21" s="11"/>
      <c r="JR21" s="11"/>
      <c r="JS21" s="11"/>
      <c r="JT21" s="11"/>
      <c r="JU21" s="11"/>
      <c r="JV21" s="11"/>
      <c r="JW21" s="11"/>
      <c r="JX21" s="11"/>
      <c r="JY21" s="11"/>
      <c r="JZ21" s="11"/>
      <c r="KA21" s="11"/>
      <c r="KB21" s="11"/>
      <c r="KC21" s="11"/>
      <c r="KD21" s="11"/>
      <c r="KE21" s="11"/>
      <c r="KF21" s="11"/>
      <c r="KG21" s="11"/>
      <c r="KH21" s="11"/>
      <c r="KI21" s="11"/>
      <c r="KJ21" s="11"/>
      <c r="KK21" s="11"/>
      <c r="KL21" s="11"/>
      <c r="KM21" s="11"/>
      <c r="KN21" s="11"/>
      <c r="KO21" s="11"/>
      <c r="KP21" s="11"/>
      <c r="KQ21" s="11"/>
      <c r="KR21" s="11"/>
      <c r="KS21" s="11"/>
      <c r="KT21" s="11"/>
      <c r="KU21" s="11"/>
      <c r="KV21" s="11"/>
      <c r="KW21" s="11"/>
      <c r="KX21" s="11"/>
      <c r="KY21" s="11"/>
      <c r="KZ21" s="11"/>
      <c r="LA21" s="11"/>
      <c r="LB21" s="11"/>
      <c r="LC21" s="11"/>
      <c r="LD21" s="11"/>
      <c r="LE21" s="11"/>
      <c r="LF21" s="11"/>
      <c r="LG21" s="11"/>
      <c r="LH21" s="11"/>
      <c r="LI21" s="11"/>
      <c r="LJ21" s="11"/>
      <c r="LK21" s="11"/>
      <c r="LL21" s="11"/>
      <c r="LM21" s="11"/>
      <c r="LN21" s="11"/>
      <c r="LO21" s="11"/>
      <c r="LP21" s="11"/>
      <c r="LQ21" s="11"/>
      <c r="LR21" s="11"/>
      <c r="LS21" s="11"/>
      <c r="LT21" s="11"/>
      <c r="LU21" s="11"/>
      <c r="LV21" s="11"/>
      <c r="LW21" s="11"/>
      <c r="LX21" s="11"/>
      <c r="LY21" s="11"/>
      <c r="LZ21" s="11"/>
      <c r="MA21" s="11"/>
      <c r="MB21" s="11"/>
      <c r="MC21" s="11"/>
      <c r="MD21" s="11"/>
      <c r="ME21" s="11"/>
      <c r="MF21" s="11"/>
      <c r="MG21" s="11"/>
      <c r="MH21" s="11"/>
      <c r="MI21" s="11"/>
      <c r="MJ21" s="11"/>
      <c r="MK21" s="11"/>
      <c r="ML21" s="11"/>
      <c r="MM21" s="11"/>
      <c r="MN21" s="11"/>
      <c r="MO21" s="11"/>
      <c r="MP21" s="11"/>
      <c r="MQ21" s="11"/>
      <c r="MR21" s="11"/>
      <c r="MS21" s="11"/>
      <c r="MT21" s="11"/>
      <c r="MU21" s="11"/>
      <c r="MV21" s="11"/>
      <c r="MW21" s="11"/>
      <c r="MX21" s="11"/>
      <c r="MY21" s="11"/>
      <c r="MZ21" s="11"/>
      <c r="NA21" s="11"/>
      <c r="NB21" s="11"/>
      <c r="NC21" s="11"/>
      <c r="ND21" s="11"/>
      <c r="NE21" s="11"/>
      <c r="NF21" s="11"/>
      <c r="NG21" s="11"/>
      <c r="NH21" s="11"/>
      <c r="NI21" s="11"/>
      <c r="NJ21" s="11"/>
      <c r="NK21" s="11"/>
      <c r="NL21" s="11"/>
      <c r="NM21" s="11"/>
      <c r="NN21" s="11"/>
      <c r="NO21" s="11"/>
      <c r="NP21" s="11"/>
      <c r="NQ21" s="11"/>
      <c r="NR21" s="11"/>
      <c r="NS21" s="11"/>
      <c r="NT21" s="11"/>
      <c r="NU21" s="11"/>
      <c r="NV21" s="11"/>
      <c r="NW21" s="11"/>
      <c r="NX21" s="11"/>
      <c r="NY21" s="11"/>
      <c r="NZ21" s="11"/>
      <c r="OA21" s="11"/>
      <c r="OB21" s="11"/>
      <c r="OC21" s="11"/>
      <c r="OD21" s="11"/>
      <c r="OE21" s="11"/>
      <c r="OF21" s="11"/>
      <c r="OG21" s="11"/>
      <c r="OH21" s="11"/>
      <c r="OI21" s="11"/>
      <c r="OJ21" s="11"/>
      <c r="OK21" s="11"/>
      <c r="OL21" s="11"/>
      <c r="OM21" s="11"/>
      <c r="ON21" s="11"/>
      <c r="OO21" s="11"/>
      <c r="OP21" s="11"/>
      <c r="OQ21" s="11"/>
      <c r="OR21" s="11"/>
      <c r="OS21" s="11"/>
      <c r="OT21" s="11"/>
      <c r="OU21" s="11"/>
      <c r="OV21" s="11"/>
      <c r="OW21" s="11"/>
      <c r="OX21" s="11"/>
      <c r="OY21" s="11"/>
      <c r="OZ21" s="11"/>
      <c r="PA21" s="11"/>
      <c r="PB21" s="11"/>
      <c r="PC21" s="11"/>
      <c r="PD21" s="11"/>
      <c r="PE21" s="11"/>
      <c r="PF21" s="11"/>
      <c r="PG21" s="11"/>
      <c r="PH21" s="11"/>
      <c r="PI21" s="11"/>
      <c r="PJ21" s="11"/>
      <c r="PK21" s="11"/>
      <c r="PL21" s="11"/>
      <c r="PM21" s="11"/>
      <c r="PN21" s="11"/>
      <c r="PO21" s="11"/>
      <c r="PP21" s="11"/>
      <c r="PQ21" s="11"/>
      <c r="PR21" s="11"/>
      <c r="PS21" s="11"/>
      <c r="PT21" s="11"/>
      <c r="PU21" s="11"/>
      <c r="PV21" s="11"/>
      <c r="PW21" s="11"/>
      <c r="PX21" s="11"/>
      <c r="PY21" s="11"/>
      <c r="PZ21" s="11"/>
      <c r="QA21" s="11"/>
      <c r="QB21" s="11"/>
      <c r="QC21" s="11"/>
      <c r="QD21" s="11"/>
      <c r="QE21" s="11"/>
      <c r="QF21" s="11"/>
      <c r="QG21" s="11"/>
      <c r="QH21" s="11"/>
      <c r="QI21" s="11"/>
      <c r="QJ21" s="11"/>
      <c r="QK21" s="11"/>
      <c r="QL21" s="11"/>
      <c r="QM21" s="11"/>
      <c r="QN21" s="11"/>
      <c r="QO21" s="11"/>
      <c r="QP21" s="11"/>
      <c r="QQ21" s="11"/>
      <c r="QR21" s="11"/>
      <c r="QS21" s="11"/>
      <c r="QT21" s="11"/>
      <c r="QU21" s="11"/>
      <c r="QV21" s="11"/>
      <c r="QW21" s="11"/>
      <c r="QX21" s="11"/>
      <c r="QY21" s="11"/>
      <c r="QZ21" s="11"/>
      <c r="RA21" s="11"/>
      <c r="RB21" s="11"/>
      <c r="RC21" s="11"/>
      <c r="RD21" s="11"/>
      <c r="RE21" s="11"/>
      <c r="RF21" s="11"/>
      <c r="RG21" s="11"/>
      <c r="RH21" s="11"/>
      <c r="RI21" s="11"/>
      <c r="RJ21" s="11"/>
      <c r="RK21" s="11"/>
      <c r="RL21" s="11"/>
      <c r="RM21" s="11"/>
      <c r="RN21" s="11"/>
      <c r="RO21" s="11"/>
      <c r="RP21" s="11"/>
      <c r="RQ21" s="11"/>
      <c r="RR21" s="11"/>
      <c r="RS21" s="11"/>
      <c r="RT21" s="11"/>
      <c r="RU21" s="11"/>
      <c r="RV21" s="11"/>
      <c r="RW21" s="11"/>
      <c r="RX21" s="11"/>
      <c r="RY21" s="11"/>
      <c r="RZ21" s="11"/>
      <c r="SA21" s="11"/>
      <c r="SB21" s="11"/>
      <c r="SC21" s="11"/>
      <c r="SD21" s="11"/>
      <c r="SE21" s="11"/>
      <c r="SF21" s="11"/>
      <c r="SG21" s="11"/>
      <c r="SH21" s="11"/>
      <c r="SI21" s="11"/>
      <c r="SJ21" s="11"/>
      <c r="SK21" s="11"/>
      <c r="SL21" s="11"/>
      <c r="SM21" s="11"/>
      <c r="SN21" s="11"/>
      <c r="SO21" s="11"/>
      <c r="SP21" s="11"/>
      <c r="SQ21" s="11"/>
      <c r="SR21" s="11"/>
      <c r="SS21" s="11"/>
      <c r="ST21" s="11"/>
      <c r="SU21" s="11"/>
      <c r="SV21" s="11"/>
      <c r="SW21" s="11"/>
      <c r="SX21" s="11"/>
      <c r="SY21" s="11"/>
      <c r="SZ21" s="11"/>
      <c r="TA21" s="11"/>
      <c r="TB21" s="11"/>
      <c r="TC21" s="11"/>
      <c r="TD21" s="11"/>
      <c r="TE21" s="11"/>
      <c r="TF21" s="11"/>
      <c r="TG21" s="11"/>
      <c r="TH21" s="11"/>
      <c r="TI21" s="11"/>
      <c r="TJ21" s="11"/>
      <c r="TK21" s="11"/>
      <c r="TL21" s="11"/>
      <c r="TM21" s="11"/>
      <c r="TN21" s="11"/>
      <c r="TO21" s="11"/>
      <c r="TP21" s="11"/>
      <c r="TQ21" s="11"/>
      <c r="TR21" s="11"/>
      <c r="TS21" s="11"/>
      <c r="TT21" s="11"/>
      <c r="TU21" s="11"/>
      <c r="TV21" s="11"/>
      <c r="TW21" s="11"/>
      <c r="TX21" s="11"/>
      <c r="TY21" s="11"/>
      <c r="TZ21" s="11"/>
      <c r="UA21" s="11"/>
      <c r="UB21" s="11"/>
      <c r="UC21" s="11"/>
      <c r="UD21" s="11"/>
      <c r="UE21" s="11"/>
      <c r="UF21" s="11"/>
      <c r="UG21" s="11"/>
      <c r="UH21" s="11"/>
      <c r="UI21" s="11"/>
      <c r="UJ21" s="11"/>
      <c r="UK21" s="11"/>
      <c r="UL21" s="11"/>
      <c r="UM21" s="11"/>
      <c r="UN21" s="11"/>
      <c r="UO21" s="11"/>
      <c r="UP21" s="11"/>
      <c r="UQ21" s="11"/>
      <c r="UR21" s="11"/>
      <c r="US21" s="11"/>
      <c r="UT21" s="11"/>
      <c r="UU21" s="11"/>
      <c r="UV21" s="11"/>
      <c r="UW21" s="11"/>
      <c r="UX21" s="11"/>
      <c r="UY21" s="11"/>
      <c r="UZ21" s="11"/>
      <c r="VA21" s="11"/>
      <c r="VB21" s="11"/>
      <c r="VC21" s="11"/>
      <c r="VD21" s="11"/>
      <c r="VE21" s="11"/>
      <c r="VF21" s="11"/>
      <c r="VG21" s="11"/>
      <c r="VH21" s="11"/>
      <c r="VI21" s="11"/>
      <c r="VJ21" s="11"/>
      <c r="VK21" s="11"/>
      <c r="VL21" s="11"/>
      <c r="VM21" s="11"/>
      <c r="VN21" s="11"/>
      <c r="VO21" s="11"/>
      <c r="VP21" s="11"/>
      <c r="VQ21" s="11"/>
      <c r="VR21" s="11"/>
      <c r="VS21" s="11"/>
      <c r="VT21" s="11"/>
      <c r="VU21" s="11"/>
      <c r="VV21" s="11"/>
      <c r="VW21" s="11"/>
      <c r="VX21" s="11"/>
      <c r="VY21" s="11"/>
      <c r="VZ21" s="11"/>
      <c r="WA21" s="11"/>
      <c r="WB21" s="11"/>
      <c r="WC21" s="11"/>
      <c r="WD21" s="11"/>
      <c r="WE21" s="11"/>
      <c r="WF21" s="11"/>
      <c r="WG21" s="11"/>
      <c r="WH21" s="11"/>
      <c r="WI21" s="11"/>
      <c r="WJ21" s="11"/>
      <c r="WK21" s="11"/>
      <c r="WL21" s="11"/>
      <c r="WM21" s="11"/>
      <c r="WN21" s="11"/>
      <c r="WO21" s="11"/>
      <c r="WP21" s="11"/>
      <c r="WQ21" s="11"/>
      <c r="WR21" s="11"/>
      <c r="WS21" s="11"/>
      <c r="WT21" s="11"/>
      <c r="WU21" s="11"/>
      <c r="WV21" s="11"/>
      <c r="WW21" s="11"/>
      <c r="WX21" s="11"/>
      <c r="WY21" s="11"/>
      <c r="WZ21" s="11"/>
      <c r="XA21" s="11"/>
      <c r="XB21" s="11"/>
      <c r="XC21" s="11"/>
      <c r="XD21" s="11"/>
      <c r="XE21" s="11"/>
      <c r="XF21" s="11"/>
      <c r="XG21" s="11"/>
      <c r="XH21" s="11"/>
      <c r="XI21" s="11"/>
      <c r="XJ21" s="11"/>
      <c r="XK21" s="11"/>
      <c r="XL21" s="11"/>
      <c r="XM21" s="11"/>
      <c r="XN21" s="11"/>
      <c r="XO21" s="11"/>
      <c r="XP21" s="11"/>
      <c r="XQ21" s="11"/>
      <c r="XR21" s="11"/>
      <c r="XS21" s="11"/>
      <c r="XT21" s="11"/>
      <c r="XU21" s="11"/>
      <c r="XV21" s="11"/>
      <c r="XW21" s="11"/>
      <c r="XX21" s="11"/>
      <c r="XY21" s="11"/>
      <c r="XZ21" s="11"/>
      <c r="YA21" s="11"/>
      <c r="YB21" s="11"/>
      <c r="YC21" s="11"/>
      <c r="YD21" s="11"/>
      <c r="YE21" s="11"/>
      <c r="YF21" s="11"/>
      <c r="YG21" s="11"/>
      <c r="YH21" s="11"/>
      <c r="YI21" s="11"/>
      <c r="YJ21" s="11"/>
      <c r="YK21" s="11"/>
      <c r="YL21" s="11"/>
      <c r="YM21" s="11"/>
      <c r="YN21" s="11"/>
      <c r="YO21" s="11"/>
      <c r="YP21" s="11"/>
      <c r="YQ21" s="11"/>
      <c r="YR21" s="11"/>
      <c r="YS21" s="11"/>
      <c r="YT21" s="11"/>
      <c r="YU21" s="11"/>
      <c r="YV21" s="11"/>
      <c r="YW21" s="11"/>
      <c r="YX21" s="11"/>
      <c r="YY21" s="11"/>
      <c r="YZ21" s="11"/>
      <c r="ZA21" s="11"/>
      <c r="ZB21" s="11"/>
      <c r="ZC21" s="11"/>
      <c r="ZD21" s="11"/>
      <c r="ZE21" s="11"/>
      <c r="ZF21" s="11"/>
      <c r="ZG21" s="11"/>
      <c r="ZH21" s="11"/>
      <c r="ZI21" s="11"/>
      <c r="ZJ21" s="11"/>
      <c r="ZK21" s="11"/>
      <c r="ZL21" s="11"/>
      <c r="ZM21" s="11"/>
      <c r="ZN21" s="11"/>
      <c r="ZO21" s="11"/>
      <c r="ZP21" s="11"/>
      <c r="ZQ21" s="11"/>
      <c r="ZR21" s="11"/>
      <c r="ZS21" s="11"/>
      <c r="ZT21" s="11"/>
      <c r="ZU21" s="11"/>
      <c r="ZV21" s="11"/>
      <c r="ZW21" s="11"/>
      <c r="ZX21" s="11"/>
      <c r="ZY21" s="11"/>
      <c r="ZZ21" s="11"/>
      <c r="AAA21" s="11"/>
      <c r="AAB21" s="11"/>
      <c r="AAC21" s="11"/>
      <c r="AAD21" s="11"/>
      <c r="AAE21" s="11"/>
      <c r="AAF21" s="11"/>
      <c r="AAG21" s="11"/>
      <c r="AAH21" s="11"/>
      <c r="AAI21" s="11"/>
      <c r="AAJ21" s="11"/>
      <c r="AAK21" s="11"/>
      <c r="AAL21" s="11"/>
    </row>
    <row r="22" spans="26:714" s="6" customFormat="1" x14ac:dyDescent="0.3">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c r="DJ22" s="11"/>
      <c r="DK22" s="11"/>
      <c r="DL22" s="11"/>
      <c r="DM22" s="11"/>
      <c r="DN22" s="11"/>
      <c r="DO22" s="11"/>
      <c r="DP22" s="11"/>
      <c r="DQ22" s="11"/>
      <c r="DR22" s="11"/>
      <c r="DS22" s="11"/>
      <c r="DT22" s="11"/>
      <c r="DU22" s="11"/>
      <c r="DV22" s="11"/>
      <c r="DW22" s="11"/>
      <c r="DX22" s="11"/>
      <c r="DY22" s="11"/>
      <c r="DZ22" s="11"/>
      <c r="EA22" s="11"/>
      <c r="EB22" s="11"/>
      <c r="EC22" s="11"/>
      <c r="ED22" s="11"/>
      <c r="EE22" s="11"/>
      <c r="EF22" s="11"/>
      <c r="EG22" s="11"/>
      <c r="EH22" s="11"/>
      <c r="EI22" s="11"/>
      <c r="EJ22" s="11"/>
      <c r="EK22" s="11"/>
      <c r="EL22" s="11"/>
      <c r="EM22" s="11"/>
      <c r="EN22" s="11"/>
      <c r="EO22" s="11"/>
      <c r="EP22" s="11"/>
      <c r="EQ22" s="11"/>
      <c r="ER22" s="11"/>
      <c r="ES22" s="11"/>
      <c r="ET22" s="11"/>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c r="FZ22" s="11"/>
      <c r="GA22" s="11"/>
      <c r="GB22" s="11"/>
      <c r="GC22" s="11"/>
      <c r="GD22" s="11"/>
      <c r="GE22" s="11"/>
      <c r="GF22" s="11"/>
      <c r="GG22" s="11"/>
      <c r="GH22" s="11"/>
      <c r="GI22" s="11"/>
      <c r="GJ22" s="11"/>
      <c r="GK22" s="11"/>
      <c r="GL22" s="11"/>
      <c r="GM22" s="11"/>
      <c r="GN22" s="11"/>
      <c r="GO22" s="11"/>
      <c r="GP22" s="11"/>
      <c r="GQ22" s="11"/>
      <c r="GR22" s="11"/>
      <c r="GS22" s="11"/>
      <c r="GT22" s="11"/>
      <c r="GU22" s="11"/>
      <c r="GV22" s="11"/>
      <c r="GW22" s="11"/>
      <c r="GX22" s="11"/>
      <c r="GY22" s="11"/>
      <c r="GZ22" s="11"/>
      <c r="HA22" s="11"/>
      <c r="HB22" s="11"/>
      <c r="HC22" s="11"/>
      <c r="HD22" s="11"/>
      <c r="HE22" s="11"/>
      <c r="HF22" s="11"/>
      <c r="HG22" s="11"/>
      <c r="HH22" s="11"/>
      <c r="HI22" s="11"/>
      <c r="HJ22" s="11"/>
      <c r="HK22" s="11"/>
      <c r="HL22" s="11"/>
      <c r="HM22" s="11"/>
      <c r="HN22" s="11"/>
      <c r="HO22" s="11"/>
      <c r="HP22" s="11"/>
      <c r="HQ22" s="11"/>
      <c r="HR22" s="11"/>
      <c r="HS22" s="11"/>
      <c r="HT22" s="11"/>
      <c r="HU22" s="11"/>
      <c r="HV22" s="11"/>
      <c r="HW22" s="11"/>
      <c r="HX22" s="11"/>
      <c r="HY22" s="11"/>
      <c r="HZ22" s="11"/>
      <c r="IA22" s="11"/>
      <c r="IB22" s="11"/>
      <c r="IC22" s="11"/>
      <c r="ID22" s="11"/>
      <c r="IE22" s="11"/>
      <c r="IF22" s="11"/>
      <c r="IG22" s="11"/>
      <c r="IH22" s="11"/>
      <c r="II22" s="11"/>
      <c r="IJ22" s="11"/>
      <c r="IK22" s="11"/>
      <c r="IL22" s="11"/>
      <c r="IM22" s="11"/>
      <c r="IN22" s="11"/>
      <c r="IO22" s="11"/>
      <c r="IP22" s="11"/>
      <c r="IQ22" s="11"/>
      <c r="IR22" s="11"/>
      <c r="IS22" s="11"/>
      <c r="IT22" s="11"/>
      <c r="IU22" s="11"/>
      <c r="IV22" s="11"/>
      <c r="IW22" s="11"/>
      <c r="IX22" s="11"/>
      <c r="IY22" s="11"/>
      <c r="IZ22" s="11"/>
      <c r="JA22" s="11"/>
      <c r="JB22" s="11"/>
      <c r="JC22" s="11"/>
      <c r="JD22" s="11"/>
      <c r="JE22" s="11"/>
      <c r="JF22" s="11"/>
      <c r="JG22" s="11"/>
      <c r="JH22" s="11"/>
      <c r="JI22" s="11"/>
      <c r="JJ22" s="11"/>
      <c r="JK22" s="11"/>
      <c r="JL22" s="11"/>
      <c r="JM22" s="11"/>
      <c r="JN22" s="11"/>
      <c r="JO22" s="11"/>
      <c r="JP22" s="11"/>
      <c r="JQ22" s="11"/>
      <c r="JR22" s="11"/>
      <c r="JS22" s="11"/>
      <c r="JT22" s="11"/>
      <c r="JU22" s="11"/>
      <c r="JV22" s="11"/>
      <c r="JW22" s="11"/>
      <c r="JX22" s="11"/>
      <c r="JY22" s="11"/>
      <c r="JZ22" s="11"/>
      <c r="KA22" s="11"/>
      <c r="KB22" s="11"/>
      <c r="KC22" s="11"/>
      <c r="KD22" s="11"/>
      <c r="KE22" s="11"/>
      <c r="KF22" s="11"/>
      <c r="KG22" s="11"/>
      <c r="KH22" s="11"/>
      <c r="KI22" s="11"/>
      <c r="KJ22" s="11"/>
      <c r="KK22" s="11"/>
      <c r="KL22" s="11"/>
      <c r="KM22" s="11"/>
      <c r="KN22" s="11"/>
      <c r="KO22" s="11"/>
      <c r="KP22" s="11"/>
      <c r="KQ22" s="11"/>
      <c r="KR22" s="11"/>
      <c r="KS22" s="11"/>
      <c r="KT22" s="11"/>
      <c r="KU22" s="11"/>
      <c r="KV22" s="11"/>
      <c r="KW22" s="11"/>
      <c r="KX22" s="11"/>
      <c r="KY22" s="11"/>
      <c r="KZ22" s="11"/>
      <c r="LA22" s="11"/>
      <c r="LB22" s="11"/>
      <c r="LC22" s="11"/>
      <c r="LD22" s="11"/>
      <c r="LE22" s="11"/>
      <c r="LF22" s="11"/>
      <c r="LG22" s="11"/>
      <c r="LH22" s="11"/>
      <c r="LI22" s="11"/>
      <c r="LJ22" s="11"/>
      <c r="LK22" s="11"/>
      <c r="LL22" s="11"/>
      <c r="LM22" s="11"/>
      <c r="LN22" s="11"/>
      <c r="LO22" s="11"/>
      <c r="LP22" s="11"/>
      <c r="LQ22" s="11"/>
      <c r="LR22" s="11"/>
      <c r="LS22" s="11"/>
      <c r="LT22" s="11"/>
      <c r="LU22" s="11"/>
      <c r="LV22" s="11"/>
      <c r="LW22" s="11"/>
      <c r="LX22" s="11"/>
      <c r="LY22" s="11"/>
      <c r="LZ22" s="11"/>
      <c r="MA22" s="11"/>
      <c r="MB22" s="11"/>
      <c r="MC22" s="11"/>
      <c r="MD22" s="11"/>
      <c r="ME22" s="11"/>
      <c r="MF22" s="11"/>
      <c r="MG22" s="11"/>
      <c r="MH22" s="11"/>
      <c r="MI22" s="11"/>
      <c r="MJ22" s="11"/>
      <c r="MK22" s="11"/>
      <c r="ML22" s="11"/>
      <c r="MM22" s="11"/>
      <c r="MN22" s="11"/>
      <c r="MO22" s="11"/>
      <c r="MP22" s="11"/>
      <c r="MQ22" s="11"/>
      <c r="MR22" s="11"/>
      <c r="MS22" s="11"/>
      <c r="MT22" s="11"/>
      <c r="MU22" s="11"/>
      <c r="MV22" s="11"/>
      <c r="MW22" s="11"/>
      <c r="MX22" s="11"/>
      <c r="MY22" s="11"/>
      <c r="MZ22" s="11"/>
      <c r="NA22" s="11"/>
      <c r="NB22" s="11"/>
      <c r="NC22" s="11"/>
      <c r="ND22" s="11"/>
      <c r="NE22" s="11"/>
      <c r="NF22" s="11"/>
      <c r="NG22" s="11"/>
      <c r="NH22" s="11"/>
      <c r="NI22" s="11"/>
      <c r="NJ22" s="11"/>
      <c r="NK22" s="11"/>
      <c r="NL22" s="11"/>
      <c r="NM22" s="11"/>
      <c r="NN22" s="11"/>
      <c r="NO22" s="11"/>
      <c r="NP22" s="11"/>
      <c r="NQ22" s="11"/>
      <c r="NR22" s="11"/>
      <c r="NS22" s="11"/>
      <c r="NT22" s="11"/>
      <c r="NU22" s="11"/>
      <c r="NV22" s="11"/>
      <c r="NW22" s="11"/>
      <c r="NX22" s="11"/>
      <c r="NY22" s="11"/>
      <c r="NZ22" s="11"/>
      <c r="OA22" s="11"/>
      <c r="OB22" s="11"/>
      <c r="OC22" s="11"/>
      <c r="OD22" s="11"/>
      <c r="OE22" s="11"/>
      <c r="OF22" s="11"/>
      <c r="OG22" s="11"/>
      <c r="OH22" s="11"/>
      <c r="OI22" s="11"/>
      <c r="OJ22" s="11"/>
      <c r="OK22" s="11"/>
      <c r="OL22" s="11"/>
      <c r="OM22" s="11"/>
      <c r="ON22" s="11"/>
      <c r="OO22" s="11"/>
      <c r="OP22" s="11"/>
      <c r="OQ22" s="11"/>
      <c r="OR22" s="11"/>
      <c r="OS22" s="11"/>
      <c r="OT22" s="11"/>
      <c r="OU22" s="11"/>
      <c r="OV22" s="11"/>
      <c r="OW22" s="11"/>
      <c r="OX22" s="11"/>
      <c r="OY22" s="11"/>
      <c r="OZ22" s="11"/>
      <c r="PA22" s="11"/>
      <c r="PB22" s="11"/>
      <c r="PC22" s="11"/>
      <c r="PD22" s="11"/>
      <c r="PE22" s="11"/>
      <c r="PF22" s="11"/>
      <c r="PG22" s="11"/>
      <c r="PH22" s="11"/>
      <c r="PI22" s="11"/>
      <c r="PJ22" s="11"/>
      <c r="PK22" s="11"/>
      <c r="PL22" s="11"/>
      <c r="PM22" s="11"/>
      <c r="PN22" s="11"/>
      <c r="PO22" s="11"/>
      <c r="PP22" s="11"/>
      <c r="PQ22" s="11"/>
      <c r="PR22" s="11"/>
      <c r="PS22" s="11"/>
      <c r="PT22" s="11"/>
      <c r="PU22" s="11"/>
      <c r="PV22" s="11"/>
      <c r="PW22" s="11"/>
      <c r="PX22" s="11"/>
      <c r="PY22" s="11"/>
      <c r="PZ22" s="11"/>
      <c r="QA22" s="11"/>
      <c r="QB22" s="11"/>
      <c r="QC22" s="11"/>
      <c r="QD22" s="11"/>
      <c r="QE22" s="11"/>
      <c r="QF22" s="11"/>
      <c r="QG22" s="11"/>
      <c r="QH22" s="11"/>
      <c r="QI22" s="11"/>
      <c r="QJ22" s="11"/>
      <c r="QK22" s="11"/>
      <c r="QL22" s="11"/>
      <c r="QM22" s="11"/>
      <c r="QN22" s="11"/>
      <c r="QO22" s="11"/>
      <c r="QP22" s="11"/>
      <c r="QQ22" s="11"/>
      <c r="QR22" s="11"/>
      <c r="QS22" s="11"/>
      <c r="QT22" s="11"/>
      <c r="QU22" s="11"/>
      <c r="QV22" s="11"/>
      <c r="QW22" s="11"/>
      <c r="QX22" s="11"/>
      <c r="QY22" s="11"/>
      <c r="QZ22" s="11"/>
      <c r="RA22" s="11"/>
      <c r="RB22" s="11"/>
      <c r="RC22" s="11"/>
      <c r="RD22" s="11"/>
      <c r="RE22" s="11"/>
      <c r="RF22" s="11"/>
      <c r="RG22" s="11"/>
      <c r="RH22" s="11"/>
      <c r="RI22" s="11"/>
      <c r="RJ22" s="11"/>
      <c r="RK22" s="11"/>
      <c r="RL22" s="11"/>
      <c r="RM22" s="11"/>
      <c r="RN22" s="11"/>
      <c r="RO22" s="11"/>
      <c r="RP22" s="11"/>
      <c r="RQ22" s="11"/>
      <c r="RR22" s="11"/>
      <c r="RS22" s="11"/>
      <c r="RT22" s="11"/>
      <c r="RU22" s="11"/>
      <c r="RV22" s="11"/>
      <c r="RW22" s="11"/>
      <c r="RX22" s="11"/>
      <c r="RY22" s="11"/>
      <c r="RZ22" s="11"/>
      <c r="SA22" s="11"/>
      <c r="SB22" s="11"/>
      <c r="SC22" s="11"/>
      <c r="SD22" s="11"/>
      <c r="SE22" s="11"/>
      <c r="SF22" s="11"/>
      <c r="SG22" s="11"/>
      <c r="SH22" s="11"/>
      <c r="SI22" s="11"/>
      <c r="SJ22" s="11"/>
      <c r="SK22" s="11"/>
      <c r="SL22" s="11"/>
      <c r="SM22" s="11"/>
      <c r="SN22" s="11"/>
      <c r="SO22" s="11"/>
      <c r="SP22" s="11"/>
      <c r="SQ22" s="11"/>
      <c r="SR22" s="11"/>
      <c r="SS22" s="11"/>
      <c r="ST22" s="11"/>
      <c r="SU22" s="11"/>
      <c r="SV22" s="11"/>
      <c r="SW22" s="11"/>
      <c r="SX22" s="11"/>
      <c r="SY22" s="11"/>
      <c r="SZ22" s="11"/>
      <c r="TA22" s="11"/>
      <c r="TB22" s="11"/>
      <c r="TC22" s="11"/>
      <c r="TD22" s="11"/>
      <c r="TE22" s="11"/>
      <c r="TF22" s="11"/>
      <c r="TG22" s="11"/>
      <c r="TH22" s="11"/>
      <c r="TI22" s="11"/>
      <c r="TJ22" s="11"/>
      <c r="TK22" s="11"/>
      <c r="TL22" s="11"/>
      <c r="TM22" s="11"/>
      <c r="TN22" s="11"/>
      <c r="TO22" s="11"/>
      <c r="TP22" s="11"/>
      <c r="TQ22" s="11"/>
      <c r="TR22" s="11"/>
      <c r="TS22" s="11"/>
      <c r="TT22" s="11"/>
      <c r="TU22" s="11"/>
      <c r="TV22" s="11"/>
      <c r="TW22" s="11"/>
      <c r="TX22" s="11"/>
      <c r="TY22" s="11"/>
      <c r="TZ22" s="11"/>
      <c r="UA22" s="11"/>
      <c r="UB22" s="11"/>
      <c r="UC22" s="11"/>
      <c r="UD22" s="11"/>
      <c r="UE22" s="11"/>
      <c r="UF22" s="11"/>
      <c r="UG22" s="11"/>
      <c r="UH22" s="11"/>
      <c r="UI22" s="11"/>
      <c r="UJ22" s="11"/>
      <c r="UK22" s="11"/>
      <c r="UL22" s="11"/>
      <c r="UM22" s="11"/>
      <c r="UN22" s="11"/>
      <c r="UO22" s="11"/>
      <c r="UP22" s="11"/>
      <c r="UQ22" s="11"/>
      <c r="UR22" s="11"/>
      <c r="US22" s="11"/>
      <c r="UT22" s="11"/>
      <c r="UU22" s="11"/>
      <c r="UV22" s="11"/>
      <c r="UW22" s="11"/>
      <c r="UX22" s="11"/>
      <c r="UY22" s="11"/>
      <c r="UZ22" s="11"/>
      <c r="VA22" s="11"/>
      <c r="VB22" s="11"/>
      <c r="VC22" s="11"/>
      <c r="VD22" s="11"/>
      <c r="VE22" s="11"/>
      <c r="VF22" s="11"/>
      <c r="VG22" s="11"/>
      <c r="VH22" s="11"/>
      <c r="VI22" s="11"/>
      <c r="VJ22" s="11"/>
      <c r="VK22" s="11"/>
      <c r="VL22" s="11"/>
      <c r="VM22" s="11"/>
      <c r="VN22" s="11"/>
      <c r="VO22" s="11"/>
      <c r="VP22" s="11"/>
      <c r="VQ22" s="11"/>
      <c r="VR22" s="11"/>
      <c r="VS22" s="11"/>
      <c r="VT22" s="11"/>
      <c r="VU22" s="11"/>
      <c r="VV22" s="11"/>
      <c r="VW22" s="11"/>
      <c r="VX22" s="11"/>
      <c r="VY22" s="11"/>
      <c r="VZ22" s="11"/>
      <c r="WA22" s="11"/>
      <c r="WB22" s="11"/>
      <c r="WC22" s="11"/>
      <c r="WD22" s="11"/>
      <c r="WE22" s="11"/>
      <c r="WF22" s="11"/>
      <c r="WG22" s="11"/>
      <c r="WH22" s="11"/>
      <c r="WI22" s="11"/>
      <c r="WJ22" s="11"/>
      <c r="WK22" s="11"/>
      <c r="WL22" s="11"/>
      <c r="WM22" s="11"/>
      <c r="WN22" s="11"/>
      <c r="WO22" s="11"/>
      <c r="WP22" s="11"/>
      <c r="WQ22" s="11"/>
      <c r="WR22" s="11"/>
      <c r="WS22" s="11"/>
      <c r="WT22" s="11"/>
      <c r="WU22" s="11"/>
      <c r="WV22" s="11"/>
      <c r="WW22" s="11"/>
      <c r="WX22" s="11"/>
      <c r="WY22" s="11"/>
      <c r="WZ22" s="11"/>
      <c r="XA22" s="11"/>
      <c r="XB22" s="11"/>
      <c r="XC22" s="11"/>
      <c r="XD22" s="11"/>
      <c r="XE22" s="11"/>
      <c r="XF22" s="11"/>
      <c r="XG22" s="11"/>
      <c r="XH22" s="11"/>
      <c r="XI22" s="11"/>
      <c r="XJ22" s="11"/>
      <c r="XK22" s="11"/>
      <c r="XL22" s="11"/>
      <c r="XM22" s="11"/>
      <c r="XN22" s="11"/>
      <c r="XO22" s="11"/>
      <c r="XP22" s="11"/>
      <c r="XQ22" s="11"/>
      <c r="XR22" s="11"/>
      <c r="XS22" s="11"/>
      <c r="XT22" s="11"/>
      <c r="XU22" s="11"/>
      <c r="XV22" s="11"/>
      <c r="XW22" s="11"/>
      <c r="XX22" s="11"/>
      <c r="XY22" s="11"/>
      <c r="XZ22" s="11"/>
      <c r="YA22" s="11"/>
      <c r="YB22" s="11"/>
      <c r="YC22" s="11"/>
      <c r="YD22" s="11"/>
      <c r="YE22" s="11"/>
      <c r="YF22" s="11"/>
      <c r="YG22" s="11"/>
      <c r="YH22" s="11"/>
      <c r="YI22" s="11"/>
      <c r="YJ22" s="11"/>
      <c r="YK22" s="11"/>
      <c r="YL22" s="11"/>
      <c r="YM22" s="11"/>
      <c r="YN22" s="11"/>
      <c r="YO22" s="11"/>
      <c r="YP22" s="11"/>
      <c r="YQ22" s="11"/>
      <c r="YR22" s="11"/>
      <c r="YS22" s="11"/>
      <c r="YT22" s="11"/>
      <c r="YU22" s="11"/>
      <c r="YV22" s="11"/>
      <c r="YW22" s="11"/>
      <c r="YX22" s="11"/>
      <c r="YY22" s="11"/>
      <c r="YZ22" s="11"/>
      <c r="ZA22" s="11"/>
      <c r="ZB22" s="11"/>
      <c r="ZC22" s="11"/>
      <c r="ZD22" s="11"/>
      <c r="ZE22" s="11"/>
      <c r="ZF22" s="11"/>
      <c r="ZG22" s="11"/>
      <c r="ZH22" s="11"/>
      <c r="ZI22" s="11"/>
      <c r="ZJ22" s="11"/>
      <c r="ZK22" s="11"/>
      <c r="ZL22" s="11"/>
      <c r="ZM22" s="11"/>
      <c r="ZN22" s="11"/>
      <c r="ZO22" s="11"/>
      <c r="ZP22" s="11"/>
      <c r="ZQ22" s="11"/>
      <c r="ZR22" s="11"/>
      <c r="ZS22" s="11"/>
      <c r="ZT22" s="11"/>
      <c r="ZU22" s="11"/>
      <c r="ZV22" s="11"/>
      <c r="ZW22" s="11"/>
      <c r="ZX22" s="11"/>
      <c r="ZY22" s="11"/>
      <c r="ZZ22" s="11"/>
      <c r="AAA22" s="11"/>
      <c r="AAB22" s="11"/>
      <c r="AAC22" s="11"/>
      <c r="AAD22" s="11"/>
      <c r="AAE22" s="11"/>
      <c r="AAF22" s="11"/>
      <c r="AAG22" s="11"/>
      <c r="AAH22" s="11"/>
      <c r="AAI22" s="11"/>
      <c r="AAJ22" s="11"/>
      <c r="AAK22" s="11"/>
      <c r="AAL22" s="11"/>
    </row>
    <row r="23" spans="26:714" s="6" customFormat="1" x14ac:dyDescent="0.3">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c r="DJ23" s="11"/>
      <c r="DK23" s="11"/>
      <c r="DL23" s="11"/>
      <c r="DM23" s="11"/>
      <c r="DN23" s="11"/>
      <c r="DO23" s="11"/>
      <c r="DP23" s="11"/>
      <c r="DQ23" s="11"/>
      <c r="DR23" s="11"/>
      <c r="DS23" s="11"/>
      <c r="DT23" s="11"/>
      <c r="DU23" s="11"/>
      <c r="DV23" s="11"/>
      <c r="DW23" s="11"/>
      <c r="DX23" s="11"/>
      <c r="DY23" s="11"/>
      <c r="DZ23" s="11"/>
      <c r="EA23" s="11"/>
      <c r="EB23" s="11"/>
      <c r="EC23" s="11"/>
      <c r="ED23" s="11"/>
      <c r="EE23" s="11"/>
      <c r="EF23" s="11"/>
      <c r="EG23" s="11"/>
      <c r="EH23" s="11"/>
      <c r="EI23" s="11"/>
      <c r="EJ23" s="11"/>
      <c r="EK23" s="11"/>
      <c r="EL23" s="11"/>
      <c r="EM23" s="11"/>
      <c r="EN23" s="11"/>
      <c r="EO23" s="11"/>
      <c r="EP23" s="11"/>
      <c r="EQ23" s="11"/>
      <c r="ER23" s="11"/>
      <c r="ES23" s="11"/>
      <c r="ET23" s="11"/>
      <c r="EU23" s="11"/>
      <c r="EV23" s="11"/>
      <c r="EW23" s="11"/>
      <c r="EX23" s="11"/>
      <c r="EY23" s="11"/>
      <c r="EZ23" s="11"/>
      <c r="FA23" s="11"/>
      <c r="FB23" s="11"/>
      <c r="FC23" s="11"/>
      <c r="FD23" s="11"/>
      <c r="FE23" s="11"/>
      <c r="FF23" s="11"/>
      <c r="FG23" s="11"/>
      <c r="FH23" s="11"/>
      <c r="FI23" s="11"/>
      <c r="FJ23" s="11"/>
      <c r="FK23" s="11"/>
      <c r="FL23" s="11"/>
      <c r="FM23" s="11"/>
      <c r="FN23" s="11"/>
      <c r="FO23" s="11"/>
      <c r="FP23" s="11"/>
      <c r="FQ23" s="11"/>
      <c r="FR23" s="11"/>
      <c r="FS23" s="11"/>
      <c r="FT23" s="11"/>
      <c r="FU23" s="11"/>
      <c r="FV23" s="11"/>
      <c r="FW23" s="11"/>
      <c r="FX23" s="11"/>
      <c r="FY23" s="11"/>
      <c r="FZ23" s="11"/>
      <c r="GA23" s="11"/>
      <c r="GB23" s="11"/>
      <c r="GC23" s="11"/>
      <c r="GD23" s="11"/>
      <c r="GE23" s="11"/>
      <c r="GF23" s="11"/>
      <c r="GG23" s="11"/>
      <c r="GH23" s="11"/>
      <c r="GI23" s="11"/>
      <c r="GJ23" s="11"/>
      <c r="GK23" s="11"/>
      <c r="GL23" s="11"/>
      <c r="GM23" s="11"/>
      <c r="GN23" s="11"/>
      <c r="GO23" s="11"/>
      <c r="GP23" s="11"/>
      <c r="GQ23" s="11"/>
      <c r="GR23" s="11"/>
      <c r="GS23" s="11"/>
      <c r="GT23" s="11"/>
      <c r="GU23" s="11"/>
      <c r="GV23" s="11"/>
      <c r="GW23" s="11"/>
      <c r="GX23" s="11"/>
      <c r="GY23" s="11"/>
      <c r="GZ23" s="11"/>
      <c r="HA23" s="11"/>
      <c r="HB23" s="11"/>
      <c r="HC23" s="11"/>
      <c r="HD23" s="11"/>
      <c r="HE23" s="11"/>
      <c r="HF23" s="11"/>
      <c r="HG23" s="11"/>
      <c r="HH23" s="11"/>
      <c r="HI23" s="11"/>
      <c r="HJ23" s="11"/>
      <c r="HK23" s="11"/>
      <c r="HL23" s="11"/>
      <c r="HM23" s="11"/>
      <c r="HN23" s="11"/>
      <c r="HO23" s="11"/>
      <c r="HP23" s="11"/>
      <c r="HQ23" s="11"/>
      <c r="HR23" s="11"/>
      <c r="HS23" s="11"/>
      <c r="HT23" s="11"/>
      <c r="HU23" s="11"/>
      <c r="HV23" s="11"/>
      <c r="HW23" s="11"/>
      <c r="HX23" s="11"/>
      <c r="HY23" s="11"/>
      <c r="HZ23" s="11"/>
      <c r="IA23" s="11"/>
      <c r="IB23" s="11"/>
      <c r="IC23" s="11"/>
      <c r="ID23" s="11"/>
      <c r="IE23" s="11"/>
      <c r="IF23" s="11"/>
      <c r="IG23" s="11"/>
      <c r="IH23" s="11"/>
      <c r="II23" s="11"/>
      <c r="IJ23" s="11"/>
      <c r="IK23" s="11"/>
      <c r="IL23" s="11"/>
      <c r="IM23" s="11"/>
      <c r="IN23" s="11"/>
      <c r="IO23" s="11"/>
      <c r="IP23" s="11"/>
      <c r="IQ23" s="11"/>
      <c r="IR23" s="11"/>
      <c r="IS23" s="11"/>
      <c r="IT23" s="11"/>
      <c r="IU23" s="11"/>
      <c r="IV23" s="11"/>
      <c r="IW23" s="11"/>
      <c r="IX23" s="11"/>
      <c r="IY23" s="11"/>
      <c r="IZ23" s="11"/>
      <c r="JA23" s="11"/>
      <c r="JB23" s="11"/>
      <c r="JC23" s="11"/>
      <c r="JD23" s="11"/>
      <c r="JE23" s="11"/>
      <c r="JF23" s="11"/>
      <c r="JG23" s="11"/>
      <c r="JH23" s="11"/>
      <c r="JI23" s="11"/>
      <c r="JJ23" s="11"/>
      <c r="JK23" s="11"/>
      <c r="JL23" s="11"/>
      <c r="JM23" s="11"/>
      <c r="JN23" s="11"/>
      <c r="JO23" s="11"/>
      <c r="JP23" s="11"/>
      <c r="JQ23" s="11"/>
      <c r="JR23" s="11"/>
      <c r="JS23" s="11"/>
      <c r="JT23" s="11"/>
      <c r="JU23" s="11"/>
      <c r="JV23" s="11"/>
      <c r="JW23" s="11"/>
      <c r="JX23" s="11"/>
      <c r="JY23" s="11"/>
      <c r="JZ23" s="11"/>
      <c r="KA23" s="11"/>
      <c r="KB23" s="11"/>
      <c r="KC23" s="11"/>
      <c r="KD23" s="11"/>
      <c r="KE23" s="11"/>
      <c r="KF23" s="11"/>
      <c r="KG23" s="11"/>
      <c r="KH23" s="11"/>
      <c r="KI23" s="11"/>
      <c r="KJ23" s="11"/>
      <c r="KK23" s="11"/>
      <c r="KL23" s="11"/>
      <c r="KM23" s="11"/>
      <c r="KN23" s="11"/>
      <c r="KO23" s="11"/>
      <c r="KP23" s="11"/>
      <c r="KQ23" s="11"/>
      <c r="KR23" s="11"/>
      <c r="KS23" s="11"/>
      <c r="KT23" s="11"/>
      <c r="KU23" s="11"/>
      <c r="KV23" s="11"/>
      <c r="KW23" s="11"/>
      <c r="KX23" s="11"/>
      <c r="KY23" s="11"/>
      <c r="KZ23" s="11"/>
      <c r="LA23" s="11"/>
      <c r="LB23" s="11"/>
      <c r="LC23" s="11"/>
      <c r="LD23" s="11"/>
      <c r="LE23" s="11"/>
      <c r="LF23" s="11"/>
      <c r="LG23" s="11"/>
      <c r="LH23" s="11"/>
      <c r="LI23" s="11"/>
      <c r="LJ23" s="11"/>
      <c r="LK23" s="11"/>
      <c r="LL23" s="11"/>
      <c r="LM23" s="11"/>
      <c r="LN23" s="11"/>
      <c r="LO23" s="11"/>
      <c r="LP23" s="11"/>
      <c r="LQ23" s="11"/>
      <c r="LR23" s="11"/>
      <c r="LS23" s="11"/>
      <c r="LT23" s="11"/>
      <c r="LU23" s="11"/>
      <c r="LV23" s="11"/>
      <c r="LW23" s="11"/>
      <c r="LX23" s="11"/>
      <c r="LY23" s="11"/>
      <c r="LZ23" s="11"/>
      <c r="MA23" s="11"/>
      <c r="MB23" s="11"/>
      <c r="MC23" s="11"/>
      <c r="MD23" s="11"/>
      <c r="ME23" s="11"/>
      <c r="MF23" s="11"/>
      <c r="MG23" s="11"/>
      <c r="MH23" s="11"/>
      <c r="MI23" s="11"/>
      <c r="MJ23" s="11"/>
      <c r="MK23" s="11"/>
      <c r="ML23" s="11"/>
      <c r="MM23" s="11"/>
      <c r="MN23" s="11"/>
      <c r="MO23" s="11"/>
      <c r="MP23" s="11"/>
      <c r="MQ23" s="11"/>
      <c r="MR23" s="11"/>
      <c r="MS23" s="11"/>
      <c r="MT23" s="11"/>
      <c r="MU23" s="11"/>
      <c r="MV23" s="11"/>
      <c r="MW23" s="11"/>
      <c r="MX23" s="11"/>
      <c r="MY23" s="11"/>
      <c r="MZ23" s="11"/>
      <c r="NA23" s="11"/>
      <c r="NB23" s="11"/>
      <c r="NC23" s="11"/>
      <c r="ND23" s="11"/>
      <c r="NE23" s="11"/>
      <c r="NF23" s="11"/>
      <c r="NG23" s="11"/>
      <c r="NH23" s="11"/>
      <c r="NI23" s="11"/>
      <c r="NJ23" s="11"/>
      <c r="NK23" s="11"/>
      <c r="NL23" s="11"/>
      <c r="NM23" s="11"/>
      <c r="NN23" s="11"/>
      <c r="NO23" s="11"/>
      <c r="NP23" s="11"/>
      <c r="NQ23" s="11"/>
      <c r="NR23" s="11"/>
      <c r="NS23" s="11"/>
      <c r="NT23" s="11"/>
      <c r="NU23" s="11"/>
      <c r="NV23" s="11"/>
      <c r="NW23" s="11"/>
      <c r="NX23" s="11"/>
      <c r="NY23" s="11"/>
      <c r="NZ23" s="11"/>
      <c r="OA23" s="11"/>
      <c r="OB23" s="11"/>
      <c r="OC23" s="11"/>
      <c r="OD23" s="11"/>
      <c r="OE23" s="11"/>
      <c r="OF23" s="11"/>
      <c r="OG23" s="11"/>
      <c r="OH23" s="11"/>
      <c r="OI23" s="11"/>
      <c r="OJ23" s="11"/>
      <c r="OK23" s="11"/>
      <c r="OL23" s="11"/>
      <c r="OM23" s="11"/>
      <c r="ON23" s="11"/>
      <c r="OO23" s="11"/>
      <c r="OP23" s="11"/>
      <c r="OQ23" s="11"/>
      <c r="OR23" s="11"/>
      <c r="OS23" s="11"/>
      <c r="OT23" s="11"/>
      <c r="OU23" s="11"/>
      <c r="OV23" s="11"/>
      <c r="OW23" s="11"/>
      <c r="OX23" s="11"/>
      <c r="OY23" s="11"/>
      <c r="OZ23" s="11"/>
      <c r="PA23" s="11"/>
      <c r="PB23" s="11"/>
      <c r="PC23" s="11"/>
      <c r="PD23" s="11"/>
      <c r="PE23" s="11"/>
      <c r="PF23" s="11"/>
      <c r="PG23" s="11"/>
      <c r="PH23" s="11"/>
      <c r="PI23" s="11"/>
      <c r="PJ23" s="11"/>
      <c r="PK23" s="11"/>
      <c r="PL23" s="11"/>
      <c r="PM23" s="11"/>
      <c r="PN23" s="11"/>
      <c r="PO23" s="11"/>
      <c r="PP23" s="11"/>
      <c r="PQ23" s="11"/>
      <c r="PR23" s="11"/>
      <c r="PS23" s="11"/>
      <c r="PT23" s="11"/>
      <c r="PU23" s="11"/>
      <c r="PV23" s="11"/>
      <c r="PW23" s="11"/>
      <c r="PX23" s="11"/>
      <c r="PY23" s="11"/>
      <c r="PZ23" s="11"/>
      <c r="QA23" s="11"/>
      <c r="QB23" s="11"/>
      <c r="QC23" s="11"/>
      <c r="QD23" s="11"/>
      <c r="QE23" s="11"/>
      <c r="QF23" s="11"/>
      <c r="QG23" s="11"/>
      <c r="QH23" s="11"/>
      <c r="QI23" s="11"/>
      <c r="QJ23" s="11"/>
      <c r="QK23" s="11"/>
      <c r="QL23" s="11"/>
      <c r="QM23" s="11"/>
      <c r="QN23" s="11"/>
      <c r="QO23" s="11"/>
      <c r="QP23" s="11"/>
      <c r="QQ23" s="11"/>
      <c r="QR23" s="11"/>
      <c r="QS23" s="11"/>
      <c r="QT23" s="11"/>
      <c r="QU23" s="11"/>
      <c r="QV23" s="11"/>
      <c r="QW23" s="11"/>
      <c r="QX23" s="11"/>
      <c r="QY23" s="11"/>
      <c r="QZ23" s="11"/>
      <c r="RA23" s="11"/>
      <c r="RB23" s="11"/>
      <c r="RC23" s="11"/>
      <c r="RD23" s="11"/>
      <c r="RE23" s="11"/>
      <c r="RF23" s="11"/>
      <c r="RG23" s="11"/>
      <c r="RH23" s="11"/>
      <c r="RI23" s="11"/>
      <c r="RJ23" s="11"/>
      <c r="RK23" s="11"/>
      <c r="RL23" s="11"/>
      <c r="RM23" s="11"/>
      <c r="RN23" s="11"/>
      <c r="RO23" s="11"/>
      <c r="RP23" s="11"/>
      <c r="RQ23" s="11"/>
      <c r="RR23" s="11"/>
      <c r="RS23" s="11"/>
      <c r="RT23" s="11"/>
      <c r="RU23" s="11"/>
      <c r="RV23" s="11"/>
      <c r="RW23" s="11"/>
      <c r="RX23" s="11"/>
      <c r="RY23" s="11"/>
      <c r="RZ23" s="11"/>
      <c r="SA23" s="11"/>
      <c r="SB23" s="11"/>
      <c r="SC23" s="11"/>
      <c r="SD23" s="11"/>
      <c r="SE23" s="11"/>
      <c r="SF23" s="11"/>
      <c r="SG23" s="11"/>
      <c r="SH23" s="11"/>
      <c r="SI23" s="11"/>
      <c r="SJ23" s="11"/>
      <c r="SK23" s="11"/>
      <c r="SL23" s="11"/>
      <c r="SM23" s="11"/>
      <c r="SN23" s="11"/>
      <c r="SO23" s="11"/>
      <c r="SP23" s="11"/>
      <c r="SQ23" s="11"/>
      <c r="SR23" s="11"/>
      <c r="SS23" s="11"/>
      <c r="ST23" s="11"/>
      <c r="SU23" s="11"/>
      <c r="SV23" s="11"/>
      <c r="SW23" s="11"/>
      <c r="SX23" s="11"/>
      <c r="SY23" s="11"/>
      <c r="SZ23" s="11"/>
      <c r="TA23" s="11"/>
      <c r="TB23" s="11"/>
      <c r="TC23" s="11"/>
      <c r="TD23" s="11"/>
      <c r="TE23" s="11"/>
      <c r="TF23" s="11"/>
      <c r="TG23" s="11"/>
      <c r="TH23" s="11"/>
      <c r="TI23" s="11"/>
      <c r="TJ23" s="11"/>
      <c r="TK23" s="11"/>
      <c r="TL23" s="11"/>
      <c r="TM23" s="11"/>
      <c r="TN23" s="11"/>
      <c r="TO23" s="11"/>
      <c r="TP23" s="11"/>
      <c r="TQ23" s="11"/>
      <c r="TR23" s="11"/>
      <c r="TS23" s="11"/>
      <c r="TT23" s="11"/>
      <c r="TU23" s="11"/>
      <c r="TV23" s="11"/>
      <c r="TW23" s="11"/>
      <c r="TX23" s="11"/>
      <c r="TY23" s="11"/>
      <c r="TZ23" s="11"/>
      <c r="UA23" s="11"/>
      <c r="UB23" s="11"/>
      <c r="UC23" s="11"/>
      <c r="UD23" s="11"/>
      <c r="UE23" s="11"/>
      <c r="UF23" s="11"/>
      <c r="UG23" s="11"/>
      <c r="UH23" s="11"/>
      <c r="UI23" s="11"/>
      <c r="UJ23" s="11"/>
      <c r="UK23" s="11"/>
      <c r="UL23" s="11"/>
      <c r="UM23" s="11"/>
      <c r="UN23" s="11"/>
      <c r="UO23" s="11"/>
      <c r="UP23" s="11"/>
      <c r="UQ23" s="11"/>
      <c r="UR23" s="11"/>
      <c r="US23" s="11"/>
      <c r="UT23" s="11"/>
      <c r="UU23" s="11"/>
      <c r="UV23" s="11"/>
      <c r="UW23" s="11"/>
      <c r="UX23" s="11"/>
      <c r="UY23" s="11"/>
      <c r="UZ23" s="11"/>
      <c r="VA23" s="11"/>
      <c r="VB23" s="11"/>
      <c r="VC23" s="11"/>
      <c r="VD23" s="11"/>
      <c r="VE23" s="11"/>
      <c r="VF23" s="11"/>
      <c r="VG23" s="11"/>
      <c r="VH23" s="11"/>
      <c r="VI23" s="11"/>
      <c r="VJ23" s="11"/>
      <c r="VK23" s="11"/>
      <c r="VL23" s="11"/>
      <c r="VM23" s="11"/>
      <c r="VN23" s="11"/>
      <c r="VO23" s="11"/>
      <c r="VP23" s="11"/>
      <c r="VQ23" s="11"/>
      <c r="VR23" s="11"/>
      <c r="VS23" s="11"/>
      <c r="VT23" s="11"/>
      <c r="VU23" s="11"/>
      <c r="VV23" s="11"/>
      <c r="VW23" s="11"/>
      <c r="VX23" s="11"/>
      <c r="VY23" s="11"/>
      <c r="VZ23" s="11"/>
      <c r="WA23" s="11"/>
      <c r="WB23" s="11"/>
      <c r="WC23" s="11"/>
      <c r="WD23" s="11"/>
      <c r="WE23" s="11"/>
      <c r="WF23" s="11"/>
      <c r="WG23" s="11"/>
      <c r="WH23" s="11"/>
      <c r="WI23" s="11"/>
      <c r="WJ23" s="11"/>
      <c r="WK23" s="11"/>
      <c r="WL23" s="11"/>
      <c r="WM23" s="11"/>
      <c r="WN23" s="11"/>
      <c r="WO23" s="11"/>
      <c r="WP23" s="11"/>
      <c r="WQ23" s="11"/>
      <c r="WR23" s="11"/>
      <c r="WS23" s="11"/>
      <c r="WT23" s="11"/>
      <c r="WU23" s="11"/>
      <c r="WV23" s="11"/>
      <c r="WW23" s="11"/>
      <c r="WX23" s="11"/>
      <c r="WY23" s="11"/>
      <c r="WZ23" s="11"/>
      <c r="XA23" s="11"/>
      <c r="XB23" s="11"/>
      <c r="XC23" s="11"/>
      <c r="XD23" s="11"/>
      <c r="XE23" s="11"/>
      <c r="XF23" s="11"/>
      <c r="XG23" s="11"/>
      <c r="XH23" s="11"/>
      <c r="XI23" s="11"/>
      <c r="XJ23" s="11"/>
      <c r="XK23" s="11"/>
      <c r="XL23" s="11"/>
      <c r="XM23" s="11"/>
      <c r="XN23" s="11"/>
      <c r="XO23" s="11"/>
      <c r="XP23" s="11"/>
      <c r="XQ23" s="11"/>
      <c r="XR23" s="11"/>
      <c r="XS23" s="11"/>
      <c r="XT23" s="11"/>
      <c r="XU23" s="11"/>
      <c r="XV23" s="11"/>
      <c r="XW23" s="11"/>
      <c r="XX23" s="11"/>
      <c r="XY23" s="11"/>
      <c r="XZ23" s="11"/>
      <c r="YA23" s="11"/>
      <c r="YB23" s="11"/>
      <c r="YC23" s="11"/>
      <c r="YD23" s="11"/>
      <c r="YE23" s="11"/>
      <c r="YF23" s="11"/>
      <c r="YG23" s="11"/>
      <c r="YH23" s="11"/>
      <c r="YI23" s="11"/>
      <c r="YJ23" s="11"/>
      <c r="YK23" s="11"/>
      <c r="YL23" s="11"/>
      <c r="YM23" s="11"/>
      <c r="YN23" s="11"/>
      <c r="YO23" s="11"/>
      <c r="YP23" s="11"/>
      <c r="YQ23" s="11"/>
      <c r="YR23" s="11"/>
      <c r="YS23" s="11"/>
      <c r="YT23" s="11"/>
      <c r="YU23" s="11"/>
      <c r="YV23" s="11"/>
      <c r="YW23" s="11"/>
      <c r="YX23" s="11"/>
      <c r="YY23" s="11"/>
      <c r="YZ23" s="11"/>
      <c r="ZA23" s="11"/>
      <c r="ZB23" s="11"/>
      <c r="ZC23" s="11"/>
      <c r="ZD23" s="11"/>
      <c r="ZE23" s="11"/>
      <c r="ZF23" s="11"/>
      <c r="ZG23" s="11"/>
      <c r="ZH23" s="11"/>
      <c r="ZI23" s="11"/>
      <c r="ZJ23" s="11"/>
      <c r="ZK23" s="11"/>
      <c r="ZL23" s="11"/>
      <c r="ZM23" s="11"/>
      <c r="ZN23" s="11"/>
      <c r="ZO23" s="11"/>
      <c r="ZP23" s="11"/>
      <c r="ZQ23" s="11"/>
      <c r="ZR23" s="11"/>
      <c r="ZS23" s="11"/>
      <c r="ZT23" s="11"/>
      <c r="ZU23" s="11"/>
      <c r="ZV23" s="11"/>
      <c r="ZW23" s="11"/>
      <c r="ZX23" s="11"/>
      <c r="ZY23" s="11"/>
      <c r="ZZ23" s="11"/>
      <c r="AAA23" s="11"/>
      <c r="AAB23" s="11"/>
      <c r="AAC23" s="11"/>
      <c r="AAD23" s="11"/>
      <c r="AAE23" s="11"/>
      <c r="AAF23" s="11"/>
      <c r="AAG23" s="11"/>
      <c r="AAH23" s="11"/>
      <c r="AAI23" s="11"/>
      <c r="AAJ23" s="11"/>
      <c r="AAK23" s="11"/>
      <c r="AAL23" s="11"/>
    </row>
    <row r="24" spans="26:714" s="6" customFormat="1" x14ac:dyDescent="0.3">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c r="DJ24" s="11"/>
      <c r="DK24" s="11"/>
      <c r="DL24" s="11"/>
      <c r="DM24" s="11"/>
      <c r="DN24" s="11"/>
      <c r="DO24" s="11"/>
      <c r="DP24" s="11"/>
      <c r="DQ24" s="11"/>
      <c r="DR24" s="11"/>
      <c r="DS24" s="11"/>
      <c r="DT24" s="11"/>
      <c r="DU24" s="11"/>
      <c r="DV24" s="11"/>
      <c r="DW24" s="11"/>
      <c r="DX24" s="11"/>
      <c r="DY24" s="11"/>
      <c r="DZ24" s="11"/>
      <c r="EA24" s="11"/>
      <c r="EB24" s="11"/>
      <c r="EC24" s="11"/>
      <c r="ED24" s="11"/>
      <c r="EE24" s="11"/>
      <c r="EF24" s="11"/>
      <c r="EG24" s="11"/>
      <c r="EH24" s="11"/>
      <c r="EI24" s="11"/>
      <c r="EJ24" s="11"/>
      <c r="EK24" s="11"/>
      <c r="EL24" s="11"/>
      <c r="EM24" s="11"/>
      <c r="EN24" s="11"/>
      <c r="EO24" s="11"/>
      <c r="EP24" s="11"/>
      <c r="EQ24" s="11"/>
      <c r="ER24" s="11"/>
      <c r="ES24" s="11"/>
      <c r="ET24" s="11"/>
      <c r="EU24" s="11"/>
      <c r="EV24" s="11"/>
      <c r="EW24" s="11"/>
      <c r="EX24" s="11"/>
      <c r="EY24" s="11"/>
      <c r="EZ24" s="11"/>
      <c r="FA24" s="11"/>
      <c r="FB24" s="11"/>
      <c r="FC24" s="11"/>
      <c r="FD24" s="11"/>
      <c r="FE24" s="11"/>
      <c r="FF24" s="11"/>
      <c r="FG24" s="11"/>
      <c r="FH24" s="11"/>
      <c r="FI24" s="11"/>
      <c r="FJ24" s="11"/>
      <c r="FK24" s="11"/>
      <c r="FL24" s="11"/>
      <c r="FM24" s="11"/>
      <c r="FN24" s="11"/>
      <c r="FO24" s="11"/>
      <c r="FP24" s="11"/>
      <c r="FQ24" s="11"/>
      <c r="FR24" s="11"/>
      <c r="FS24" s="11"/>
      <c r="FT24" s="11"/>
      <c r="FU24" s="11"/>
      <c r="FV24" s="11"/>
      <c r="FW24" s="11"/>
      <c r="FX24" s="11"/>
      <c r="FY24" s="11"/>
      <c r="FZ24" s="11"/>
      <c r="GA24" s="11"/>
      <c r="GB24" s="11"/>
      <c r="GC24" s="11"/>
      <c r="GD24" s="11"/>
      <c r="GE24" s="11"/>
      <c r="GF24" s="11"/>
      <c r="GG24" s="11"/>
      <c r="GH24" s="11"/>
      <c r="GI24" s="11"/>
      <c r="GJ24" s="11"/>
      <c r="GK24" s="11"/>
      <c r="GL24" s="11"/>
      <c r="GM24" s="11"/>
      <c r="GN24" s="11"/>
      <c r="GO24" s="11"/>
      <c r="GP24" s="11"/>
      <c r="GQ24" s="11"/>
      <c r="GR24" s="11"/>
      <c r="GS24" s="11"/>
      <c r="GT24" s="11"/>
      <c r="GU24" s="11"/>
      <c r="GV24" s="11"/>
      <c r="GW24" s="11"/>
      <c r="GX24" s="11"/>
      <c r="GY24" s="11"/>
      <c r="GZ24" s="11"/>
      <c r="HA24" s="11"/>
      <c r="HB24" s="11"/>
      <c r="HC24" s="11"/>
      <c r="HD24" s="11"/>
      <c r="HE24" s="11"/>
      <c r="HF24" s="11"/>
      <c r="HG24" s="11"/>
      <c r="HH24" s="11"/>
      <c r="HI24" s="11"/>
      <c r="HJ24" s="11"/>
      <c r="HK24" s="11"/>
      <c r="HL24" s="11"/>
      <c r="HM24" s="11"/>
      <c r="HN24" s="11"/>
      <c r="HO24" s="11"/>
      <c r="HP24" s="11"/>
      <c r="HQ24" s="11"/>
      <c r="HR24" s="11"/>
      <c r="HS24" s="11"/>
      <c r="HT24" s="11"/>
      <c r="HU24" s="11"/>
      <c r="HV24" s="11"/>
      <c r="HW24" s="11"/>
      <c r="HX24" s="11"/>
      <c r="HY24" s="11"/>
      <c r="HZ24" s="11"/>
      <c r="IA24" s="11"/>
      <c r="IB24" s="11"/>
      <c r="IC24" s="11"/>
      <c r="ID24" s="11"/>
      <c r="IE24" s="11"/>
      <c r="IF24" s="11"/>
      <c r="IG24" s="11"/>
      <c r="IH24" s="11"/>
      <c r="II24" s="11"/>
      <c r="IJ24" s="11"/>
      <c r="IK24" s="11"/>
      <c r="IL24" s="11"/>
      <c r="IM24" s="11"/>
      <c r="IN24" s="11"/>
      <c r="IO24" s="11"/>
      <c r="IP24" s="11"/>
      <c r="IQ24" s="11"/>
      <c r="IR24" s="11"/>
      <c r="IS24" s="11"/>
      <c r="IT24" s="11"/>
      <c r="IU24" s="11"/>
      <c r="IV24" s="11"/>
      <c r="IW24" s="11"/>
      <c r="IX24" s="11"/>
      <c r="IY24" s="11"/>
      <c r="IZ24" s="11"/>
      <c r="JA24" s="11"/>
      <c r="JB24" s="11"/>
      <c r="JC24" s="11"/>
      <c r="JD24" s="11"/>
      <c r="JE24" s="11"/>
      <c r="JF24" s="11"/>
      <c r="JG24" s="11"/>
      <c r="JH24" s="11"/>
      <c r="JI24" s="11"/>
      <c r="JJ24" s="11"/>
      <c r="JK24" s="11"/>
      <c r="JL24" s="11"/>
      <c r="JM24" s="11"/>
      <c r="JN24" s="11"/>
      <c r="JO24" s="11"/>
      <c r="JP24" s="11"/>
      <c r="JQ24" s="11"/>
      <c r="JR24" s="11"/>
      <c r="JS24" s="11"/>
      <c r="JT24" s="11"/>
      <c r="JU24" s="11"/>
      <c r="JV24" s="11"/>
      <c r="JW24" s="11"/>
      <c r="JX24" s="11"/>
      <c r="JY24" s="11"/>
      <c r="JZ24" s="11"/>
      <c r="KA24" s="11"/>
      <c r="KB24" s="11"/>
      <c r="KC24" s="11"/>
      <c r="KD24" s="11"/>
      <c r="KE24" s="11"/>
      <c r="KF24" s="11"/>
      <c r="KG24" s="11"/>
      <c r="KH24" s="11"/>
      <c r="KI24" s="11"/>
      <c r="KJ24" s="11"/>
      <c r="KK24" s="11"/>
      <c r="KL24" s="11"/>
      <c r="KM24" s="11"/>
      <c r="KN24" s="11"/>
      <c r="KO24" s="11"/>
      <c r="KP24" s="11"/>
      <c r="KQ24" s="11"/>
      <c r="KR24" s="11"/>
      <c r="KS24" s="11"/>
      <c r="KT24" s="11"/>
      <c r="KU24" s="11"/>
      <c r="KV24" s="11"/>
      <c r="KW24" s="11"/>
      <c r="KX24" s="11"/>
      <c r="KY24" s="11"/>
      <c r="KZ24" s="11"/>
      <c r="LA24" s="11"/>
      <c r="LB24" s="11"/>
      <c r="LC24" s="11"/>
      <c r="LD24" s="11"/>
      <c r="LE24" s="11"/>
      <c r="LF24" s="11"/>
      <c r="LG24" s="11"/>
      <c r="LH24" s="11"/>
      <c r="LI24" s="11"/>
      <c r="LJ24" s="11"/>
      <c r="LK24" s="11"/>
      <c r="LL24" s="11"/>
      <c r="LM24" s="11"/>
      <c r="LN24" s="11"/>
      <c r="LO24" s="11"/>
      <c r="LP24" s="11"/>
      <c r="LQ24" s="11"/>
      <c r="LR24" s="11"/>
      <c r="LS24" s="11"/>
      <c r="LT24" s="11"/>
      <c r="LU24" s="11"/>
      <c r="LV24" s="11"/>
      <c r="LW24" s="11"/>
      <c r="LX24" s="11"/>
      <c r="LY24" s="11"/>
      <c r="LZ24" s="11"/>
      <c r="MA24" s="11"/>
      <c r="MB24" s="11"/>
      <c r="MC24" s="11"/>
      <c r="MD24" s="11"/>
      <c r="ME24" s="11"/>
      <c r="MF24" s="11"/>
      <c r="MG24" s="11"/>
      <c r="MH24" s="11"/>
      <c r="MI24" s="11"/>
      <c r="MJ24" s="11"/>
      <c r="MK24" s="11"/>
      <c r="ML24" s="11"/>
      <c r="MM24" s="11"/>
      <c r="MN24" s="11"/>
      <c r="MO24" s="11"/>
      <c r="MP24" s="11"/>
      <c r="MQ24" s="11"/>
      <c r="MR24" s="11"/>
      <c r="MS24" s="11"/>
      <c r="MT24" s="11"/>
      <c r="MU24" s="11"/>
      <c r="MV24" s="11"/>
      <c r="MW24" s="11"/>
      <c r="MX24" s="11"/>
      <c r="MY24" s="11"/>
      <c r="MZ24" s="11"/>
      <c r="NA24" s="11"/>
      <c r="NB24" s="11"/>
      <c r="NC24" s="11"/>
      <c r="ND24" s="11"/>
      <c r="NE24" s="11"/>
      <c r="NF24" s="11"/>
      <c r="NG24" s="11"/>
      <c r="NH24" s="11"/>
      <c r="NI24" s="11"/>
      <c r="NJ24" s="11"/>
      <c r="NK24" s="11"/>
      <c r="NL24" s="11"/>
      <c r="NM24" s="11"/>
      <c r="NN24" s="11"/>
      <c r="NO24" s="11"/>
      <c r="NP24" s="11"/>
      <c r="NQ24" s="11"/>
      <c r="NR24" s="11"/>
      <c r="NS24" s="11"/>
      <c r="NT24" s="11"/>
      <c r="NU24" s="11"/>
      <c r="NV24" s="11"/>
      <c r="NW24" s="11"/>
      <c r="NX24" s="11"/>
      <c r="NY24" s="11"/>
      <c r="NZ24" s="11"/>
      <c r="OA24" s="11"/>
      <c r="OB24" s="11"/>
      <c r="OC24" s="11"/>
      <c r="OD24" s="11"/>
      <c r="OE24" s="11"/>
      <c r="OF24" s="11"/>
      <c r="OG24" s="11"/>
      <c r="OH24" s="11"/>
      <c r="OI24" s="11"/>
      <c r="OJ24" s="11"/>
      <c r="OK24" s="11"/>
      <c r="OL24" s="11"/>
      <c r="OM24" s="11"/>
      <c r="ON24" s="11"/>
      <c r="OO24" s="11"/>
      <c r="OP24" s="11"/>
      <c r="OQ24" s="11"/>
      <c r="OR24" s="11"/>
      <c r="OS24" s="11"/>
      <c r="OT24" s="11"/>
      <c r="OU24" s="11"/>
      <c r="OV24" s="11"/>
      <c r="OW24" s="11"/>
      <c r="OX24" s="11"/>
      <c r="OY24" s="11"/>
      <c r="OZ24" s="11"/>
      <c r="PA24" s="11"/>
      <c r="PB24" s="11"/>
      <c r="PC24" s="11"/>
      <c r="PD24" s="11"/>
      <c r="PE24" s="11"/>
      <c r="PF24" s="11"/>
      <c r="PG24" s="11"/>
      <c r="PH24" s="11"/>
      <c r="PI24" s="11"/>
      <c r="PJ24" s="11"/>
      <c r="PK24" s="11"/>
      <c r="PL24" s="11"/>
      <c r="PM24" s="11"/>
      <c r="PN24" s="11"/>
      <c r="PO24" s="11"/>
      <c r="PP24" s="11"/>
      <c r="PQ24" s="11"/>
      <c r="PR24" s="11"/>
      <c r="PS24" s="11"/>
      <c r="PT24" s="11"/>
      <c r="PU24" s="11"/>
      <c r="PV24" s="11"/>
      <c r="PW24" s="11"/>
      <c r="PX24" s="11"/>
      <c r="PY24" s="11"/>
      <c r="PZ24" s="11"/>
      <c r="QA24" s="11"/>
      <c r="QB24" s="11"/>
      <c r="QC24" s="11"/>
      <c r="QD24" s="11"/>
      <c r="QE24" s="11"/>
      <c r="QF24" s="11"/>
      <c r="QG24" s="11"/>
      <c r="QH24" s="11"/>
      <c r="QI24" s="11"/>
      <c r="QJ24" s="11"/>
      <c r="QK24" s="11"/>
      <c r="QL24" s="11"/>
      <c r="QM24" s="11"/>
      <c r="QN24" s="11"/>
      <c r="QO24" s="11"/>
      <c r="QP24" s="11"/>
      <c r="QQ24" s="11"/>
      <c r="QR24" s="11"/>
      <c r="QS24" s="11"/>
      <c r="QT24" s="11"/>
      <c r="QU24" s="11"/>
      <c r="QV24" s="11"/>
      <c r="QW24" s="11"/>
      <c r="QX24" s="11"/>
      <c r="QY24" s="11"/>
      <c r="QZ24" s="11"/>
      <c r="RA24" s="11"/>
      <c r="RB24" s="11"/>
      <c r="RC24" s="11"/>
      <c r="RD24" s="11"/>
      <c r="RE24" s="11"/>
      <c r="RF24" s="11"/>
      <c r="RG24" s="11"/>
      <c r="RH24" s="11"/>
      <c r="RI24" s="11"/>
      <c r="RJ24" s="11"/>
      <c r="RK24" s="11"/>
      <c r="RL24" s="11"/>
      <c r="RM24" s="11"/>
      <c r="RN24" s="11"/>
      <c r="RO24" s="11"/>
      <c r="RP24" s="11"/>
      <c r="RQ24" s="11"/>
      <c r="RR24" s="11"/>
      <c r="RS24" s="11"/>
      <c r="RT24" s="11"/>
      <c r="RU24" s="11"/>
      <c r="RV24" s="11"/>
      <c r="RW24" s="11"/>
      <c r="RX24" s="11"/>
      <c r="RY24" s="11"/>
      <c r="RZ24" s="11"/>
      <c r="SA24" s="11"/>
      <c r="SB24" s="11"/>
      <c r="SC24" s="11"/>
      <c r="SD24" s="11"/>
      <c r="SE24" s="11"/>
      <c r="SF24" s="11"/>
      <c r="SG24" s="11"/>
      <c r="SH24" s="11"/>
      <c r="SI24" s="11"/>
      <c r="SJ24" s="11"/>
      <c r="SK24" s="11"/>
      <c r="SL24" s="11"/>
      <c r="SM24" s="11"/>
      <c r="SN24" s="11"/>
      <c r="SO24" s="11"/>
      <c r="SP24" s="11"/>
      <c r="SQ24" s="11"/>
      <c r="SR24" s="11"/>
      <c r="SS24" s="11"/>
      <c r="ST24" s="11"/>
      <c r="SU24" s="11"/>
      <c r="SV24" s="11"/>
      <c r="SW24" s="11"/>
      <c r="SX24" s="11"/>
      <c r="SY24" s="11"/>
      <c r="SZ24" s="11"/>
      <c r="TA24" s="11"/>
      <c r="TB24" s="11"/>
      <c r="TC24" s="11"/>
      <c r="TD24" s="11"/>
      <c r="TE24" s="11"/>
      <c r="TF24" s="11"/>
      <c r="TG24" s="11"/>
      <c r="TH24" s="11"/>
      <c r="TI24" s="11"/>
      <c r="TJ24" s="11"/>
      <c r="TK24" s="11"/>
      <c r="TL24" s="11"/>
      <c r="TM24" s="11"/>
      <c r="TN24" s="11"/>
      <c r="TO24" s="11"/>
      <c r="TP24" s="11"/>
      <c r="TQ24" s="11"/>
      <c r="TR24" s="11"/>
      <c r="TS24" s="11"/>
      <c r="TT24" s="11"/>
      <c r="TU24" s="11"/>
      <c r="TV24" s="11"/>
      <c r="TW24" s="11"/>
      <c r="TX24" s="11"/>
      <c r="TY24" s="11"/>
      <c r="TZ24" s="11"/>
      <c r="UA24" s="11"/>
      <c r="UB24" s="11"/>
      <c r="UC24" s="11"/>
      <c r="UD24" s="11"/>
      <c r="UE24" s="11"/>
      <c r="UF24" s="11"/>
      <c r="UG24" s="11"/>
      <c r="UH24" s="11"/>
      <c r="UI24" s="11"/>
      <c r="UJ24" s="11"/>
      <c r="UK24" s="11"/>
      <c r="UL24" s="11"/>
      <c r="UM24" s="11"/>
      <c r="UN24" s="11"/>
      <c r="UO24" s="11"/>
      <c r="UP24" s="11"/>
      <c r="UQ24" s="11"/>
      <c r="UR24" s="11"/>
      <c r="US24" s="11"/>
      <c r="UT24" s="11"/>
      <c r="UU24" s="11"/>
      <c r="UV24" s="11"/>
      <c r="UW24" s="11"/>
      <c r="UX24" s="11"/>
      <c r="UY24" s="11"/>
      <c r="UZ24" s="11"/>
      <c r="VA24" s="11"/>
      <c r="VB24" s="11"/>
      <c r="VC24" s="11"/>
      <c r="VD24" s="11"/>
      <c r="VE24" s="11"/>
      <c r="VF24" s="11"/>
      <c r="VG24" s="11"/>
      <c r="VH24" s="11"/>
      <c r="VI24" s="11"/>
      <c r="VJ24" s="11"/>
      <c r="VK24" s="11"/>
      <c r="VL24" s="11"/>
      <c r="VM24" s="11"/>
      <c r="VN24" s="11"/>
      <c r="VO24" s="11"/>
      <c r="VP24" s="11"/>
      <c r="VQ24" s="11"/>
      <c r="VR24" s="11"/>
      <c r="VS24" s="11"/>
      <c r="VT24" s="11"/>
      <c r="VU24" s="11"/>
      <c r="VV24" s="11"/>
      <c r="VW24" s="11"/>
      <c r="VX24" s="11"/>
      <c r="VY24" s="11"/>
      <c r="VZ24" s="11"/>
      <c r="WA24" s="11"/>
      <c r="WB24" s="11"/>
      <c r="WC24" s="11"/>
      <c r="WD24" s="11"/>
      <c r="WE24" s="11"/>
      <c r="WF24" s="11"/>
      <c r="WG24" s="11"/>
      <c r="WH24" s="11"/>
      <c r="WI24" s="11"/>
      <c r="WJ24" s="11"/>
      <c r="WK24" s="11"/>
      <c r="WL24" s="11"/>
      <c r="WM24" s="11"/>
      <c r="WN24" s="11"/>
      <c r="WO24" s="11"/>
      <c r="WP24" s="11"/>
      <c r="WQ24" s="11"/>
      <c r="WR24" s="11"/>
      <c r="WS24" s="11"/>
      <c r="WT24" s="11"/>
      <c r="WU24" s="11"/>
      <c r="WV24" s="11"/>
      <c r="WW24" s="11"/>
      <c r="WX24" s="11"/>
      <c r="WY24" s="11"/>
      <c r="WZ24" s="11"/>
      <c r="XA24" s="11"/>
      <c r="XB24" s="11"/>
      <c r="XC24" s="11"/>
      <c r="XD24" s="11"/>
      <c r="XE24" s="11"/>
      <c r="XF24" s="11"/>
      <c r="XG24" s="11"/>
      <c r="XH24" s="11"/>
      <c r="XI24" s="11"/>
      <c r="XJ24" s="11"/>
      <c r="XK24" s="11"/>
      <c r="XL24" s="11"/>
      <c r="XM24" s="11"/>
      <c r="XN24" s="11"/>
      <c r="XO24" s="11"/>
      <c r="XP24" s="11"/>
      <c r="XQ24" s="11"/>
      <c r="XR24" s="11"/>
      <c r="XS24" s="11"/>
      <c r="XT24" s="11"/>
      <c r="XU24" s="11"/>
      <c r="XV24" s="11"/>
      <c r="XW24" s="11"/>
      <c r="XX24" s="11"/>
      <c r="XY24" s="11"/>
      <c r="XZ24" s="11"/>
      <c r="YA24" s="11"/>
      <c r="YB24" s="11"/>
      <c r="YC24" s="11"/>
      <c r="YD24" s="11"/>
      <c r="YE24" s="11"/>
      <c r="YF24" s="11"/>
      <c r="YG24" s="11"/>
      <c r="YH24" s="11"/>
      <c r="YI24" s="11"/>
      <c r="YJ24" s="11"/>
      <c r="YK24" s="11"/>
      <c r="YL24" s="11"/>
      <c r="YM24" s="11"/>
      <c r="YN24" s="11"/>
      <c r="YO24" s="11"/>
      <c r="YP24" s="11"/>
      <c r="YQ24" s="11"/>
      <c r="YR24" s="11"/>
      <c r="YS24" s="11"/>
      <c r="YT24" s="11"/>
      <c r="YU24" s="11"/>
      <c r="YV24" s="11"/>
      <c r="YW24" s="11"/>
      <c r="YX24" s="11"/>
      <c r="YY24" s="11"/>
      <c r="YZ24" s="11"/>
      <c r="ZA24" s="11"/>
      <c r="ZB24" s="11"/>
      <c r="ZC24" s="11"/>
      <c r="ZD24" s="11"/>
      <c r="ZE24" s="11"/>
      <c r="ZF24" s="11"/>
      <c r="ZG24" s="11"/>
      <c r="ZH24" s="11"/>
      <c r="ZI24" s="11"/>
      <c r="ZJ24" s="11"/>
      <c r="ZK24" s="11"/>
      <c r="ZL24" s="11"/>
      <c r="ZM24" s="11"/>
      <c r="ZN24" s="11"/>
      <c r="ZO24" s="11"/>
      <c r="ZP24" s="11"/>
      <c r="ZQ24" s="11"/>
      <c r="ZR24" s="11"/>
      <c r="ZS24" s="11"/>
      <c r="ZT24" s="11"/>
      <c r="ZU24" s="11"/>
      <c r="ZV24" s="11"/>
      <c r="ZW24" s="11"/>
      <c r="ZX24" s="11"/>
      <c r="ZY24" s="11"/>
      <c r="ZZ24" s="11"/>
      <c r="AAA24" s="11"/>
      <c r="AAB24" s="11"/>
      <c r="AAC24" s="11"/>
      <c r="AAD24" s="11"/>
      <c r="AAE24" s="11"/>
      <c r="AAF24" s="11"/>
      <c r="AAG24" s="11"/>
      <c r="AAH24" s="11"/>
      <c r="AAI24" s="11"/>
      <c r="AAJ24" s="11"/>
      <c r="AAK24" s="11"/>
      <c r="AAL24" s="11"/>
    </row>
    <row r="25" spans="26:714" s="6" customFormat="1" x14ac:dyDescent="0.3">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c r="DJ25" s="11"/>
      <c r="DK25" s="11"/>
      <c r="DL25" s="11"/>
      <c r="DM25" s="11"/>
      <c r="DN25" s="11"/>
      <c r="DO25" s="11"/>
      <c r="DP25" s="11"/>
      <c r="DQ25" s="11"/>
      <c r="DR25" s="11"/>
      <c r="DS25" s="11"/>
      <c r="DT25" s="11"/>
      <c r="DU25" s="11"/>
      <c r="DV25" s="11"/>
      <c r="DW25" s="11"/>
      <c r="DX25" s="11"/>
      <c r="DY25" s="11"/>
      <c r="DZ25" s="11"/>
      <c r="EA25" s="11"/>
      <c r="EB25" s="11"/>
      <c r="EC25" s="11"/>
      <c r="ED25" s="11"/>
      <c r="EE25" s="11"/>
      <c r="EF25" s="11"/>
      <c r="EG25" s="11"/>
      <c r="EH25" s="11"/>
      <c r="EI25" s="11"/>
      <c r="EJ25" s="11"/>
      <c r="EK25" s="11"/>
      <c r="EL25" s="11"/>
      <c r="EM25" s="11"/>
      <c r="EN25" s="11"/>
      <c r="EO25" s="11"/>
      <c r="EP25" s="11"/>
      <c r="EQ25" s="11"/>
      <c r="ER25" s="11"/>
      <c r="ES25" s="11"/>
      <c r="ET25" s="11"/>
      <c r="EU25" s="11"/>
      <c r="EV25" s="11"/>
      <c r="EW25" s="11"/>
      <c r="EX25" s="11"/>
      <c r="EY25" s="11"/>
      <c r="EZ25" s="11"/>
      <c r="FA25" s="11"/>
      <c r="FB25" s="11"/>
      <c r="FC25" s="11"/>
      <c r="FD25" s="11"/>
      <c r="FE25" s="11"/>
      <c r="FF25" s="11"/>
      <c r="FG25" s="11"/>
      <c r="FH25" s="11"/>
      <c r="FI25" s="11"/>
      <c r="FJ25" s="11"/>
      <c r="FK25" s="11"/>
      <c r="FL25" s="11"/>
      <c r="FM25" s="11"/>
      <c r="FN25" s="11"/>
      <c r="FO25" s="11"/>
      <c r="FP25" s="11"/>
      <c r="FQ25" s="11"/>
      <c r="FR25" s="11"/>
      <c r="FS25" s="11"/>
      <c r="FT25" s="11"/>
      <c r="FU25" s="11"/>
      <c r="FV25" s="11"/>
      <c r="FW25" s="11"/>
      <c r="FX25" s="11"/>
      <c r="FY25" s="11"/>
      <c r="FZ25" s="11"/>
      <c r="GA25" s="11"/>
      <c r="GB25" s="11"/>
      <c r="GC25" s="11"/>
      <c r="GD25" s="11"/>
      <c r="GE25" s="11"/>
      <c r="GF25" s="11"/>
      <c r="GG25" s="11"/>
      <c r="GH25" s="11"/>
      <c r="GI25" s="11"/>
      <c r="GJ25" s="11"/>
      <c r="GK25" s="11"/>
      <c r="GL25" s="11"/>
      <c r="GM25" s="11"/>
      <c r="GN25" s="11"/>
      <c r="GO25" s="11"/>
      <c r="GP25" s="11"/>
      <c r="GQ25" s="11"/>
      <c r="GR25" s="11"/>
      <c r="GS25" s="11"/>
      <c r="GT25" s="11"/>
      <c r="GU25" s="11"/>
      <c r="GV25" s="11"/>
      <c r="GW25" s="11"/>
      <c r="GX25" s="11"/>
      <c r="GY25" s="11"/>
      <c r="GZ25" s="11"/>
      <c r="HA25" s="11"/>
      <c r="HB25" s="11"/>
      <c r="HC25" s="11"/>
      <c r="HD25" s="11"/>
      <c r="HE25" s="11"/>
      <c r="HF25" s="11"/>
      <c r="HG25" s="11"/>
      <c r="HH25" s="11"/>
      <c r="HI25" s="11"/>
      <c r="HJ25" s="11"/>
      <c r="HK25" s="11"/>
      <c r="HL25" s="11"/>
      <c r="HM25" s="11"/>
      <c r="HN25" s="11"/>
      <c r="HO25" s="11"/>
      <c r="HP25" s="11"/>
      <c r="HQ25" s="11"/>
      <c r="HR25" s="11"/>
      <c r="HS25" s="11"/>
      <c r="HT25" s="11"/>
      <c r="HU25" s="11"/>
      <c r="HV25" s="11"/>
      <c r="HW25" s="11"/>
      <c r="HX25" s="11"/>
      <c r="HY25" s="11"/>
      <c r="HZ25" s="11"/>
      <c r="IA25" s="11"/>
      <c r="IB25" s="11"/>
      <c r="IC25" s="11"/>
      <c r="ID25" s="11"/>
      <c r="IE25" s="11"/>
      <c r="IF25" s="11"/>
      <c r="IG25" s="11"/>
      <c r="IH25" s="11"/>
      <c r="II25" s="11"/>
      <c r="IJ25" s="11"/>
      <c r="IK25" s="11"/>
      <c r="IL25" s="11"/>
      <c r="IM25" s="11"/>
      <c r="IN25" s="11"/>
      <c r="IO25" s="11"/>
      <c r="IP25" s="11"/>
      <c r="IQ25" s="11"/>
      <c r="IR25" s="11"/>
      <c r="IS25" s="11"/>
      <c r="IT25" s="11"/>
      <c r="IU25" s="11"/>
      <c r="IV25" s="11"/>
      <c r="IW25" s="11"/>
      <c r="IX25" s="11"/>
      <c r="IY25" s="11"/>
      <c r="IZ25" s="11"/>
      <c r="JA25" s="11"/>
      <c r="JB25" s="11"/>
      <c r="JC25" s="11"/>
      <c r="JD25" s="11"/>
      <c r="JE25" s="11"/>
      <c r="JF25" s="11"/>
      <c r="JG25" s="11"/>
      <c r="JH25" s="11"/>
      <c r="JI25" s="11"/>
      <c r="JJ25" s="11"/>
      <c r="JK25" s="11"/>
      <c r="JL25" s="11"/>
      <c r="JM25" s="11"/>
      <c r="JN25" s="11"/>
      <c r="JO25" s="11"/>
      <c r="JP25" s="11"/>
      <c r="JQ25" s="11"/>
      <c r="JR25" s="11"/>
      <c r="JS25" s="11"/>
      <c r="JT25" s="11"/>
      <c r="JU25" s="11"/>
      <c r="JV25" s="11"/>
      <c r="JW25" s="11"/>
      <c r="JX25" s="11"/>
      <c r="JY25" s="11"/>
      <c r="JZ25" s="11"/>
      <c r="KA25" s="11"/>
      <c r="KB25" s="11"/>
      <c r="KC25" s="11"/>
      <c r="KD25" s="11"/>
      <c r="KE25" s="11"/>
      <c r="KF25" s="11"/>
      <c r="KG25" s="11"/>
      <c r="KH25" s="11"/>
      <c r="KI25" s="11"/>
      <c r="KJ25" s="11"/>
      <c r="KK25" s="11"/>
      <c r="KL25" s="11"/>
      <c r="KM25" s="11"/>
      <c r="KN25" s="11"/>
      <c r="KO25" s="11"/>
      <c r="KP25" s="11"/>
      <c r="KQ25" s="11"/>
      <c r="KR25" s="11"/>
      <c r="KS25" s="11"/>
      <c r="KT25" s="11"/>
      <c r="KU25" s="11"/>
      <c r="KV25" s="11"/>
      <c r="KW25" s="11"/>
      <c r="KX25" s="11"/>
      <c r="KY25" s="11"/>
      <c r="KZ25" s="11"/>
      <c r="LA25" s="11"/>
      <c r="LB25" s="11"/>
      <c r="LC25" s="11"/>
      <c r="LD25" s="11"/>
      <c r="LE25" s="11"/>
      <c r="LF25" s="11"/>
      <c r="LG25" s="11"/>
      <c r="LH25" s="11"/>
      <c r="LI25" s="11"/>
      <c r="LJ25" s="11"/>
      <c r="LK25" s="11"/>
      <c r="LL25" s="11"/>
      <c r="LM25" s="11"/>
      <c r="LN25" s="11"/>
      <c r="LO25" s="11"/>
      <c r="LP25" s="11"/>
      <c r="LQ25" s="11"/>
      <c r="LR25" s="11"/>
      <c r="LS25" s="11"/>
      <c r="LT25" s="11"/>
      <c r="LU25" s="11"/>
      <c r="LV25" s="11"/>
      <c r="LW25" s="11"/>
      <c r="LX25" s="11"/>
      <c r="LY25" s="11"/>
      <c r="LZ25" s="11"/>
      <c r="MA25" s="11"/>
      <c r="MB25" s="11"/>
      <c r="MC25" s="11"/>
      <c r="MD25" s="11"/>
      <c r="ME25" s="11"/>
      <c r="MF25" s="11"/>
      <c r="MG25" s="11"/>
      <c r="MH25" s="11"/>
      <c r="MI25" s="11"/>
      <c r="MJ25" s="11"/>
      <c r="MK25" s="11"/>
      <c r="ML25" s="11"/>
      <c r="MM25" s="11"/>
      <c r="MN25" s="11"/>
      <c r="MO25" s="11"/>
      <c r="MP25" s="11"/>
      <c r="MQ25" s="11"/>
      <c r="MR25" s="11"/>
      <c r="MS25" s="11"/>
      <c r="MT25" s="11"/>
      <c r="MU25" s="11"/>
      <c r="MV25" s="11"/>
      <c r="MW25" s="11"/>
      <c r="MX25" s="11"/>
      <c r="MY25" s="11"/>
      <c r="MZ25" s="11"/>
      <c r="NA25" s="11"/>
      <c r="NB25" s="11"/>
      <c r="NC25" s="11"/>
      <c r="ND25" s="11"/>
      <c r="NE25" s="11"/>
      <c r="NF25" s="11"/>
      <c r="NG25" s="11"/>
      <c r="NH25" s="11"/>
      <c r="NI25" s="11"/>
      <c r="NJ25" s="11"/>
      <c r="NK25" s="11"/>
      <c r="NL25" s="11"/>
      <c r="NM25" s="11"/>
      <c r="NN25" s="11"/>
      <c r="NO25" s="11"/>
      <c r="NP25" s="11"/>
      <c r="NQ25" s="11"/>
      <c r="NR25" s="11"/>
      <c r="NS25" s="11"/>
      <c r="NT25" s="11"/>
      <c r="NU25" s="11"/>
      <c r="NV25" s="11"/>
      <c r="NW25" s="11"/>
      <c r="NX25" s="11"/>
      <c r="NY25" s="11"/>
      <c r="NZ25" s="11"/>
      <c r="OA25" s="11"/>
      <c r="OB25" s="11"/>
      <c r="OC25" s="11"/>
      <c r="OD25" s="11"/>
      <c r="OE25" s="11"/>
      <c r="OF25" s="11"/>
      <c r="OG25" s="11"/>
      <c r="OH25" s="11"/>
      <c r="OI25" s="11"/>
      <c r="OJ25" s="11"/>
      <c r="OK25" s="11"/>
      <c r="OL25" s="11"/>
      <c r="OM25" s="11"/>
      <c r="ON25" s="11"/>
      <c r="OO25" s="11"/>
      <c r="OP25" s="11"/>
      <c r="OQ25" s="11"/>
      <c r="OR25" s="11"/>
      <c r="OS25" s="11"/>
      <c r="OT25" s="11"/>
      <c r="OU25" s="11"/>
      <c r="OV25" s="11"/>
      <c r="OW25" s="11"/>
      <c r="OX25" s="11"/>
      <c r="OY25" s="11"/>
      <c r="OZ25" s="11"/>
      <c r="PA25" s="11"/>
      <c r="PB25" s="11"/>
      <c r="PC25" s="11"/>
      <c r="PD25" s="11"/>
      <c r="PE25" s="11"/>
      <c r="PF25" s="11"/>
      <c r="PG25" s="11"/>
      <c r="PH25" s="11"/>
      <c r="PI25" s="11"/>
      <c r="PJ25" s="11"/>
      <c r="PK25" s="11"/>
      <c r="PL25" s="11"/>
      <c r="PM25" s="11"/>
      <c r="PN25" s="11"/>
      <c r="PO25" s="11"/>
      <c r="PP25" s="11"/>
      <c r="PQ25" s="11"/>
      <c r="PR25" s="11"/>
      <c r="PS25" s="11"/>
      <c r="PT25" s="11"/>
      <c r="PU25" s="11"/>
      <c r="PV25" s="11"/>
      <c r="PW25" s="11"/>
      <c r="PX25" s="11"/>
      <c r="PY25" s="11"/>
      <c r="PZ25" s="11"/>
      <c r="QA25" s="11"/>
      <c r="QB25" s="11"/>
      <c r="QC25" s="11"/>
      <c r="QD25" s="11"/>
      <c r="QE25" s="11"/>
      <c r="QF25" s="11"/>
      <c r="QG25" s="11"/>
      <c r="QH25" s="11"/>
      <c r="QI25" s="11"/>
      <c r="QJ25" s="11"/>
      <c r="QK25" s="11"/>
      <c r="QL25" s="11"/>
      <c r="QM25" s="11"/>
      <c r="QN25" s="11"/>
      <c r="QO25" s="11"/>
      <c r="QP25" s="11"/>
      <c r="QQ25" s="11"/>
      <c r="QR25" s="11"/>
      <c r="QS25" s="11"/>
      <c r="QT25" s="11"/>
      <c r="QU25" s="11"/>
      <c r="QV25" s="11"/>
      <c r="QW25" s="11"/>
      <c r="QX25" s="11"/>
      <c r="QY25" s="11"/>
      <c r="QZ25" s="11"/>
      <c r="RA25" s="11"/>
      <c r="RB25" s="11"/>
      <c r="RC25" s="11"/>
      <c r="RD25" s="11"/>
      <c r="RE25" s="11"/>
      <c r="RF25" s="11"/>
      <c r="RG25" s="11"/>
      <c r="RH25" s="11"/>
      <c r="RI25" s="11"/>
      <c r="RJ25" s="11"/>
      <c r="RK25" s="11"/>
      <c r="RL25" s="11"/>
      <c r="RM25" s="11"/>
      <c r="RN25" s="11"/>
      <c r="RO25" s="11"/>
      <c r="RP25" s="11"/>
      <c r="RQ25" s="11"/>
      <c r="RR25" s="11"/>
      <c r="RS25" s="11"/>
      <c r="RT25" s="11"/>
      <c r="RU25" s="11"/>
      <c r="RV25" s="11"/>
      <c r="RW25" s="11"/>
      <c r="RX25" s="11"/>
      <c r="RY25" s="11"/>
      <c r="RZ25" s="11"/>
      <c r="SA25" s="11"/>
      <c r="SB25" s="11"/>
      <c r="SC25" s="11"/>
      <c r="SD25" s="11"/>
      <c r="SE25" s="11"/>
      <c r="SF25" s="11"/>
      <c r="SG25" s="11"/>
      <c r="SH25" s="11"/>
      <c r="SI25" s="11"/>
      <c r="SJ25" s="11"/>
      <c r="SK25" s="11"/>
      <c r="SL25" s="11"/>
      <c r="SM25" s="11"/>
      <c r="SN25" s="11"/>
      <c r="SO25" s="11"/>
      <c r="SP25" s="11"/>
      <c r="SQ25" s="11"/>
      <c r="SR25" s="11"/>
      <c r="SS25" s="11"/>
      <c r="ST25" s="11"/>
      <c r="SU25" s="11"/>
      <c r="SV25" s="11"/>
      <c r="SW25" s="11"/>
      <c r="SX25" s="11"/>
      <c r="SY25" s="11"/>
      <c r="SZ25" s="11"/>
      <c r="TA25" s="11"/>
      <c r="TB25" s="11"/>
      <c r="TC25" s="11"/>
      <c r="TD25" s="11"/>
      <c r="TE25" s="11"/>
      <c r="TF25" s="11"/>
      <c r="TG25" s="11"/>
      <c r="TH25" s="11"/>
      <c r="TI25" s="11"/>
      <c r="TJ25" s="11"/>
      <c r="TK25" s="11"/>
      <c r="TL25" s="11"/>
      <c r="TM25" s="11"/>
      <c r="TN25" s="11"/>
      <c r="TO25" s="11"/>
      <c r="TP25" s="11"/>
      <c r="TQ25" s="11"/>
      <c r="TR25" s="11"/>
      <c r="TS25" s="11"/>
      <c r="TT25" s="11"/>
      <c r="TU25" s="11"/>
      <c r="TV25" s="11"/>
      <c r="TW25" s="11"/>
      <c r="TX25" s="11"/>
      <c r="TY25" s="11"/>
      <c r="TZ25" s="11"/>
      <c r="UA25" s="11"/>
      <c r="UB25" s="11"/>
      <c r="UC25" s="11"/>
      <c r="UD25" s="11"/>
      <c r="UE25" s="11"/>
      <c r="UF25" s="11"/>
      <c r="UG25" s="11"/>
      <c r="UH25" s="11"/>
      <c r="UI25" s="11"/>
      <c r="UJ25" s="11"/>
      <c r="UK25" s="11"/>
      <c r="UL25" s="11"/>
      <c r="UM25" s="11"/>
      <c r="UN25" s="11"/>
      <c r="UO25" s="11"/>
      <c r="UP25" s="11"/>
      <c r="UQ25" s="11"/>
      <c r="UR25" s="11"/>
      <c r="US25" s="11"/>
      <c r="UT25" s="11"/>
      <c r="UU25" s="11"/>
      <c r="UV25" s="11"/>
      <c r="UW25" s="11"/>
      <c r="UX25" s="11"/>
      <c r="UY25" s="11"/>
      <c r="UZ25" s="11"/>
      <c r="VA25" s="11"/>
      <c r="VB25" s="11"/>
      <c r="VC25" s="11"/>
      <c r="VD25" s="11"/>
      <c r="VE25" s="11"/>
      <c r="VF25" s="11"/>
      <c r="VG25" s="11"/>
      <c r="VH25" s="11"/>
      <c r="VI25" s="11"/>
      <c r="VJ25" s="11"/>
      <c r="VK25" s="11"/>
      <c r="VL25" s="11"/>
      <c r="VM25" s="11"/>
      <c r="VN25" s="11"/>
      <c r="VO25" s="11"/>
      <c r="VP25" s="11"/>
      <c r="VQ25" s="11"/>
      <c r="VR25" s="11"/>
      <c r="VS25" s="11"/>
      <c r="VT25" s="11"/>
      <c r="VU25" s="11"/>
      <c r="VV25" s="11"/>
      <c r="VW25" s="11"/>
      <c r="VX25" s="11"/>
      <c r="VY25" s="11"/>
      <c r="VZ25" s="11"/>
      <c r="WA25" s="11"/>
      <c r="WB25" s="11"/>
      <c r="WC25" s="11"/>
      <c r="WD25" s="11"/>
      <c r="WE25" s="11"/>
      <c r="WF25" s="11"/>
      <c r="WG25" s="11"/>
      <c r="WH25" s="11"/>
      <c r="WI25" s="11"/>
      <c r="WJ25" s="11"/>
      <c r="WK25" s="11"/>
      <c r="WL25" s="11"/>
      <c r="WM25" s="11"/>
      <c r="WN25" s="11"/>
      <c r="WO25" s="11"/>
      <c r="WP25" s="11"/>
      <c r="WQ25" s="11"/>
      <c r="WR25" s="11"/>
      <c r="WS25" s="11"/>
      <c r="WT25" s="11"/>
      <c r="WU25" s="11"/>
      <c r="WV25" s="11"/>
      <c r="WW25" s="11"/>
      <c r="WX25" s="11"/>
      <c r="WY25" s="11"/>
      <c r="WZ25" s="11"/>
      <c r="XA25" s="11"/>
      <c r="XB25" s="11"/>
      <c r="XC25" s="11"/>
      <c r="XD25" s="11"/>
      <c r="XE25" s="11"/>
      <c r="XF25" s="11"/>
      <c r="XG25" s="11"/>
      <c r="XH25" s="11"/>
      <c r="XI25" s="11"/>
      <c r="XJ25" s="11"/>
      <c r="XK25" s="11"/>
      <c r="XL25" s="11"/>
      <c r="XM25" s="11"/>
      <c r="XN25" s="11"/>
      <c r="XO25" s="11"/>
      <c r="XP25" s="11"/>
      <c r="XQ25" s="11"/>
      <c r="XR25" s="11"/>
      <c r="XS25" s="11"/>
      <c r="XT25" s="11"/>
      <c r="XU25" s="11"/>
      <c r="XV25" s="11"/>
      <c r="XW25" s="11"/>
      <c r="XX25" s="11"/>
      <c r="XY25" s="11"/>
      <c r="XZ25" s="11"/>
      <c r="YA25" s="11"/>
      <c r="YB25" s="11"/>
      <c r="YC25" s="11"/>
      <c r="YD25" s="11"/>
      <c r="YE25" s="11"/>
      <c r="YF25" s="11"/>
      <c r="YG25" s="11"/>
      <c r="YH25" s="11"/>
      <c r="YI25" s="11"/>
      <c r="YJ25" s="11"/>
      <c r="YK25" s="11"/>
      <c r="YL25" s="11"/>
      <c r="YM25" s="11"/>
      <c r="YN25" s="11"/>
      <c r="YO25" s="11"/>
      <c r="YP25" s="11"/>
      <c r="YQ25" s="11"/>
      <c r="YR25" s="11"/>
      <c r="YS25" s="11"/>
      <c r="YT25" s="11"/>
      <c r="YU25" s="11"/>
      <c r="YV25" s="11"/>
      <c r="YW25" s="11"/>
      <c r="YX25" s="11"/>
      <c r="YY25" s="11"/>
      <c r="YZ25" s="11"/>
      <c r="ZA25" s="11"/>
      <c r="ZB25" s="11"/>
      <c r="ZC25" s="11"/>
      <c r="ZD25" s="11"/>
      <c r="ZE25" s="11"/>
      <c r="ZF25" s="11"/>
      <c r="ZG25" s="11"/>
      <c r="ZH25" s="11"/>
      <c r="ZI25" s="11"/>
      <c r="ZJ25" s="11"/>
      <c r="ZK25" s="11"/>
      <c r="ZL25" s="11"/>
      <c r="ZM25" s="11"/>
      <c r="ZN25" s="11"/>
      <c r="ZO25" s="11"/>
      <c r="ZP25" s="11"/>
      <c r="ZQ25" s="11"/>
      <c r="ZR25" s="11"/>
      <c r="ZS25" s="11"/>
      <c r="ZT25" s="11"/>
      <c r="ZU25" s="11"/>
      <c r="ZV25" s="11"/>
      <c r="ZW25" s="11"/>
      <c r="ZX25" s="11"/>
      <c r="ZY25" s="11"/>
      <c r="ZZ25" s="11"/>
      <c r="AAA25" s="11"/>
      <c r="AAB25" s="11"/>
      <c r="AAC25" s="11"/>
      <c r="AAD25" s="11"/>
      <c r="AAE25" s="11"/>
      <c r="AAF25" s="11"/>
      <c r="AAG25" s="11"/>
      <c r="AAH25" s="11"/>
      <c r="AAI25" s="11"/>
      <c r="AAJ25" s="11"/>
      <c r="AAK25" s="11"/>
      <c r="AAL25" s="11"/>
    </row>
    <row r="26" spans="26:714" s="6" customFormat="1" x14ac:dyDescent="0.3">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11"/>
      <c r="CR26" s="11"/>
      <c r="CS26" s="11"/>
      <c r="CT26" s="11"/>
      <c r="CU26" s="11"/>
      <c r="CV26" s="11"/>
      <c r="CW26" s="11"/>
      <c r="CX26" s="11"/>
      <c r="CY26" s="11"/>
      <c r="CZ26" s="11"/>
      <c r="DA26" s="11"/>
      <c r="DB26" s="11"/>
      <c r="DC26" s="11"/>
      <c r="DD26" s="11"/>
      <c r="DE26" s="11"/>
      <c r="DF26" s="11"/>
      <c r="DG26" s="11"/>
      <c r="DH26" s="11"/>
      <c r="DI26" s="11"/>
      <c r="DJ26" s="11"/>
      <c r="DK26" s="11"/>
      <c r="DL26" s="11"/>
      <c r="DM26" s="11"/>
      <c r="DN26" s="11"/>
      <c r="DO26" s="11"/>
      <c r="DP26" s="11"/>
      <c r="DQ26" s="11"/>
      <c r="DR26" s="11"/>
      <c r="DS26" s="11"/>
      <c r="DT26" s="11"/>
      <c r="DU26" s="11"/>
      <c r="DV26" s="11"/>
      <c r="DW26" s="11"/>
      <c r="DX26" s="11"/>
      <c r="DY26" s="11"/>
      <c r="DZ26" s="11"/>
      <c r="EA26" s="11"/>
      <c r="EB26" s="11"/>
      <c r="EC26" s="11"/>
      <c r="ED26" s="11"/>
      <c r="EE26" s="11"/>
      <c r="EF26" s="11"/>
      <c r="EG26" s="11"/>
      <c r="EH26" s="11"/>
      <c r="EI26" s="11"/>
      <c r="EJ26" s="11"/>
      <c r="EK26" s="11"/>
      <c r="EL26" s="11"/>
      <c r="EM26" s="11"/>
      <c r="EN26" s="11"/>
      <c r="EO26" s="11"/>
      <c r="EP26" s="11"/>
      <c r="EQ26" s="11"/>
      <c r="ER26" s="11"/>
      <c r="ES26" s="11"/>
      <c r="ET26" s="11"/>
      <c r="EU26" s="11"/>
      <c r="EV26" s="11"/>
      <c r="EW26" s="11"/>
      <c r="EX26" s="11"/>
      <c r="EY26" s="11"/>
      <c r="EZ26" s="11"/>
      <c r="FA26" s="11"/>
      <c r="FB26" s="11"/>
      <c r="FC26" s="11"/>
      <c r="FD26" s="11"/>
      <c r="FE26" s="11"/>
      <c r="FF26" s="11"/>
      <c r="FG26" s="11"/>
      <c r="FH26" s="11"/>
      <c r="FI26" s="11"/>
      <c r="FJ26" s="11"/>
      <c r="FK26" s="11"/>
      <c r="FL26" s="11"/>
      <c r="FM26" s="11"/>
      <c r="FN26" s="11"/>
      <c r="FO26" s="11"/>
      <c r="FP26" s="11"/>
      <c r="FQ26" s="11"/>
      <c r="FR26" s="11"/>
      <c r="FS26" s="11"/>
      <c r="FT26" s="11"/>
      <c r="FU26" s="11"/>
      <c r="FV26" s="11"/>
      <c r="FW26" s="11"/>
      <c r="FX26" s="11"/>
      <c r="FY26" s="11"/>
      <c r="FZ26" s="11"/>
      <c r="GA26" s="11"/>
      <c r="GB26" s="11"/>
      <c r="GC26" s="11"/>
      <c r="GD26" s="11"/>
      <c r="GE26" s="11"/>
      <c r="GF26" s="11"/>
      <c r="GG26" s="11"/>
      <c r="GH26" s="11"/>
      <c r="GI26" s="11"/>
      <c r="GJ26" s="11"/>
      <c r="GK26" s="11"/>
      <c r="GL26" s="11"/>
      <c r="GM26" s="11"/>
      <c r="GN26" s="11"/>
      <c r="GO26" s="11"/>
      <c r="GP26" s="11"/>
      <c r="GQ26" s="11"/>
      <c r="GR26" s="11"/>
      <c r="GS26" s="11"/>
      <c r="GT26" s="11"/>
      <c r="GU26" s="11"/>
      <c r="GV26" s="11"/>
      <c r="GW26" s="11"/>
      <c r="GX26" s="11"/>
      <c r="GY26" s="11"/>
      <c r="GZ26" s="11"/>
      <c r="HA26" s="11"/>
      <c r="HB26" s="11"/>
      <c r="HC26" s="11"/>
      <c r="HD26" s="11"/>
      <c r="HE26" s="11"/>
      <c r="HF26" s="11"/>
      <c r="HG26" s="11"/>
      <c r="HH26" s="11"/>
      <c r="HI26" s="11"/>
      <c r="HJ26" s="11"/>
      <c r="HK26" s="11"/>
      <c r="HL26" s="11"/>
      <c r="HM26" s="11"/>
      <c r="HN26" s="11"/>
      <c r="HO26" s="11"/>
      <c r="HP26" s="11"/>
      <c r="HQ26" s="11"/>
      <c r="HR26" s="11"/>
      <c r="HS26" s="11"/>
      <c r="HT26" s="11"/>
      <c r="HU26" s="11"/>
      <c r="HV26" s="11"/>
      <c r="HW26" s="11"/>
      <c r="HX26" s="11"/>
      <c r="HY26" s="11"/>
      <c r="HZ26" s="11"/>
      <c r="IA26" s="11"/>
      <c r="IB26" s="11"/>
      <c r="IC26" s="11"/>
      <c r="ID26" s="11"/>
      <c r="IE26" s="11"/>
      <c r="IF26" s="11"/>
      <c r="IG26" s="11"/>
      <c r="IH26" s="11"/>
      <c r="II26" s="11"/>
      <c r="IJ26" s="11"/>
      <c r="IK26" s="11"/>
      <c r="IL26" s="11"/>
      <c r="IM26" s="11"/>
      <c r="IN26" s="11"/>
      <c r="IO26" s="11"/>
      <c r="IP26" s="11"/>
      <c r="IQ26" s="11"/>
      <c r="IR26" s="11"/>
      <c r="IS26" s="11"/>
      <c r="IT26" s="11"/>
      <c r="IU26" s="11"/>
      <c r="IV26" s="11"/>
      <c r="IW26" s="11"/>
      <c r="IX26" s="11"/>
      <c r="IY26" s="11"/>
      <c r="IZ26" s="11"/>
      <c r="JA26" s="11"/>
      <c r="JB26" s="11"/>
      <c r="JC26" s="11"/>
      <c r="JD26" s="11"/>
      <c r="JE26" s="11"/>
      <c r="JF26" s="11"/>
      <c r="JG26" s="11"/>
      <c r="JH26" s="11"/>
      <c r="JI26" s="11"/>
      <c r="JJ26" s="11"/>
      <c r="JK26" s="11"/>
      <c r="JL26" s="11"/>
      <c r="JM26" s="11"/>
      <c r="JN26" s="11"/>
      <c r="JO26" s="11"/>
      <c r="JP26" s="11"/>
      <c r="JQ26" s="11"/>
      <c r="JR26" s="11"/>
      <c r="JS26" s="11"/>
      <c r="JT26" s="11"/>
      <c r="JU26" s="11"/>
      <c r="JV26" s="11"/>
      <c r="JW26" s="11"/>
      <c r="JX26" s="11"/>
      <c r="JY26" s="11"/>
      <c r="JZ26" s="11"/>
      <c r="KA26" s="11"/>
      <c r="KB26" s="11"/>
      <c r="KC26" s="11"/>
      <c r="KD26" s="11"/>
      <c r="KE26" s="11"/>
      <c r="KF26" s="11"/>
      <c r="KG26" s="11"/>
      <c r="KH26" s="11"/>
      <c r="KI26" s="11"/>
      <c r="KJ26" s="11"/>
      <c r="KK26" s="11"/>
      <c r="KL26" s="11"/>
      <c r="KM26" s="11"/>
      <c r="KN26" s="11"/>
      <c r="KO26" s="11"/>
      <c r="KP26" s="11"/>
      <c r="KQ26" s="11"/>
      <c r="KR26" s="11"/>
      <c r="KS26" s="11"/>
      <c r="KT26" s="11"/>
      <c r="KU26" s="11"/>
      <c r="KV26" s="11"/>
      <c r="KW26" s="11"/>
      <c r="KX26" s="11"/>
      <c r="KY26" s="11"/>
      <c r="KZ26" s="11"/>
      <c r="LA26" s="11"/>
      <c r="LB26" s="11"/>
      <c r="LC26" s="11"/>
      <c r="LD26" s="11"/>
      <c r="LE26" s="11"/>
      <c r="LF26" s="11"/>
      <c r="LG26" s="11"/>
      <c r="LH26" s="11"/>
      <c r="LI26" s="11"/>
      <c r="LJ26" s="11"/>
      <c r="LK26" s="11"/>
      <c r="LL26" s="11"/>
      <c r="LM26" s="11"/>
      <c r="LN26" s="11"/>
      <c r="LO26" s="11"/>
      <c r="LP26" s="11"/>
      <c r="LQ26" s="11"/>
      <c r="LR26" s="11"/>
      <c r="LS26" s="11"/>
      <c r="LT26" s="11"/>
      <c r="LU26" s="11"/>
      <c r="LV26" s="11"/>
      <c r="LW26" s="11"/>
      <c r="LX26" s="11"/>
      <c r="LY26" s="11"/>
      <c r="LZ26" s="11"/>
      <c r="MA26" s="11"/>
      <c r="MB26" s="11"/>
      <c r="MC26" s="11"/>
      <c r="MD26" s="11"/>
      <c r="ME26" s="11"/>
      <c r="MF26" s="11"/>
      <c r="MG26" s="11"/>
      <c r="MH26" s="11"/>
      <c r="MI26" s="11"/>
      <c r="MJ26" s="11"/>
      <c r="MK26" s="11"/>
      <c r="ML26" s="11"/>
      <c r="MM26" s="11"/>
      <c r="MN26" s="11"/>
      <c r="MO26" s="11"/>
      <c r="MP26" s="11"/>
      <c r="MQ26" s="11"/>
      <c r="MR26" s="11"/>
      <c r="MS26" s="11"/>
      <c r="MT26" s="11"/>
      <c r="MU26" s="11"/>
      <c r="MV26" s="11"/>
      <c r="MW26" s="11"/>
      <c r="MX26" s="11"/>
      <c r="MY26" s="11"/>
      <c r="MZ26" s="11"/>
      <c r="NA26" s="11"/>
      <c r="NB26" s="11"/>
      <c r="NC26" s="11"/>
      <c r="ND26" s="11"/>
      <c r="NE26" s="11"/>
      <c r="NF26" s="11"/>
      <c r="NG26" s="11"/>
      <c r="NH26" s="11"/>
      <c r="NI26" s="11"/>
      <c r="NJ26" s="11"/>
      <c r="NK26" s="11"/>
      <c r="NL26" s="11"/>
      <c r="NM26" s="11"/>
      <c r="NN26" s="11"/>
      <c r="NO26" s="11"/>
      <c r="NP26" s="11"/>
      <c r="NQ26" s="11"/>
      <c r="NR26" s="11"/>
      <c r="NS26" s="11"/>
      <c r="NT26" s="11"/>
      <c r="NU26" s="11"/>
      <c r="NV26" s="11"/>
      <c r="NW26" s="11"/>
      <c r="NX26" s="11"/>
      <c r="NY26" s="11"/>
      <c r="NZ26" s="11"/>
      <c r="OA26" s="11"/>
      <c r="OB26" s="11"/>
      <c r="OC26" s="11"/>
      <c r="OD26" s="11"/>
      <c r="OE26" s="11"/>
      <c r="OF26" s="11"/>
      <c r="OG26" s="11"/>
      <c r="OH26" s="11"/>
      <c r="OI26" s="11"/>
      <c r="OJ26" s="11"/>
      <c r="OK26" s="11"/>
      <c r="OL26" s="11"/>
      <c r="OM26" s="11"/>
      <c r="ON26" s="11"/>
      <c r="OO26" s="11"/>
      <c r="OP26" s="11"/>
      <c r="OQ26" s="11"/>
      <c r="OR26" s="11"/>
      <c r="OS26" s="11"/>
      <c r="OT26" s="11"/>
      <c r="OU26" s="11"/>
      <c r="OV26" s="11"/>
      <c r="OW26" s="11"/>
      <c r="OX26" s="11"/>
      <c r="OY26" s="11"/>
      <c r="OZ26" s="11"/>
      <c r="PA26" s="11"/>
      <c r="PB26" s="11"/>
      <c r="PC26" s="11"/>
      <c r="PD26" s="11"/>
      <c r="PE26" s="11"/>
      <c r="PF26" s="11"/>
      <c r="PG26" s="11"/>
      <c r="PH26" s="11"/>
      <c r="PI26" s="11"/>
      <c r="PJ26" s="11"/>
      <c r="PK26" s="11"/>
      <c r="PL26" s="11"/>
      <c r="PM26" s="11"/>
      <c r="PN26" s="11"/>
      <c r="PO26" s="11"/>
      <c r="PP26" s="11"/>
      <c r="PQ26" s="11"/>
      <c r="PR26" s="11"/>
      <c r="PS26" s="11"/>
      <c r="PT26" s="11"/>
      <c r="PU26" s="11"/>
      <c r="PV26" s="11"/>
      <c r="PW26" s="11"/>
      <c r="PX26" s="11"/>
      <c r="PY26" s="11"/>
      <c r="PZ26" s="11"/>
      <c r="QA26" s="11"/>
      <c r="QB26" s="11"/>
      <c r="QC26" s="11"/>
      <c r="QD26" s="11"/>
      <c r="QE26" s="11"/>
      <c r="QF26" s="11"/>
      <c r="QG26" s="11"/>
      <c r="QH26" s="11"/>
      <c r="QI26" s="11"/>
      <c r="QJ26" s="11"/>
      <c r="QK26" s="11"/>
      <c r="QL26" s="11"/>
      <c r="QM26" s="11"/>
      <c r="QN26" s="11"/>
      <c r="QO26" s="11"/>
      <c r="QP26" s="11"/>
      <c r="QQ26" s="11"/>
      <c r="QR26" s="11"/>
      <c r="QS26" s="11"/>
      <c r="QT26" s="11"/>
      <c r="QU26" s="11"/>
      <c r="QV26" s="11"/>
      <c r="QW26" s="11"/>
      <c r="QX26" s="11"/>
      <c r="QY26" s="11"/>
      <c r="QZ26" s="11"/>
      <c r="RA26" s="11"/>
      <c r="RB26" s="11"/>
      <c r="RC26" s="11"/>
      <c r="RD26" s="11"/>
      <c r="RE26" s="11"/>
      <c r="RF26" s="11"/>
      <c r="RG26" s="11"/>
      <c r="RH26" s="11"/>
      <c r="RI26" s="11"/>
      <c r="RJ26" s="11"/>
      <c r="RK26" s="11"/>
      <c r="RL26" s="11"/>
      <c r="RM26" s="11"/>
      <c r="RN26" s="11"/>
      <c r="RO26" s="11"/>
      <c r="RP26" s="11"/>
      <c r="RQ26" s="11"/>
      <c r="RR26" s="11"/>
      <c r="RS26" s="11"/>
      <c r="RT26" s="11"/>
      <c r="RU26" s="11"/>
      <c r="RV26" s="11"/>
      <c r="RW26" s="11"/>
      <c r="RX26" s="11"/>
      <c r="RY26" s="11"/>
      <c r="RZ26" s="11"/>
      <c r="SA26" s="11"/>
      <c r="SB26" s="11"/>
      <c r="SC26" s="11"/>
      <c r="SD26" s="11"/>
      <c r="SE26" s="11"/>
      <c r="SF26" s="11"/>
      <c r="SG26" s="11"/>
      <c r="SH26" s="11"/>
      <c r="SI26" s="11"/>
      <c r="SJ26" s="11"/>
      <c r="SK26" s="11"/>
      <c r="SL26" s="11"/>
      <c r="SM26" s="11"/>
      <c r="SN26" s="11"/>
      <c r="SO26" s="11"/>
      <c r="SP26" s="11"/>
      <c r="SQ26" s="11"/>
      <c r="SR26" s="11"/>
      <c r="SS26" s="11"/>
      <c r="ST26" s="11"/>
      <c r="SU26" s="11"/>
      <c r="SV26" s="11"/>
      <c r="SW26" s="11"/>
      <c r="SX26" s="11"/>
      <c r="SY26" s="11"/>
      <c r="SZ26" s="11"/>
      <c r="TA26" s="11"/>
      <c r="TB26" s="11"/>
      <c r="TC26" s="11"/>
      <c r="TD26" s="11"/>
      <c r="TE26" s="11"/>
      <c r="TF26" s="11"/>
      <c r="TG26" s="11"/>
      <c r="TH26" s="11"/>
      <c r="TI26" s="11"/>
      <c r="TJ26" s="11"/>
      <c r="TK26" s="11"/>
      <c r="TL26" s="11"/>
      <c r="TM26" s="11"/>
      <c r="TN26" s="11"/>
      <c r="TO26" s="11"/>
      <c r="TP26" s="11"/>
      <c r="TQ26" s="11"/>
      <c r="TR26" s="11"/>
      <c r="TS26" s="11"/>
      <c r="TT26" s="11"/>
      <c r="TU26" s="11"/>
      <c r="TV26" s="11"/>
      <c r="TW26" s="11"/>
      <c r="TX26" s="11"/>
      <c r="TY26" s="11"/>
      <c r="TZ26" s="11"/>
      <c r="UA26" s="11"/>
      <c r="UB26" s="11"/>
      <c r="UC26" s="11"/>
      <c r="UD26" s="11"/>
      <c r="UE26" s="11"/>
      <c r="UF26" s="11"/>
      <c r="UG26" s="11"/>
      <c r="UH26" s="11"/>
      <c r="UI26" s="11"/>
      <c r="UJ26" s="11"/>
      <c r="UK26" s="11"/>
      <c r="UL26" s="11"/>
      <c r="UM26" s="11"/>
      <c r="UN26" s="11"/>
      <c r="UO26" s="11"/>
      <c r="UP26" s="11"/>
      <c r="UQ26" s="11"/>
      <c r="UR26" s="11"/>
      <c r="US26" s="11"/>
      <c r="UT26" s="11"/>
      <c r="UU26" s="11"/>
      <c r="UV26" s="11"/>
      <c r="UW26" s="11"/>
      <c r="UX26" s="11"/>
      <c r="UY26" s="11"/>
      <c r="UZ26" s="11"/>
      <c r="VA26" s="11"/>
      <c r="VB26" s="11"/>
      <c r="VC26" s="11"/>
      <c r="VD26" s="11"/>
      <c r="VE26" s="11"/>
      <c r="VF26" s="11"/>
      <c r="VG26" s="11"/>
      <c r="VH26" s="11"/>
      <c r="VI26" s="11"/>
      <c r="VJ26" s="11"/>
      <c r="VK26" s="11"/>
      <c r="VL26" s="11"/>
      <c r="VM26" s="11"/>
      <c r="VN26" s="11"/>
      <c r="VO26" s="11"/>
      <c r="VP26" s="11"/>
      <c r="VQ26" s="11"/>
      <c r="VR26" s="11"/>
      <c r="VS26" s="11"/>
      <c r="VT26" s="11"/>
      <c r="VU26" s="11"/>
      <c r="VV26" s="11"/>
      <c r="VW26" s="11"/>
      <c r="VX26" s="11"/>
      <c r="VY26" s="11"/>
      <c r="VZ26" s="11"/>
      <c r="WA26" s="11"/>
      <c r="WB26" s="11"/>
      <c r="WC26" s="11"/>
      <c r="WD26" s="11"/>
      <c r="WE26" s="11"/>
      <c r="WF26" s="11"/>
      <c r="WG26" s="11"/>
      <c r="WH26" s="11"/>
      <c r="WI26" s="11"/>
      <c r="WJ26" s="11"/>
      <c r="WK26" s="11"/>
      <c r="WL26" s="11"/>
      <c r="WM26" s="11"/>
      <c r="WN26" s="11"/>
      <c r="WO26" s="11"/>
      <c r="WP26" s="11"/>
      <c r="WQ26" s="11"/>
      <c r="WR26" s="11"/>
      <c r="WS26" s="11"/>
      <c r="WT26" s="11"/>
      <c r="WU26" s="11"/>
      <c r="WV26" s="11"/>
      <c r="WW26" s="11"/>
      <c r="WX26" s="11"/>
      <c r="WY26" s="11"/>
      <c r="WZ26" s="11"/>
      <c r="XA26" s="11"/>
      <c r="XB26" s="11"/>
      <c r="XC26" s="11"/>
      <c r="XD26" s="11"/>
      <c r="XE26" s="11"/>
      <c r="XF26" s="11"/>
      <c r="XG26" s="11"/>
      <c r="XH26" s="11"/>
      <c r="XI26" s="11"/>
      <c r="XJ26" s="11"/>
      <c r="XK26" s="11"/>
      <c r="XL26" s="11"/>
      <c r="XM26" s="11"/>
      <c r="XN26" s="11"/>
      <c r="XO26" s="11"/>
      <c r="XP26" s="11"/>
      <c r="XQ26" s="11"/>
      <c r="XR26" s="11"/>
      <c r="XS26" s="11"/>
      <c r="XT26" s="11"/>
      <c r="XU26" s="11"/>
      <c r="XV26" s="11"/>
      <c r="XW26" s="11"/>
      <c r="XX26" s="11"/>
      <c r="XY26" s="11"/>
      <c r="XZ26" s="11"/>
      <c r="YA26" s="11"/>
      <c r="YB26" s="11"/>
      <c r="YC26" s="11"/>
      <c r="YD26" s="11"/>
      <c r="YE26" s="11"/>
      <c r="YF26" s="11"/>
      <c r="YG26" s="11"/>
      <c r="YH26" s="11"/>
      <c r="YI26" s="11"/>
      <c r="YJ26" s="11"/>
      <c r="YK26" s="11"/>
      <c r="YL26" s="11"/>
      <c r="YM26" s="11"/>
      <c r="YN26" s="11"/>
      <c r="YO26" s="11"/>
      <c r="YP26" s="11"/>
      <c r="YQ26" s="11"/>
      <c r="YR26" s="11"/>
      <c r="YS26" s="11"/>
      <c r="YT26" s="11"/>
      <c r="YU26" s="11"/>
      <c r="YV26" s="11"/>
      <c r="YW26" s="11"/>
      <c r="YX26" s="11"/>
      <c r="YY26" s="11"/>
      <c r="YZ26" s="11"/>
      <c r="ZA26" s="11"/>
      <c r="ZB26" s="11"/>
      <c r="ZC26" s="11"/>
      <c r="ZD26" s="11"/>
      <c r="ZE26" s="11"/>
      <c r="ZF26" s="11"/>
      <c r="ZG26" s="11"/>
      <c r="ZH26" s="11"/>
      <c r="ZI26" s="11"/>
      <c r="ZJ26" s="11"/>
      <c r="ZK26" s="11"/>
      <c r="ZL26" s="11"/>
      <c r="ZM26" s="11"/>
      <c r="ZN26" s="11"/>
      <c r="ZO26" s="11"/>
      <c r="ZP26" s="11"/>
      <c r="ZQ26" s="11"/>
      <c r="ZR26" s="11"/>
      <c r="ZS26" s="11"/>
      <c r="ZT26" s="11"/>
      <c r="ZU26" s="11"/>
      <c r="ZV26" s="11"/>
      <c r="ZW26" s="11"/>
      <c r="ZX26" s="11"/>
      <c r="ZY26" s="11"/>
      <c r="ZZ26" s="11"/>
      <c r="AAA26" s="11"/>
      <c r="AAB26" s="11"/>
      <c r="AAC26" s="11"/>
      <c r="AAD26" s="11"/>
      <c r="AAE26" s="11"/>
      <c r="AAF26" s="11"/>
      <c r="AAG26" s="11"/>
      <c r="AAH26" s="11"/>
      <c r="AAI26" s="11"/>
      <c r="AAJ26" s="11"/>
      <c r="AAK26" s="11"/>
      <c r="AAL26" s="11"/>
    </row>
    <row r="27" spans="26:714" s="6" customFormat="1" x14ac:dyDescent="0.3">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c r="DJ27" s="11"/>
      <c r="DK27" s="11"/>
      <c r="DL27" s="11"/>
      <c r="DM27" s="11"/>
      <c r="DN27" s="11"/>
      <c r="DO27" s="11"/>
      <c r="DP27" s="11"/>
      <c r="DQ27" s="11"/>
      <c r="DR27" s="11"/>
      <c r="DS27" s="11"/>
      <c r="DT27" s="11"/>
      <c r="DU27" s="11"/>
      <c r="DV27" s="11"/>
      <c r="DW27" s="11"/>
      <c r="DX27" s="11"/>
      <c r="DY27" s="11"/>
      <c r="DZ27" s="11"/>
      <c r="EA27" s="11"/>
      <c r="EB27" s="11"/>
      <c r="EC27" s="11"/>
      <c r="ED27" s="11"/>
      <c r="EE27" s="11"/>
      <c r="EF27" s="11"/>
      <c r="EG27" s="11"/>
      <c r="EH27" s="11"/>
      <c r="EI27" s="11"/>
      <c r="EJ27" s="11"/>
      <c r="EK27" s="11"/>
      <c r="EL27" s="11"/>
      <c r="EM27" s="11"/>
      <c r="EN27" s="11"/>
      <c r="EO27" s="11"/>
      <c r="EP27" s="11"/>
      <c r="EQ27" s="11"/>
      <c r="ER27" s="11"/>
      <c r="ES27" s="11"/>
      <c r="ET27" s="11"/>
      <c r="EU27" s="11"/>
      <c r="EV27" s="11"/>
      <c r="EW27" s="11"/>
      <c r="EX27" s="11"/>
      <c r="EY27" s="11"/>
      <c r="EZ27" s="11"/>
      <c r="FA27" s="11"/>
      <c r="FB27" s="11"/>
      <c r="FC27" s="11"/>
      <c r="FD27" s="11"/>
      <c r="FE27" s="11"/>
      <c r="FF27" s="11"/>
      <c r="FG27" s="11"/>
      <c r="FH27" s="11"/>
      <c r="FI27" s="11"/>
      <c r="FJ27" s="11"/>
      <c r="FK27" s="11"/>
      <c r="FL27" s="11"/>
      <c r="FM27" s="11"/>
      <c r="FN27" s="11"/>
      <c r="FO27" s="11"/>
      <c r="FP27" s="11"/>
      <c r="FQ27" s="11"/>
      <c r="FR27" s="11"/>
      <c r="FS27" s="11"/>
      <c r="FT27" s="11"/>
      <c r="FU27" s="11"/>
      <c r="FV27" s="11"/>
      <c r="FW27" s="11"/>
      <c r="FX27" s="11"/>
      <c r="FY27" s="11"/>
      <c r="FZ27" s="11"/>
      <c r="GA27" s="11"/>
      <c r="GB27" s="11"/>
      <c r="GC27" s="11"/>
      <c r="GD27" s="11"/>
      <c r="GE27" s="11"/>
      <c r="GF27" s="11"/>
      <c r="GG27" s="11"/>
      <c r="GH27" s="11"/>
      <c r="GI27" s="11"/>
      <c r="GJ27" s="11"/>
      <c r="GK27" s="11"/>
      <c r="GL27" s="11"/>
      <c r="GM27" s="11"/>
      <c r="GN27" s="11"/>
      <c r="GO27" s="11"/>
      <c r="GP27" s="11"/>
      <c r="GQ27" s="11"/>
      <c r="GR27" s="11"/>
      <c r="GS27" s="11"/>
      <c r="GT27" s="11"/>
      <c r="GU27" s="11"/>
      <c r="GV27" s="11"/>
      <c r="GW27" s="11"/>
      <c r="GX27" s="11"/>
      <c r="GY27" s="11"/>
      <c r="GZ27" s="11"/>
      <c r="HA27" s="11"/>
      <c r="HB27" s="11"/>
      <c r="HC27" s="11"/>
      <c r="HD27" s="11"/>
      <c r="HE27" s="11"/>
      <c r="HF27" s="11"/>
      <c r="HG27" s="11"/>
      <c r="HH27" s="11"/>
      <c r="HI27" s="11"/>
      <c r="HJ27" s="11"/>
      <c r="HK27" s="11"/>
      <c r="HL27" s="11"/>
      <c r="HM27" s="11"/>
      <c r="HN27" s="11"/>
      <c r="HO27" s="11"/>
      <c r="HP27" s="11"/>
      <c r="HQ27" s="11"/>
      <c r="HR27" s="11"/>
      <c r="HS27" s="11"/>
      <c r="HT27" s="11"/>
      <c r="HU27" s="11"/>
      <c r="HV27" s="11"/>
      <c r="HW27" s="11"/>
      <c r="HX27" s="11"/>
      <c r="HY27" s="11"/>
      <c r="HZ27" s="11"/>
      <c r="IA27" s="11"/>
      <c r="IB27" s="11"/>
      <c r="IC27" s="11"/>
      <c r="ID27" s="11"/>
      <c r="IE27" s="11"/>
      <c r="IF27" s="11"/>
      <c r="IG27" s="11"/>
      <c r="IH27" s="11"/>
      <c r="II27" s="11"/>
      <c r="IJ27" s="11"/>
      <c r="IK27" s="11"/>
      <c r="IL27" s="11"/>
      <c r="IM27" s="11"/>
      <c r="IN27" s="11"/>
      <c r="IO27" s="11"/>
      <c r="IP27" s="11"/>
      <c r="IQ27" s="11"/>
      <c r="IR27" s="11"/>
      <c r="IS27" s="11"/>
      <c r="IT27" s="11"/>
      <c r="IU27" s="11"/>
      <c r="IV27" s="11"/>
      <c r="IW27" s="11"/>
      <c r="IX27" s="11"/>
      <c r="IY27" s="11"/>
      <c r="IZ27" s="11"/>
      <c r="JA27" s="11"/>
      <c r="JB27" s="11"/>
      <c r="JC27" s="11"/>
      <c r="JD27" s="11"/>
      <c r="JE27" s="11"/>
      <c r="JF27" s="11"/>
      <c r="JG27" s="11"/>
      <c r="JH27" s="11"/>
      <c r="JI27" s="11"/>
      <c r="JJ27" s="11"/>
      <c r="JK27" s="11"/>
      <c r="JL27" s="11"/>
      <c r="JM27" s="11"/>
      <c r="JN27" s="11"/>
      <c r="JO27" s="11"/>
      <c r="JP27" s="11"/>
      <c r="JQ27" s="11"/>
      <c r="JR27" s="11"/>
      <c r="JS27" s="11"/>
      <c r="JT27" s="11"/>
      <c r="JU27" s="11"/>
      <c r="JV27" s="11"/>
      <c r="JW27" s="11"/>
      <c r="JX27" s="11"/>
      <c r="JY27" s="11"/>
      <c r="JZ27" s="11"/>
      <c r="KA27" s="11"/>
      <c r="KB27" s="11"/>
      <c r="KC27" s="11"/>
      <c r="KD27" s="11"/>
      <c r="KE27" s="11"/>
      <c r="KF27" s="11"/>
      <c r="KG27" s="11"/>
      <c r="KH27" s="11"/>
      <c r="KI27" s="11"/>
      <c r="KJ27" s="11"/>
      <c r="KK27" s="11"/>
      <c r="KL27" s="11"/>
      <c r="KM27" s="11"/>
      <c r="KN27" s="11"/>
      <c r="KO27" s="11"/>
      <c r="KP27" s="11"/>
      <c r="KQ27" s="11"/>
      <c r="KR27" s="11"/>
      <c r="KS27" s="11"/>
      <c r="KT27" s="11"/>
      <c r="KU27" s="11"/>
      <c r="KV27" s="11"/>
      <c r="KW27" s="11"/>
      <c r="KX27" s="11"/>
      <c r="KY27" s="11"/>
      <c r="KZ27" s="11"/>
      <c r="LA27" s="11"/>
      <c r="LB27" s="11"/>
      <c r="LC27" s="11"/>
      <c r="LD27" s="11"/>
      <c r="LE27" s="11"/>
      <c r="LF27" s="11"/>
      <c r="LG27" s="11"/>
      <c r="LH27" s="11"/>
      <c r="LI27" s="11"/>
      <c r="LJ27" s="11"/>
      <c r="LK27" s="11"/>
      <c r="LL27" s="11"/>
      <c r="LM27" s="11"/>
      <c r="LN27" s="11"/>
      <c r="LO27" s="11"/>
      <c r="LP27" s="11"/>
      <c r="LQ27" s="11"/>
      <c r="LR27" s="11"/>
      <c r="LS27" s="11"/>
      <c r="LT27" s="11"/>
      <c r="LU27" s="11"/>
      <c r="LV27" s="11"/>
      <c r="LW27" s="11"/>
      <c r="LX27" s="11"/>
      <c r="LY27" s="11"/>
      <c r="LZ27" s="11"/>
      <c r="MA27" s="11"/>
      <c r="MB27" s="11"/>
      <c r="MC27" s="11"/>
      <c r="MD27" s="11"/>
      <c r="ME27" s="11"/>
      <c r="MF27" s="11"/>
      <c r="MG27" s="11"/>
      <c r="MH27" s="11"/>
      <c r="MI27" s="11"/>
      <c r="MJ27" s="11"/>
      <c r="MK27" s="11"/>
      <c r="ML27" s="11"/>
      <c r="MM27" s="11"/>
      <c r="MN27" s="11"/>
      <c r="MO27" s="11"/>
      <c r="MP27" s="11"/>
      <c r="MQ27" s="11"/>
      <c r="MR27" s="11"/>
      <c r="MS27" s="11"/>
      <c r="MT27" s="11"/>
      <c r="MU27" s="11"/>
      <c r="MV27" s="11"/>
      <c r="MW27" s="11"/>
      <c r="MX27" s="11"/>
      <c r="MY27" s="11"/>
      <c r="MZ27" s="11"/>
      <c r="NA27" s="11"/>
      <c r="NB27" s="11"/>
      <c r="NC27" s="11"/>
      <c r="ND27" s="11"/>
      <c r="NE27" s="11"/>
      <c r="NF27" s="11"/>
      <c r="NG27" s="11"/>
      <c r="NH27" s="11"/>
      <c r="NI27" s="11"/>
      <c r="NJ27" s="11"/>
      <c r="NK27" s="11"/>
      <c r="NL27" s="11"/>
      <c r="NM27" s="11"/>
      <c r="NN27" s="11"/>
      <c r="NO27" s="11"/>
      <c r="NP27" s="11"/>
      <c r="NQ27" s="11"/>
      <c r="NR27" s="11"/>
      <c r="NS27" s="11"/>
      <c r="NT27" s="11"/>
      <c r="NU27" s="11"/>
      <c r="NV27" s="11"/>
      <c r="NW27" s="11"/>
      <c r="NX27" s="11"/>
      <c r="NY27" s="11"/>
      <c r="NZ27" s="11"/>
      <c r="OA27" s="11"/>
      <c r="OB27" s="11"/>
      <c r="OC27" s="11"/>
      <c r="OD27" s="11"/>
      <c r="OE27" s="11"/>
      <c r="OF27" s="11"/>
      <c r="OG27" s="11"/>
      <c r="OH27" s="11"/>
      <c r="OI27" s="11"/>
      <c r="OJ27" s="11"/>
      <c r="OK27" s="11"/>
      <c r="OL27" s="11"/>
      <c r="OM27" s="11"/>
      <c r="ON27" s="11"/>
      <c r="OO27" s="11"/>
      <c r="OP27" s="11"/>
      <c r="OQ27" s="11"/>
      <c r="OR27" s="11"/>
      <c r="OS27" s="11"/>
      <c r="OT27" s="11"/>
      <c r="OU27" s="11"/>
      <c r="OV27" s="11"/>
      <c r="OW27" s="11"/>
      <c r="OX27" s="11"/>
      <c r="OY27" s="11"/>
      <c r="OZ27" s="11"/>
      <c r="PA27" s="11"/>
      <c r="PB27" s="11"/>
      <c r="PC27" s="11"/>
      <c r="PD27" s="11"/>
      <c r="PE27" s="11"/>
      <c r="PF27" s="11"/>
      <c r="PG27" s="11"/>
      <c r="PH27" s="11"/>
      <c r="PI27" s="11"/>
      <c r="PJ27" s="11"/>
      <c r="PK27" s="11"/>
      <c r="PL27" s="11"/>
      <c r="PM27" s="11"/>
      <c r="PN27" s="11"/>
      <c r="PO27" s="11"/>
      <c r="PP27" s="11"/>
      <c r="PQ27" s="11"/>
      <c r="PR27" s="11"/>
      <c r="PS27" s="11"/>
      <c r="PT27" s="11"/>
      <c r="PU27" s="11"/>
      <c r="PV27" s="11"/>
      <c r="PW27" s="11"/>
      <c r="PX27" s="11"/>
      <c r="PY27" s="11"/>
      <c r="PZ27" s="11"/>
      <c r="QA27" s="11"/>
      <c r="QB27" s="11"/>
      <c r="QC27" s="11"/>
      <c r="QD27" s="11"/>
      <c r="QE27" s="11"/>
      <c r="QF27" s="11"/>
      <c r="QG27" s="11"/>
      <c r="QH27" s="11"/>
      <c r="QI27" s="11"/>
      <c r="QJ27" s="11"/>
      <c r="QK27" s="11"/>
      <c r="QL27" s="11"/>
      <c r="QM27" s="11"/>
      <c r="QN27" s="11"/>
      <c r="QO27" s="11"/>
      <c r="QP27" s="11"/>
      <c r="QQ27" s="11"/>
      <c r="QR27" s="11"/>
      <c r="QS27" s="11"/>
      <c r="QT27" s="11"/>
      <c r="QU27" s="11"/>
      <c r="QV27" s="11"/>
      <c r="QW27" s="11"/>
      <c r="QX27" s="11"/>
      <c r="QY27" s="11"/>
      <c r="QZ27" s="11"/>
      <c r="RA27" s="11"/>
      <c r="RB27" s="11"/>
      <c r="RC27" s="11"/>
      <c r="RD27" s="11"/>
      <c r="RE27" s="11"/>
      <c r="RF27" s="11"/>
      <c r="RG27" s="11"/>
      <c r="RH27" s="11"/>
      <c r="RI27" s="11"/>
      <c r="RJ27" s="11"/>
      <c r="RK27" s="11"/>
      <c r="RL27" s="11"/>
      <c r="RM27" s="11"/>
      <c r="RN27" s="11"/>
      <c r="RO27" s="11"/>
      <c r="RP27" s="11"/>
      <c r="RQ27" s="11"/>
      <c r="RR27" s="11"/>
      <c r="RS27" s="11"/>
      <c r="RT27" s="11"/>
      <c r="RU27" s="11"/>
      <c r="RV27" s="11"/>
      <c r="RW27" s="11"/>
      <c r="RX27" s="11"/>
      <c r="RY27" s="11"/>
      <c r="RZ27" s="11"/>
      <c r="SA27" s="11"/>
      <c r="SB27" s="11"/>
      <c r="SC27" s="11"/>
      <c r="SD27" s="11"/>
      <c r="SE27" s="11"/>
      <c r="SF27" s="11"/>
      <c r="SG27" s="11"/>
      <c r="SH27" s="11"/>
      <c r="SI27" s="11"/>
      <c r="SJ27" s="11"/>
      <c r="SK27" s="11"/>
      <c r="SL27" s="11"/>
      <c r="SM27" s="11"/>
      <c r="SN27" s="11"/>
      <c r="SO27" s="11"/>
      <c r="SP27" s="11"/>
      <c r="SQ27" s="11"/>
      <c r="SR27" s="11"/>
      <c r="SS27" s="11"/>
      <c r="ST27" s="11"/>
      <c r="SU27" s="11"/>
      <c r="SV27" s="11"/>
      <c r="SW27" s="11"/>
      <c r="SX27" s="11"/>
      <c r="SY27" s="11"/>
      <c r="SZ27" s="11"/>
      <c r="TA27" s="11"/>
      <c r="TB27" s="11"/>
      <c r="TC27" s="11"/>
      <c r="TD27" s="11"/>
      <c r="TE27" s="11"/>
      <c r="TF27" s="11"/>
      <c r="TG27" s="11"/>
      <c r="TH27" s="11"/>
      <c r="TI27" s="11"/>
      <c r="TJ27" s="11"/>
      <c r="TK27" s="11"/>
      <c r="TL27" s="11"/>
      <c r="TM27" s="11"/>
      <c r="TN27" s="11"/>
      <c r="TO27" s="11"/>
      <c r="TP27" s="11"/>
      <c r="TQ27" s="11"/>
      <c r="TR27" s="11"/>
      <c r="TS27" s="11"/>
      <c r="TT27" s="11"/>
      <c r="TU27" s="11"/>
      <c r="TV27" s="11"/>
      <c r="TW27" s="11"/>
      <c r="TX27" s="11"/>
      <c r="TY27" s="11"/>
      <c r="TZ27" s="11"/>
      <c r="UA27" s="11"/>
      <c r="UB27" s="11"/>
      <c r="UC27" s="11"/>
      <c r="UD27" s="11"/>
      <c r="UE27" s="11"/>
      <c r="UF27" s="11"/>
      <c r="UG27" s="11"/>
      <c r="UH27" s="11"/>
      <c r="UI27" s="11"/>
      <c r="UJ27" s="11"/>
      <c r="UK27" s="11"/>
      <c r="UL27" s="11"/>
      <c r="UM27" s="11"/>
      <c r="UN27" s="11"/>
      <c r="UO27" s="11"/>
      <c r="UP27" s="11"/>
      <c r="UQ27" s="11"/>
      <c r="UR27" s="11"/>
      <c r="US27" s="11"/>
      <c r="UT27" s="11"/>
      <c r="UU27" s="11"/>
      <c r="UV27" s="11"/>
      <c r="UW27" s="11"/>
      <c r="UX27" s="11"/>
      <c r="UY27" s="11"/>
      <c r="UZ27" s="11"/>
      <c r="VA27" s="11"/>
      <c r="VB27" s="11"/>
      <c r="VC27" s="11"/>
      <c r="VD27" s="11"/>
      <c r="VE27" s="11"/>
      <c r="VF27" s="11"/>
      <c r="VG27" s="11"/>
      <c r="VH27" s="11"/>
      <c r="VI27" s="11"/>
      <c r="VJ27" s="11"/>
      <c r="VK27" s="11"/>
      <c r="VL27" s="11"/>
      <c r="VM27" s="11"/>
      <c r="VN27" s="11"/>
      <c r="VO27" s="11"/>
      <c r="VP27" s="11"/>
      <c r="VQ27" s="11"/>
      <c r="VR27" s="11"/>
      <c r="VS27" s="11"/>
      <c r="VT27" s="11"/>
      <c r="VU27" s="11"/>
      <c r="VV27" s="11"/>
      <c r="VW27" s="11"/>
      <c r="VX27" s="11"/>
      <c r="VY27" s="11"/>
      <c r="VZ27" s="11"/>
      <c r="WA27" s="11"/>
      <c r="WB27" s="11"/>
      <c r="WC27" s="11"/>
      <c r="WD27" s="11"/>
      <c r="WE27" s="11"/>
      <c r="WF27" s="11"/>
      <c r="WG27" s="11"/>
      <c r="WH27" s="11"/>
      <c r="WI27" s="11"/>
      <c r="WJ27" s="11"/>
      <c r="WK27" s="11"/>
      <c r="WL27" s="11"/>
      <c r="WM27" s="11"/>
      <c r="WN27" s="11"/>
      <c r="WO27" s="11"/>
      <c r="WP27" s="11"/>
      <c r="WQ27" s="11"/>
      <c r="WR27" s="11"/>
      <c r="WS27" s="11"/>
      <c r="WT27" s="11"/>
      <c r="WU27" s="11"/>
      <c r="WV27" s="11"/>
      <c r="WW27" s="11"/>
      <c r="WX27" s="11"/>
      <c r="WY27" s="11"/>
      <c r="WZ27" s="11"/>
      <c r="XA27" s="11"/>
      <c r="XB27" s="11"/>
      <c r="XC27" s="11"/>
      <c r="XD27" s="11"/>
      <c r="XE27" s="11"/>
      <c r="XF27" s="11"/>
      <c r="XG27" s="11"/>
      <c r="XH27" s="11"/>
      <c r="XI27" s="11"/>
      <c r="XJ27" s="11"/>
      <c r="XK27" s="11"/>
      <c r="XL27" s="11"/>
      <c r="XM27" s="11"/>
      <c r="XN27" s="11"/>
      <c r="XO27" s="11"/>
      <c r="XP27" s="11"/>
      <c r="XQ27" s="11"/>
      <c r="XR27" s="11"/>
      <c r="XS27" s="11"/>
      <c r="XT27" s="11"/>
      <c r="XU27" s="11"/>
      <c r="XV27" s="11"/>
      <c r="XW27" s="11"/>
      <c r="XX27" s="11"/>
      <c r="XY27" s="11"/>
      <c r="XZ27" s="11"/>
      <c r="YA27" s="11"/>
      <c r="YB27" s="11"/>
      <c r="YC27" s="11"/>
      <c r="YD27" s="11"/>
      <c r="YE27" s="11"/>
      <c r="YF27" s="11"/>
      <c r="YG27" s="11"/>
      <c r="YH27" s="11"/>
      <c r="YI27" s="11"/>
      <c r="YJ27" s="11"/>
      <c r="YK27" s="11"/>
      <c r="YL27" s="11"/>
      <c r="YM27" s="11"/>
      <c r="YN27" s="11"/>
      <c r="YO27" s="11"/>
      <c r="YP27" s="11"/>
      <c r="YQ27" s="11"/>
      <c r="YR27" s="11"/>
      <c r="YS27" s="11"/>
      <c r="YT27" s="11"/>
      <c r="YU27" s="11"/>
      <c r="YV27" s="11"/>
      <c r="YW27" s="11"/>
      <c r="YX27" s="11"/>
      <c r="YY27" s="11"/>
      <c r="YZ27" s="11"/>
      <c r="ZA27" s="11"/>
      <c r="ZB27" s="11"/>
      <c r="ZC27" s="11"/>
      <c r="ZD27" s="11"/>
      <c r="ZE27" s="11"/>
      <c r="ZF27" s="11"/>
      <c r="ZG27" s="11"/>
      <c r="ZH27" s="11"/>
      <c r="ZI27" s="11"/>
      <c r="ZJ27" s="11"/>
      <c r="ZK27" s="11"/>
      <c r="ZL27" s="11"/>
      <c r="ZM27" s="11"/>
      <c r="ZN27" s="11"/>
      <c r="ZO27" s="11"/>
      <c r="ZP27" s="11"/>
      <c r="ZQ27" s="11"/>
      <c r="ZR27" s="11"/>
      <c r="ZS27" s="11"/>
      <c r="ZT27" s="11"/>
      <c r="ZU27" s="11"/>
      <c r="ZV27" s="11"/>
      <c r="ZW27" s="11"/>
      <c r="ZX27" s="11"/>
      <c r="ZY27" s="11"/>
      <c r="ZZ27" s="11"/>
      <c r="AAA27" s="11"/>
      <c r="AAB27" s="11"/>
      <c r="AAC27" s="11"/>
      <c r="AAD27" s="11"/>
      <c r="AAE27" s="11"/>
      <c r="AAF27" s="11"/>
      <c r="AAG27" s="11"/>
      <c r="AAH27" s="11"/>
      <c r="AAI27" s="11"/>
      <c r="AAJ27" s="11"/>
      <c r="AAK27" s="11"/>
      <c r="AAL27" s="11"/>
    </row>
    <row r="28" spans="26:714" s="6" customFormat="1" x14ac:dyDescent="0.3">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1"/>
      <c r="DN28" s="11"/>
      <c r="DO28" s="11"/>
      <c r="DP28" s="11"/>
      <c r="DQ28" s="11"/>
      <c r="DR28" s="11"/>
      <c r="DS28" s="11"/>
      <c r="DT28" s="11"/>
      <c r="DU28" s="11"/>
      <c r="DV28" s="11"/>
      <c r="DW28" s="11"/>
      <c r="DX28" s="11"/>
      <c r="DY28" s="11"/>
      <c r="DZ28" s="11"/>
      <c r="EA28" s="11"/>
      <c r="EB28" s="11"/>
      <c r="EC28" s="11"/>
      <c r="ED28" s="11"/>
      <c r="EE28" s="11"/>
      <c r="EF28" s="11"/>
      <c r="EG28" s="11"/>
      <c r="EH28" s="11"/>
      <c r="EI28" s="11"/>
      <c r="EJ28" s="11"/>
      <c r="EK28" s="11"/>
      <c r="EL28" s="11"/>
      <c r="EM28" s="11"/>
      <c r="EN28" s="11"/>
      <c r="EO28" s="11"/>
      <c r="EP28" s="11"/>
      <c r="EQ28" s="11"/>
      <c r="ER28" s="11"/>
      <c r="ES28" s="11"/>
      <c r="ET28" s="11"/>
      <c r="EU28" s="11"/>
      <c r="EV28" s="11"/>
      <c r="EW28" s="11"/>
      <c r="EX28" s="11"/>
      <c r="EY28" s="11"/>
      <c r="EZ28" s="11"/>
      <c r="FA28" s="11"/>
      <c r="FB28" s="11"/>
      <c r="FC28" s="11"/>
      <c r="FD28" s="11"/>
      <c r="FE28" s="11"/>
      <c r="FF28" s="11"/>
      <c r="FG28" s="11"/>
      <c r="FH28" s="11"/>
      <c r="FI28" s="11"/>
      <c r="FJ28" s="11"/>
      <c r="FK28" s="11"/>
      <c r="FL28" s="11"/>
      <c r="FM28" s="11"/>
      <c r="FN28" s="11"/>
      <c r="FO28" s="11"/>
      <c r="FP28" s="11"/>
      <c r="FQ28" s="11"/>
      <c r="FR28" s="11"/>
      <c r="FS28" s="11"/>
      <c r="FT28" s="11"/>
      <c r="FU28" s="11"/>
      <c r="FV28" s="11"/>
      <c r="FW28" s="11"/>
      <c r="FX28" s="11"/>
      <c r="FY28" s="11"/>
      <c r="FZ28" s="11"/>
      <c r="GA28" s="11"/>
      <c r="GB28" s="11"/>
      <c r="GC28" s="11"/>
      <c r="GD28" s="11"/>
      <c r="GE28" s="11"/>
      <c r="GF28" s="11"/>
      <c r="GG28" s="11"/>
      <c r="GH28" s="11"/>
      <c r="GI28" s="11"/>
      <c r="GJ28" s="11"/>
      <c r="GK28" s="11"/>
      <c r="GL28" s="11"/>
      <c r="GM28" s="11"/>
      <c r="GN28" s="11"/>
      <c r="GO28" s="11"/>
      <c r="GP28" s="11"/>
      <c r="GQ28" s="11"/>
      <c r="GR28" s="11"/>
      <c r="GS28" s="11"/>
      <c r="GT28" s="11"/>
      <c r="GU28" s="11"/>
      <c r="GV28" s="11"/>
      <c r="GW28" s="11"/>
      <c r="GX28" s="11"/>
      <c r="GY28" s="11"/>
      <c r="GZ28" s="11"/>
      <c r="HA28" s="11"/>
      <c r="HB28" s="11"/>
      <c r="HC28" s="11"/>
      <c r="HD28" s="11"/>
      <c r="HE28" s="11"/>
      <c r="HF28" s="11"/>
      <c r="HG28" s="11"/>
      <c r="HH28" s="11"/>
      <c r="HI28" s="11"/>
      <c r="HJ28" s="11"/>
      <c r="HK28" s="11"/>
      <c r="HL28" s="11"/>
      <c r="HM28" s="11"/>
      <c r="HN28" s="11"/>
      <c r="HO28" s="11"/>
      <c r="HP28" s="11"/>
      <c r="HQ28" s="11"/>
      <c r="HR28" s="11"/>
      <c r="HS28" s="11"/>
      <c r="HT28" s="11"/>
      <c r="HU28" s="11"/>
      <c r="HV28" s="11"/>
      <c r="HW28" s="11"/>
      <c r="HX28" s="11"/>
      <c r="HY28" s="11"/>
      <c r="HZ28" s="11"/>
      <c r="IA28" s="11"/>
      <c r="IB28" s="11"/>
      <c r="IC28" s="11"/>
      <c r="ID28" s="11"/>
      <c r="IE28" s="11"/>
      <c r="IF28" s="11"/>
      <c r="IG28" s="11"/>
      <c r="IH28" s="11"/>
      <c r="II28" s="11"/>
      <c r="IJ28" s="11"/>
      <c r="IK28" s="11"/>
      <c r="IL28" s="11"/>
      <c r="IM28" s="11"/>
      <c r="IN28" s="11"/>
      <c r="IO28" s="11"/>
      <c r="IP28" s="11"/>
      <c r="IQ28" s="11"/>
      <c r="IR28" s="11"/>
      <c r="IS28" s="11"/>
      <c r="IT28" s="11"/>
      <c r="IU28" s="11"/>
      <c r="IV28" s="11"/>
      <c r="IW28" s="11"/>
      <c r="IX28" s="11"/>
      <c r="IY28" s="11"/>
      <c r="IZ28" s="11"/>
      <c r="JA28" s="11"/>
      <c r="JB28" s="11"/>
      <c r="JC28" s="11"/>
      <c r="JD28" s="11"/>
      <c r="JE28" s="11"/>
      <c r="JF28" s="11"/>
      <c r="JG28" s="11"/>
      <c r="JH28" s="11"/>
      <c r="JI28" s="11"/>
      <c r="JJ28" s="11"/>
      <c r="JK28" s="11"/>
      <c r="JL28" s="11"/>
      <c r="JM28" s="11"/>
      <c r="JN28" s="11"/>
      <c r="JO28" s="11"/>
      <c r="JP28" s="11"/>
      <c r="JQ28" s="11"/>
      <c r="JR28" s="11"/>
      <c r="JS28" s="11"/>
      <c r="JT28" s="11"/>
      <c r="JU28" s="11"/>
      <c r="JV28" s="11"/>
      <c r="JW28" s="11"/>
      <c r="JX28" s="11"/>
      <c r="JY28" s="11"/>
      <c r="JZ28" s="11"/>
      <c r="KA28" s="11"/>
      <c r="KB28" s="11"/>
      <c r="KC28" s="11"/>
      <c r="KD28" s="11"/>
      <c r="KE28" s="11"/>
      <c r="KF28" s="11"/>
      <c r="KG28" s="11"/>
      <c r="KH28" s="11"/>
      <c r="KI28" s="11"/>
      <c r="KJ28" s="11"/>
      <c r="KK28" s="11"/>
      <c r="KL28" s="11"/>
      <c r="KM28" s="11"/>
      <c r="KN28" s="11"/>
      <c r="KO28" s="11"/>
      <c r="KP28" s="11"/>
      <c r="KQ28" s="11"/>
      <c r="KR28" s="11"/>
      <c r="KS28" s="11"/>
      <c r="KT28" s="11"/>
      <c r="KU28" s="11"/>
      <c r="KV28" s="11"/>
      <c r="KW28" s="11"/>
      <c r="KX28" s="11"/>
      <c r="KY28" s="11"/>
      <c r="KZ28" s="11"/>
      <c r="LA28" s="11"/>
      <c r="LB28" s="11"/>
      <c r="LC28" s="11"/>
      <c r="LD28" s="11"/>
      <c r="LE28" s="11"/>
      <c r="LF28" s="11"/>
      <c r="LG28" s="11"/>
      <c r="LH28" s="11"/>
      <c r="LI28" s="11"/>
      <c r="LJ28" s="11"/>
      <c r="LK28" s="11"/>
      <c r="LL28" s="11"/>
      <c r="LM28" s="11"/>
      <c r="LN28" s="11"/>
      <c r="LO28" s="11"/>
      <c r="LP28" s="11"/>
      <c r="LQ28" s="11"/>
      <c r="LR28" s="11"/>
      <c r="LS28" s="11"/>
      <c r="LT28" s="11"/>
      <c r="LU28" s="11"/>
      <c r="LV28" s="11"/>
      <c r="LW28" s="11"/>
      <c r="LX28" s="11"/>
      <c r="LY28" s="11"/>
      <c r="LZ28" s="11"/>
      <c r="MA28" s="11"/>
      <c r="MB28" s="11"/>
      <c r="MC28" s="11"/>
      <c r="MD28" s="11"/>
      <c r="ME28" s="11"/>
      <c r="MF28" s="11"/>
      <c r="MG28" s="11"/>
      <c r="MH28" s="11"/>
      <c r="MI28" s="11"/>
      <c r="MJ28" s="11"/>
      <c r="MK28" s="11"/>
      <c r="ML28" s="11"/>
      <c r="MM28" s="11"/>
      <c r="MN28" s="11"/>
      <c r="MO28" s="11"/>
      <c r="MP28" s="11"/>
      <c r="MQ28" s="11"/>
      <c r="MR28" s="11"/>
      <c r="MS28" s="11"/>
      <c r="MT28" s="11"/>
      <c r="MU28" s="11"/>
      <c r="MV28" s="11"/>
      <c r="MW28" s="11"/>
      <c r="MX28" s="11"/>
      <c r="MY28" s="11"/>
      <c r="MZ28" s="11"/>
      <c r="NA28" s="11"/>
      <c r="NB28" s="11"/>
      <c r="NC28" s="11"/>
      <c r="ND28" s="11"/>
      <c r="NE28" s="11"/>
      <c r="NF28" s="11"/>
      <c r="NG28" s="11"/>
      <c r="NH28" s="11"/>
      <c r="NI28" s="11"/>
      <c r="NJ28" s="11"/>
      <c r="NK28" s="11"/>
      <c r="NL28" s="11"/>
      <c r="NM28" s="11"/>
      <c r="NN28" s="11"/>
      <c r="NO28" s="11"/>
      <c r="NP28" s="11"/>
      <c r="NQ28" s="11"/>
      <c r="NR28" s="11"/>
      <c r="NS28" s="11"/>
      <c r="NT28" s="11"/>
      <c r="NU28" s="11"/>
      <c r="NV28" s="11"/>
      <c r="NW28" s="11"/>
      <c r="NX28" s="11"/>
      <c r="NY28" s="11"/>
      <c r="NZ28" s="11"/>
      <c r="OA28" s="11"/>
      <c r="OB28" s="11"/>
      <c r="OC28" s="11"/>
      <c r="OD28" s="11"/>
      <c r="OE28" s="11"/>
      <c r="OF28" s="11"/>
      <c r="OG28" s="11"/>
      <c r="OH28" s="11"/>
      <c r="OI28" s="11"/>
      <c r="OJ28" s="11"/>
      <c r="OK28" s="11"/>
      <c r="OL28" s="11"/>
      <c r="OM28" s="11"/>
      <c r="ON28" s="11"/>
      <c r="OO28" s="11"/>
      <c r="OP28" s="11"/>
      <c r="OQ28" s="11"/>
      <c r="OR28" s="11"/>
      <c r="OS28" s="11"/>
      <c r="OT28" s="11"/>
      <c r="OU28" s="11"/>
      <c r="OV28" s="11"/>
      <c r="OW28" s="11"/>
      <c r="OX28" s="11"/>
      <c r="OY28" s="11"/>
      <c r="OZ28" s="11"/>
      <c r="PA28" s="11"/>
      <c r="PB28" s="11"/>
      <c r="PC28" s="11"/>
      <c r="PD28" s="11"/>
      <c r="PE28" s="11"/>
      <c r="PF28" s="11"/>
      <c r="PG28" s="11"/>
      <c r="PH28" s="11"/>
      <c r="PI28" s="11"/>
      <c r="PJ28" s="11"/>
      <c r="PK28" s="11"/>
      <c r="PL28" s="11"/>
      <c r="PM28" s="11"/>
      <c r="PN28" s="11"/>
      <c r="PO28" s="11"/>
      <c r="PP28" s="11"/>
      <c r="PQ28" s="11"/>
      <c r="PR28" s="11"/>
      <c r="PS28" s="11"/>
      <c r="PT28" s="11"/>
      <c r="PU28" s="11"/>
      <c r="PV28" s="11"/>
      <c r="PW28" s="11"/>
      <c r="PX28" s="11"/>
      <c r="PY28" s="11"/>
      <c r="PZ28" s="11"/>
      <c r="QA28" s="11"/>
      <c r="QB28" s="11"/>
      <c r="QC28" s="11"/>
      <c r="QD28" s="11"/>
      <c r="QE28" s="11"/>
      <c r="QF28" s="11"/>
      <c r="QG28" s="11"/>
      <c r="QH28" s="11"/>
      <c r="QI28" s="11"/>
      <c r="QJ28" s="11"/>
      <c r="QK28" s="11"/>
      <c r="QL28" s="11"/>
      <c r="QM28" s="11"/>
      <c r="QN28" s="11"/>
      <c r="QO28" s="11"/>
      <c r="QP28" s="11"/>
      <c r="QQ28" s="11"/>
      <c r="QR28" s="11"/>
      <c r="QS28" s="11"/>
      <c r="QT28" s="11"/>
      <c r="QU28" s="11"/>
      <c r="QV28" s="11"/>
      <c r="QW28" s="11"/>
      <c r="QX28" s="11"/>
      <c r="QY28" s="11"/>
      <c r="QZ28" s="11"/>
      <c r="RA28" s="11"/>
      <c r="RB28" s="11"/>
      <c r="RC28" s="11"/>
      <c r="RD28" s="11"/>
      <c r="RE28" s="11"/>
      <c r="RF28" s="11"/>
      <c r="RG28" s="11"/>
      <c r="RH28" s="11"/>
      <c r="RI28" s="11"/>
      <c r="RJ28" s="11"/>
      <c r="RK28" s="11"/>
      <c r="RL28" s="11"/>
      <c r="RM28" s="11"/>
      <c r="RN28" s="11"/>
      <c r="RO28" s="11"/>
      <c r="RP28" s="11"/>
      <c r="RQ28" s="11"/>
      <c r="RR28" s="11"/>
      <c r="RS28" s="11"/>
      <c r="RT28" s="11"/>
      <c r="RU28" s="11"/>
      <c r="RV28" s="11"/>
      <c r="RW28" s="11"/>
      <c r="RX28" s="11"/>
      <c r="RY28" s="11"/>
      <c r="RZ28" s="11"/>
      <c r="SA28" s="11"/>
      <c r="SB28" s="11"/>
      <c r="SC28" s="11"/>
      <c r="SD28" s="11"/>
      <c r="SE28" s="11"/>
      <c r="SF28" s="11"/>
      <c r="SG28" s="11"/>
      <c r="SH28" s="11"/>
      <c r="SI28" s="11"/>
      <c r="SJ28" s="11"/>
      <c r="SK28" s="11"/>
      <c r="SL28" s="11"/>
      <c r="SM28" s="11"/>
      <c r="SN28" s="11"/>
      <c r="SO28" s="11"/>
      <c r="SP28" s="11"/>
      <c r="SQ28" s="11"/>
      <c r="SR28" s="11"/>
      <c r="SS28" s="11"/>
      <c r="ST28" s="11"/>
      <c r="SU28" s="11"/>
      <c r="SV28" s="11"/>
      <c r="SW28" s="11"/>
      <c r="SX28" s="11"/>
      <c r="SY28" s="11"/>
      <c r="SZ28" s="11"/>
      <c r="TA28" s="11"/>
      <c r="TB28" s="11"/>
      <c r="TC28" s="11"/>
      <c r="TD28" s="11"/>
      <c r="TE28" s="11"/>
      <c r="TF28" s="11"/>
      <c r="TG28" s="11"/>
      <c r="TH28" s="11"/>
      <c r="TI28" s="11"/>
      <c r="TJ28" s="11"/>
      <c r="TK28" s="11"/>
      <c r="TL28" s="11"/>
      <c r="TM28" s="11"/>
      <c r="TN28" s="11"/>
      <c r="TO28" s="11"/>
      <c r="TP28" s="11"/>
      <c r="TQ28" s="11"/>
      <c r="TR28" s="11"/>
      <c r="TS28" s="11"/>
      <c r="TT28" s="11"/>
      <c r="TU28" s="11"/>
      <c r="TV28" s="11"/>
      <c r="TW28" s="11"/>
      <c r="TX28" s="11"/>
      <c r="TY28" s="11"/>
      <c r="TZ28" s="11"/>
      <c r="UA28" s="11"/>
      <c r="UB28" s="11"/>
      <c r="UC28" s="11"/>
      <c r="UD28" s="11"/>
      <c r="UE28" s="11"/>
      <c r="UF28" s="11"/>
      <c r="UG28" s="11"/>
      <c r="UH28" s="11"/>
      <c r="UI28" s="11"/>
      <c r="UJ28" s="11"/>
      <c r="UK28" s="11"/>
      <c r="UL28" s="11"/>
      <c r="UM28" s="11"/>
      <c r="UN28" s="11"/>
      <c r="UO28" s="11"/>
      <c r="UP28" s="11"/>
      <c r="UQ28" s="11"/>
      <c r="UR28" s="11"/>
      <c r="US28" s="11"/>
      <c r="UT28" s="11"/>
      <c r="UU28" s="11"/>
      <c r="UV28" s="11"/>
      <c r="UW28" s="11"/>
      <c r="UX28" s="11"/>
      <c r="UY28" s="11"/>
      <c r="UZ28" s="11"/>
      <c r="VA28" s="11"/>
      <c r="VB28" s="11"/>
      <c r="VC28" s="11"/>
      <c r="VD28" s="11"/>
      <c r="VE28" s="11"/>
      <c r="VF28" s="11"/>
      <c r="VG28" s="11"/>
      <c r="VH28" s="11"/>
      <c r="VI28" s="11"/>
      <c r="VJ28" s="11"/>
      <c r="VK28" s="11"/>
      <c r="VL28" s="11"/>
      <c r="VM28" s="11"/>
      <c r="VN28" s="11"/>
      <c r="VO28" s="11"/>
      <c r="VP28" s="11"/>
      <c r="VQ28" s="11"/>
      <c r="VR28" s="11"/>
      <c r="VS28" s="11"/>
      <c r="VT28" s="11"/>
      <c r="VU28" s="11"/>
      <c r="VV28" s="11"/>
      <c r="VW28" s="11"/>
      <c r="VX28" s="11"/>
      <c r="VY28" s="11"/>
      <c r="VZ28" s="11"/>
      <c r="WA28" s="11"/>
      <c r="WB28" s="11"/>
      <c r="WC28" s="11"/>
      <c r="WD28" s="11"/>
      <c r="WE28" s="11"/>
      <c r="WF28" s="11"/>
      <c r="WG28" s="11"/>
      <c r="WH28" s="11"/>
      <c r="WI28" s="11"/>
      <c r="WJ28" s="11"/>
      <c r="WK28" s="11"/>
      <c r="WL28" s="11"/>
      <c r="WM28" s="11"/>
      <c r="WN28" s="11"/>
      <c r="WO28" s="11"/>
      <c r="WP28" s="11"/>
      <c r="WQ28" s="11"/>
      <c r="WR28" s="11"/>
      <c r="WS28" s="11"/>
      <c r="WT28" s="11"/>
      <c r="WU28" s="11"/>
      <c r="WV28" s="11"/>
      <c r="WW28" s="11"/>
      <c r="WX28" s="11"/>
      <c r="WY28" s="11"/>
      <c r="WZ28" s="11"/>
      <c r="XA28" s="11"/>
      <c r="XB28" s="11"/>
      <c r="XC28" s="11"/>
      <c r="XD28" s="11"/>
      <c r="XE28" s="11"/>
      <c r="XF28" s="11"/>
      <c r="XG28" s="11"/>
      <c r="XH28" s="11"/>
      <c r="XI28" s="11"/>
      <c r="XJ28" s="11"/>
      <c r="XK28" s="11"/>
      <c r="XL28" s="11"/>
      <c r="XM28" s="11"/>
      <c r="XN28" s="11"/>
      <c r="XO28" s="11"/>
      <c r="XP28" s="11"/>
      <c r="XQ28" s="11"/>
      <c r="XR28" s="11"/>
      <c r="XS28" s="11"/>
      <c r="XT28" s="11"/>
      <c r="XU28" s="11"/>
      <c r="XV28" s="11"/>
      <c r="XW28" s="11"/>
      <c r="XX28" s="11"/>
      <c r="XY28" s="11"/>
      <c r="XZ28" s="11"/>
      <c r="YA28" s="11"/>
      <c r="YB28" s="11"/>
      <c r="YC28" s="11"/>
      <c r="YD28" s="11"/>
      <c r="YE28" s="11"/>
      <c r="YF28" s="11"/>
      <c r="YG28" s="11"/>
      <c r="YH28" s="11"/>
      <c r="YI28" s="11"/>
      <c r="YJ28" s="11"/>
      <c r="YK28" s="11"/>
      <c r="YL28" s="11"/>
      <c r="YM28" s="11"/>
      <c r="YN28" s="11"/>
      <c r="YO28" s="11"/>
      <c r="YP28" s="11"/>
      <c r="YQ28" s="11"/>
      <c r="YR28" s="11"/>
      <c r="YS28" s="11"/>
      <c r="YT28" s="11"/>
      <c r="YU28" s="11"/>
      <c r="YV28" s="11"/>
      <c r="YW28" s="11"/>
      <c r="YX28" s="11"/>
      <c r="YY28" s="11"/>
      <c r="YZ28" s="11"/>
      <c r="ZA28" s="11"/>
      <c r="ZB28" s="11"/>
      <c r="ZC28" s="11"/>
      <c r="ZD28" s="11"/>
      <c r="ZE28" s="11"/>
      <c r="ZF28" s="11"/>
      <c r="ZG28" s="11"/>
      <c r="ZH28" s="11"/>
      <c r="ZI28" s="11"/>
      <c r="ZJ28" s="11"/>
      <c r="ZK28" s="11"/>
      <c r="ZL28" s="11"/>
      <c r="ZM28" s="11"/>
      <c r="ZN28" s="11"/>
      <c r="ZO28" s="11"/>
      <c r="ZP28" s="11"/>
      <c r="ZQ28" s="11"/>
      <c r="ZR28" s="11"/>
      <c r="ZS28" s="11"/>
      <c r="ZT28" s="11"/>
      <c r="ZU28" s="11"/>
      <c r="ZV28" s="11"/>
      <c r="ZW28" s="11"/>
      <c r="ZX28" s="11"/>
      <c r="ZY28" s="11"/>
      <c r="ZZ28" s="11"/>
      <c r="AAA28" s="11"/>
      <c r="AAB28" s="11"/>
      <c r="AAC28" s="11"/>
      <c r="AAD28" s="11"/>
      <c r="AAE28" s="11"/>
      <c r="AAF28" s="11"/>
      <c r="AAG28" s="11"/>
      <c r="AAH28" s="11"/>
      <c r="AAI28" s="11"/>
      <c r="AAJ28" s="11"/>
      <c r="AAK28" s="11"/>
      <c r="AAL28" s="11"/>
    </row>
    <row r="29" spans="26:714" s="6" customFormat="1" x14ac:dyDescent="0.3">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11"/>
      <c r="CR29" s="11"/>
      <c r="CS29" s="11"/>
      <c r="CT29" s="11"/>
      <c r="CU29" s="11"/>
      <c r="CV29" s="11"/>
      <c r="CW29" s="11"/>
      <c r="CX29" s="11"/>
      <c r="CY29" s="11"/>
      <c r="CZ29" s="11"/>
      <c r="DA29" s="11"/>
      <c r="DB29" s="11"/>
      <c r="DC29" s="11"/>
      <c r="DD29" s="11"/>
      <c r="DE29" s="11"/>
      <c r="DF29" s="11"/>
      <c r="DG29" s="11"/>
      <c r="DH29" s="11"/>
      <c r="DI29" s="11"/>
      <c r="DJ29" s="11"/>
      <c r="DK29" s="11"/>
      <c r="DL29" s="11"/>
      <c r="DM29" s="11"/>
      <c r="DN29" s="11"/>
      <c r="DO29" s="11"/>
      <c r="DP29" s="11"/>
      <c r="DQ29" s="11"/>
      <c r="DR29" s="11"/>
      <c r="DS29" s="11"/>
      <c r="DT29" s="11"/>
      <c r="DU29" s="11"/>
      <c r="DV29" s="11"/>
      <c r="DW29" s="11"/>
      <c r="DX29" s="11"/>
      <c r="DY29" s="11"/>
      <c r="DZ29" s="11"/>
      <c r="EA29" s="11"/>
      <c r="EB29" s="11"/>
      <c r="EC29" s="11"/>
      <c r="ED29" s="11"/>
      <c r="EE29" s="11"/>
      <c r="EF29" s="11"/>
      <c r="EG29" s="11"/>
      <c r="EH29" s="11"/>
      <c r="EI29" s="11"/>
      <c r="EJ29" s="11"/>
      <c r="EK29" s="11"/>
      <c r="EL29" s="11"/>
      <c r="EM29" s="11"/>
      <c r="EN29" s="11"/>
      <c r="EO29" s="11"/>
      <c r="EP29" s="11"/>
      <c r="EQ29" s="11"/>
      <c r="ER29" s="11"/>
      <c r="ES29" s="11"/>
      <c r="ET29" s="11"/>
      <c r="EU29" s="11"/>
      <c r="EV29" s="11"/>
      <c r="EW29" s="11"/>
      <c r="EX29" s="11"/>
      <c r="EY29" s="11"/>
      <c r="EZ29" s="11"/>
      <c r="FA29" s="11"/>
      <c r="FB29" s="11"/>
      <c r="FC29" s="11"/>
      <c r="FD29" s="11"/>
      <c r="FE29" s="11"/>
      <c r="FF29" s="11"/>
      <c r="FG29" s="11"/>
      <c r="FH29" s="11"/>
      <c r="FI29" s="11"/>
      <c r="FJ29" s="11"/>
      <c r="FK29" s="11"/>
      <c r="FL29" s="11"/>
      <c r="FM29" s="11"/>
      <c r="FN29" s="11"/>
      <c r="FO29" s="11"/>
      <c r="FP29" s="11"/>
      <c r="FQ29" s="11"/>
      <c r="FR29" s="11"/>
      <c r="FS29" s="11"/>
      <c r="FT29" s="11"/>
      <c r="FU29" s="11"/>
      <c r="FV29" s="11"/>
      <c r="FW29" s="11"/>
      <c r="FX29" s="11"/>
      <c r="FY29" s="11"/>
      <c r="FZ29" s="11"/>
      <c r="GA29" s="11"/>
      <c r="GB29" s="11"/>
      <c r="GC29" s="11"/>
      <c r="GD29" s="11"/>
      <c r="GE29" s="11"/>
      <c r="GF29" s="11"/>
      <c r="GG29" s="11"/>
      <c r="GH29" s="11"/>
      <c r="GI29" s="11"/>
      <c r="GJ29" s="11"/>
      <c r="GK29" s="11"/>
      <c r="GL29" s="11"/>
      <c r="GM29" s="11"/>
      <c r="GN29" s="11"/>
      <c r="GO29" s="11"/>
      <c r="GP29" s="11"/>
      <c r="GQ29" s="11"/>
      <c r="GR29" s="11"/>
      <c r="GS29" s="11"/>
      <c r="GT29" s="11"/>
      <c r="GU29" s="11"/>
      <c r="GV29" s="11"/>
      <c r="GW29" s="11"/>
      <c r="GX29" s="11"/>
      <c r="GY29" s="11"/>
      <c r="GZ29" s="11"/>
      <c r="HA29" s="11"/>
      <c r="HB29" s="11"/>
      <c r="HC29" s="11"/>
      <c r="HD29" s="11"/>
      <c r="HE29" s="11"/>
      <c r="HF29" s="11"/>
      <c r="HG29" s="11"/>
      <c r="HH29" s="11"/>
      <c r="HI29" s="11"/>
      <c r="HJ29" s="11"/>
      <c r="HK29" s="11"/>
      <c r="HL29" s="11"/>
      <c r="HM29" s="11"/>
      <c r="HN29" s="11"/>
      <c r="HO29" s="11"/>
      <c r="HP29" s="11"/>
      <c r="HQ29" s="11"/>
      <c r="HR29" s="11"/>
      <c r="HS29" s="11"/>
      <c r="HT29" s="11"/>
      <c r="HU29" s="11"/>
      <c r="HV29" s="11"/>
      <c r="HW29" s="11"/>
      <c r="HX29" s="11"/>
      <c r="HY29" s="11"/>
      <c r="HZ29" s="11"/>
      <c r="IA29" s="11"/>
      <c r="IB29" s="11"/>
      <c r="IC29" s="11"/>
      <c r="ID29" s="11"/>
      <c r="IE29" s="11"/>
      <c r="IF29" s="11"/>
      <c r="IG29" s="11"/>
      <c r="IH29" s="11"/>
      <c r="II29" s="11"/>
      <c r="IJ29" s="11"/>
      <c r="IK29" s="11"/>
      <c r="IL29" s="11"/>
      <c r="IM29" s="11"/>
      <c r="IN29" s="11"/>
      <c r="IO29" s="11"/>
      <c r="IP29" s="11"/>
      <c r="IQ29" s="11"/>
      <c r="IR29" s="11"/>
      <c r="IS29" s="11"/>
      <c r="IT29" s="11"/>
      <c r="IU29" s="11"/>
      <c r="IV29" s="11"/>
      <c r="IW29" s="11"/>
      <c r="IX29" s="11"/>
      <c r="IY29" s="11"/>
      <c r="IZ29" s="11"/>
      <c r="JA29" s="11"/>
      <c r="JB29" s="11"/>
      <c r="JC29" s="11"/>
      <c r="JD29" s="11"/>
      <c r="JE29" s="11"/>
      <c r="JF29" s="11"/>
      <c r="JG29" s="11"/>
      <c r="JH29" s="11"/>
      <c r="JI29" s="11"/>
      <c r="JJ29" s="11"/>
      <c r="JK29" s="11"/>
      <c r="JL29" s="11"/>
      <c r="JM29" s="11"/>
      <c r="JN29" s="11"/>
      <c r="JO29" s="11"/>
      <c r="JP29" s="11"/>
      <c r="JQ29" s="11"/>
      <c r="JR29" s="11"/>
      <c r="JS29" s="11"/>
      <c r="JT29" s="11"/>
      <c r="JU29" s="11"/>
      <c r="JV29" s="11"/>
      <c r="JW29" s="11"/>
      <c r="JX29" s="11"/>
      <c r="JY29" s="11"/>
      <c r="JZ29" s="11"/>
      <c r="KA29" s="11"/>
      <c r="KB29" s="11"/>
      <c r="KC29" s="11"/>
      <c r="KD29" s="11"/>
      <c r="KE29" s="11"/>
      <c r="KF29" s="11"/>
      <c r="KG29" s="11"/>
      <c r="KH29" s="11"/>
      <c r="KI29" s="11"/>
      <c r="KJ29" s="11"/>
      <c r="KK29" s="11"/>
      <c r="KL29" s="11"/>
      <c r="KM29" s="11"/>
      <c r="KN29" s="11"/>
      <c r="KO29" s="11"/>
      <c r="KP29" s="11"/>
      <c r="KQ29" s="11"/>
      <c r="KR29" s="11"/>
      <c r="KS29" s="11"/>
      <c r="KT29" s="11"/>
      <c r="KU29" s="11"/>
      <c r="KV29" s="11"/>
      <c r="KW29" s="11"/>
      <c r="KX29" s="11"/>
      <c r="KY29" s="11"/>
      <c r="KZ29" s="11"/>
      <c r="LA29" s="11"/>
      <c r="LB29" s="11"/>
      <c r="LC29" s="11"/>
      <c r="LD29" s="11"/>
      <c r="LE29" s="11"/>
      <c r="LF29" s="11"/>
      <c r="LG29" s="11"/>
      <c r="LH29" s="11"/>
      <c r="LI29" s="11"/>
      <c r="LJ29" s="11"/>
      <c r="LK29" s="11"/>
      <c r="LL29" s="11"/>
      <c r="LM29" s="11"/>
      <c r="LN29" s="11"/>
      <c r="LO29" s="11"/>
      <c r="LP29" s="11"/>
      <c r="LQ29" s="11"/>
      <c r="LR29" s="11"/>
      <c r="LS29" s="11"/>
      <c r="LT29" s="11"/>
      <c r="LU29" s="11"/>
      <c r="LV29" s="11"/>
      <c r="LW29" s="11"/>
      <c r="LX29" s="11"/>
      <c r="LY29" s="11"/>
      <c r="LZ29" s="11"/>
      <c r="MA29" s="11"/>
      <c r="MB29" s="11"/>
      <c r="MC29" s="11"/>
      <c r="MD29" s="11"/>
      <c r="ME29" s="11"/>
      <c r="MF29" s="11"/>
      <c r="MG29" s="11"/>
      <c r="MH29" s="11"/>
      <c r="MI29" s="11"/>
      <c r="MJ29" s="11"/>
      <c r="MK29" s="11"/>
      <c r="ML29" s="11"/>
      <c r="MM29" s="11"/>
      <c r="MN29" s="11"/>
      <c r="MO29" s="11"/>
      <c r="MP29" s="11"/>
      <c r="MQ29" s="11"/>
      <c r="MR29" s="11"/>
      <c r="MS29" s="11"/>
      <c r="MT29" s="11"/>
      <c r="MU29" s="11"/>
      <c r="MV29" s="11"/>
      <c r="MW29" s="11"/>
      <c r="MX29" s="11"/>
      <c r="MY29" s="11"/>
      <c r="MZ29" s="11"/>
      <c r="NA29" s="11"/>
      <c r="NB29" s="11"/>
      <c r="NC29" s="11"/>
      <c r="ND29" s="11"/>
      <c r="NE29" s="11"/>
      <c r="NF29" s="11"/>
      <c r="NG29" s="11"/>
      <c r="NH29" s="11"/>
      <c r="NI29" s="11"/>
      <c r="NJ29" s="11"/>
      <c r="NK29" s="11"/>
      <c r="NL29" s="11"/>
      <c r="NM29" s="11"/>
      <c r="NN29" s="11"/>
      <c r="NO29" s="11"/>
      <c r="NP29" s="11"/>
      <c r="NQ29" s="11"/>
      <c r="NR29" s="11"/>
      <c r="NS29" s="11"/>
      <c r="NT29" s="11"/>
      <c r="NU29" s="11"/>
      <c r="NV29" s="11"/>
      <c r="NW29" s="11"/>
      <c r="NX29" s="11"/>
      <c r="NY29" s="11"/>
      <c r="NZ29" s="11"/>
      <c r="OA29" s="11"/>
      <c r="OB29" s="11"/>
      <c r="OC29" s="11"/>
      <c r="OD29" s="11"/>
      <c r="OE29" s="11"/>
      <c r="OF29" s="11"/>
      <c r="OG29" s="11"/>
      <c r="OH29" s="11"/>
      <c r="OI29" s="11"/>
      <c r="OJ29" s="11"/>
      <c r="OK29" s="11"/>
      <c r="OL29" s="11"/>
      <c r="OM29" s="11"/>
      <c r="ON29" s="11"/>
      <c r="OO29" s="11"/>
      <c r="OP29" s="11"/>
      <c r="OQ29" s="11"/>
      <c r="OR29" s="11"/>
      <c r="OS29" s="11"/>
      <c r="OT29" s="11"/>
      <c r="OU29" s="11"/>
      <c r="OV29" s="11"/>
      <c r="OW29" s="11"/>
      <c r="OX29" s="11"/>
      <c r="OY29" s="11"/>
      <c r="OZ29" s="11"/>
      <c r="PA29" s="11"/>
      <c r="PB29" s="11"/>
      <c r="PC29" s="11"/>
      <c r="PD29" s="11"/>
      <c r="PE29" s="11"/>
      <c r="PF29" s="11"/>
      <c r="PG29" s="11"/>
      <c r="PH29" s="11"/>
      <c r="PI29" s="11"/>
      <c r="PJ29" s="11"/>
      <c r="PK29" s="11"/>
      <c r="PL29" s="11"/>
      <c r="PM29" s="11"/>
      <c r="PN29" s="11"/>
      <c r="PO29" s="11"/>
      <c r="PP29" s="11"/>
      <c r="PQ29" s="11"/>
      <c r="PR29" s="11"/>
      <c r="PS29" s="11"/>
      <c r="PT29" s="11"/>
      <c r="PU29" s="11"/>
      <c r="PV29" s="11"/>
      <c r="PW29" s="11"/>
      <c r="PX29" s="11"/>
      <c r="PY29" s="11"/>
      <c r="PZ29" s="11"/>
      <c r="QA29" s="11"/>
      <c r="QB29" s="11"/>
      <c r="QC29" s="11"/>
      <c r="QD29" s="11"/>
      <c r="QE29" s="11"/>
      <c r="QF29" s="11"/>
      <c r="QG29" s="11"/>
      <c r="QH29" s="11"/>
      <c r="QI29" s="11"/>
      <c r="QJ29" s="11"/>
      <c r="QK29" s="11"/>
      <c r="QL29" s="11"/>
      <c r="QM29" s="11"/>
      <c r="QN29" s="11"/>
      <c r="QO29" s="11"/>
      <c r="QP29" s="11"/>
      <c r="QQ29" s="11"/>
      <c r="QR29" s="11"/>
      <c r="QS29" s="11"/>
      <c r="QT29" s="11"/>
      <c r="QU29" s="11"/>
      <c r="QV29" s="11"/>
      <c r="QW29" s="11"/>
      <c r="QX29" s="11"/>
      <c r="QY29" s="11"/>
      <c r="QZ29" s="11"/>
      <c r="RA29" s="11"/>
      <c r="RB29" s="11"/>
      <c r="RC29" s="11"/>
      <c r="RD29" s="11"/>
      <c r="RE29" s="11"/>
      <c r="RF29" s="11"/>
      <c r="RG29" s="11"/>
      <c r="RH29" s="11"/>
      <c r="RI29" s="11"/>
      <c r="RJ29" s="11"/>
      <c r="RK29" s="11"/>
      <c r="RL29" s="11"/>
      <c r="RM29" s="11"/>
      <c r="RN29" s="11"/>
      <c r="RO29" s="11"/>
      <c r="RP29" s="11"/>
      <c r="RQ29" s="11"/>
      <c r="RR29" s="11"/>
      <c r="RS29" s="11"/>
      <c r="RT29" s="11"/>
      <c r="RU29" s="11"/>
      <c r="RV29" s="11"/>
      <c r="RW29" s="11"/>
      <c r="RX29" s="11"/>
      <c r="RY29" s="11"/>
      <c r="RZ29" s="11"/>
      <c r="SA29" s="11"/>
      <c r="SB29" s="11"/>
      <c r="SC29" s="11"/>
      <c r="SD29" s="11"/>
      <c r="SE29" s="11"/>
      <c r="SF29" s="11"/>
      <c r="SG29" s="11"/>
      <c r="SH29" s="11"/>
      <c r="SI29" s="11"/>
      <c r="SJ29" s="11"/>
      <c r="SK29" s="11"/>
      <c r="SL29" s="11"/>
      <c r="SM29" s="11"/>
      <c r="SN29" s="11"/>
      <c r="SO29" s="11"/>
      <c r="SP29" s="11"/>
      <c r="SQ29" s="11"/>
      <c r="SR29" s="11"/>
      <c r="SS29" s="11"/>
      <c r="ST29" s="11"/>
      <c r="SU29" s="11"/>
      <c r="SV29" s="11"/>
      <c r="SW29" s="11"/>
      <c r="SX29" s="11"/>
      <c r="SY29" s="11"/>
      <c r="SZ29" s="11"/>
      <c r="TA29" s="11"/>
      <c r="TB29" s="11"/>
      <c r="TC29" s="11"/>
      <c r="TD29" s="11"/>
      <c r="TE29" s="11"/>
      <c r="TF29" s="11"/>
      <c r="TG29" s="11"/>
      <c r="TH29" s="11"/>
      <c r="TI29" s="11"/>
      <c r="TJ29" s="11"/>
      <c r="TK29" s="11"/>
      <c r="TL29" s="11"/>
      <c r="TM29" s="11"/>
      <c r="TN29" s="11"/>
      <c r="TO29" s="11"/>
      <c r="TP29" s="11"/>
      <c r="TQ29" s="11"/>
      <c r="TR29" s="11"/>
      <c r="TS29" s="11"/>
      <c r="TT29" s="11"/>
      <c r="TU29" s="11"/>
      <c r="TV29" s="11"/>
      <c r="TW29" s="11"/>
      <c r="TX29" s="11"/>
      <c r="TY29" s="11"/>
      <c r="TZ29" s="11"/>
      <c r="UA29" s="11"/>
      <c r="UB29" s="11"/>
      <c r="UC29" s="11"/>
      <c r="UD29" s="11"/>
      <c r="UE29" s="11"/>
      <c r="UF29" s="11"/>
      <c r="UG29" s="11"/>
      <c r="UH29" s="11"/>
      <c r="UI29" s="11"/>
      <c r="UJ29" s="11"/>
      <c r="UK29" s="11"/>
      <c r="UL29" s="11"/>
      <c r="UM29" s="11"/>
      <c r="UN29" s="11"/>
      <c r="UO29" s="11"/>
      <c r="UP29" s="11"/>
      <c r="UQ29" s="11"/>
      <c r="UR29" s="11"/>
      <c r="US29" s="11"/>
      <c r="UT29" s="11"/>
      <c r="UU29" s="11"/>
      <c r="UV29" s="11"/>
      <c r="UW29" s="11"/>
      <c r="UX29" s="11"/>
      <c r="UY29" s="11"/>
      <c r="UZ29" s="11"/>
      <c r="VA29" s="11"/>
      <c r="VB29" s="11"/>
      <c r="VC29" s="11"/>
      <c r="VD29" s="11"/>
      <c r="VE29" s="11"/>
      <c r="VF29" s="11"/>
      <c r="VG29" s="11"/>
      <c r="VH29" s="11"/>
      <c r="VI29" s="11"/>
      <c r="VJ29" s="11"/>
      <c r="VK29" s="11"/>
      <c r="VL29" s="11"/>
      <c r="VM29" s="11"/>
      <c r="VN29" s="11"/>
      <c r="VO29" s="11"/>
      <c r="VP29" s="11"/>
      <c r="VQ29" s="11"/>
      <c r="VR29" s="11"/>
      <c r="VS29" s="11"/>
      <c r="VT29" s="11"/>
      <c r="VU29" s="11"/>
      <c r="VV29" s="11"/>
      <c r="VW29" s="11"/>
      <c r="VX29" s="11"/>
      <c r="VY29" s="11"/>
      <c r="VZ29" s="11"/>
      <c r="WA29" s="11"/>
      <c r="WB29" s="11"/>
      <c r="WC29" s="11"/>
      <c r="WD29" s="11"/>
      <c r="WE29" s="11"/>
      <c r="WF29" s="11"/>
      <c r="WG29" s="11"/>
      <c r="WH29" s="11"/>
      <c r="WI29" s="11"/>
      <c r="WJ29" s="11"/>
      <c r="WK29" s="11"/>
      <c r="WL29" s="11"/>
      <c r="WM29" s="11"/>
      <c r="WN29" s="11"/>
      <c r="WO29" s="11"/>
      <c r="WP29" s="11"/>
      <c r="WQ29" s="11"/>
      <c r="WR29" s="11"/>
      <c r="WS29" s="11"/>
      <c r="WT29" s="11"/>
      <c r="WU29" s="11"/>
      <c r="WV29" s="11"/>
      <c r="WW29" s="11"/>
      <c r="WX29" s="11"/>
      <c r="WY29" s="11"/>
      <c r="WZ29" s="11"/>
      <c r="XA29" s="11"/>
      <c r="XB29" s="11"/>
      <c r="XC29" s="11"/>
      <c r="XD29" s="11"/>
      <c r="XE29" s="11"/>
      <c r="XF29" s="11"/>
      <c r="XG29" s="11"/>
      <c r="XH29" s="11"/>
      <c r="XI29" s="11"/>
      <c r="XJ29" s="11"/>
      <c r="XK29" s="11"/>
      <c r="XL29" s="11"/>
      <c r="XM29" s="11"/>
      <c r="XN29" s="11"/>
      <c r="XO29" s="11"/>
      <c r="XP29" s="11"/>
      <c r="XQ29" s="11"/>
      <c r="XR29" s="11"/>
      <c r="XS29" s="11"/>
      <c r="XT29" s="11"/>
      <c r="XU29" s="11"/>
      <c r="XV29" s="11"/>
      <c r="XW29" s="11"/>
      <c r="XX29" s="11"/>
      <c r="XY29" s="11"/>
      <c r="XZ29" s="11"/>
      <c r="YA29" s="11"/>
      <c r="YB29" s="11"/>
      <c r="YC29" s="11"/>
      <c r="YD29" s="11"/>
      <c r="YE29" s="11"/>
      <c r="YF29" s="11"/>
      <c r="YG29" s="11"/>
      <c r="YH29" s="11"/>
      <c r="YI29" s="11"/>
      <c r="YJ29" s="11"/>
      <c r="YK29" s="11"/>
      <c r="YL29" s="11"/>
      <c r="YM29" s="11"/>
      <c r="YN29" s="11"/>
      <c r="YO29" s="11"/>
      <c r="YP29" s="11"/>
      <c r="YQ29" s="11"/>
      <c r="YR29" s="11"/>
      <c r="YS29" s="11"/>
      <c r="YT29" s="11"/>
      <c r="YU29" s="11"/>
      <c r="YV29" s="11"/>
      <c r="YW29" s="11"/>
      <c r="YX29" s="11"/>
      <c r="YY29" s="11"/>
      <c r="YZ29" s="11"/>
      <c r="ZA29" s="11"/>
      <c r="ZB29" s="11"/>
      <c r="ZC29" s="11"/>
      <c r="ZD29" s="11"/>
      <c r="ZE29" s="11"/>
      <c r="ZF29" s="11"/>
      <c r="ZG29" s="11"/>
      <c r="ZH29" s="11"/>
      <c r="ZI29" s="11"/>
      <c r="ZJ29" s="11"/>
      <c r="ZK29" s="11"/>
      <c r="ZL29" s="11"/>
      <c r="ZM29" s="11"/>
      <c r="ZN29" s="11"/>
      <c r="ZO29" s="11"/>
      <c r="ZP29" s="11"/>
      <c r="ZQ29" s="11"/>
      <c r="ZR29" s="11"/>
      <c r="ZS29" s="11"/>
      <c r="ZT29" s="11"/>
      <c r="ZU29" s="11"/>
      <c r="ZV29" s="11"/>
      <c r="ZW29" s="11"/>
      <c r="ZX29" s="11"/>
      <c r="ZY29" s="11"/>
      <c r="ZZ29" s="11"/>
      <c r="AAA29" s="11"/>
      <c r="AAB29" s="11"/>
      <c r="AAC29" s="11"/>
      <c r="AAD29" s="11"/>
      <c r="AAE29" s="11"/>
      <c r="AAF29" s="11"/>
      <c r="AAG29" s="11"/>
      <c r="AAH29" s="11"/>
      <c r="AAI29" s="11"/>
      <c r="AAJ29" s="11"/>
      <c r="AAK29" s="11"/>
      <c r="AAL29" s="11"/>
    </row>
    <row r="30" spans="26:714" s="6" customFormat="1" x14ac:dyDescent="0.3">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11"/>
      <c r="CR30" s="11"/>
      <c r="CS30" s="11"/>
      <c r="CT30" s="11"/>
      <c r="CU30" s="11"/>
      <c r="CV30" s="11"/>
      <c r="CW30" s="11"/>
      <c r="CX30" s="11"/>
      <c r="CY30" s="11"/>
      <c r="CZ30" s="11"/>
      <c r="DA30" s="11"/>
      <c r="DB30" s="11"/>
      <c r="DC30" s="11"/>
      <c r="DD30" s="11"/>
      <c r="DE30" s="11"/>
      <c r="DF30" s="11"/>
      <c r="DG30" s="11"/>
      <c r="DH30" s="11"/>
      <c r="DI30" s="11"/>
      <c r="DJ30" s="11"/>
      <c r="DK30" s="11"/>
      <c r="DL30" s="11"/>
      <c r="DM30" s="11"/>
      <c r="DN30" s="11"/>
      <c r="DO30" s="11"/>
      <c r="DP30" s="11"/>
      <c r="DQ30" s="11"/>
      <c r="DR30" s="11"/>
      <c r="DS30" s="11"/>
      <c r="DT30" s="11"/>
      <c r="DU30" s="11"/>
      <c r="DV30" s="11"/>
      <c r="DW30" s="11"/>
      <c r="DX30" s="11"/>
      <c r="DY30" s="11"/>
      <c r="DZ30" s="11"/>
      <c r="EA30" s="11"/>
      <c r="EB30" s="11"/>
      <c r="EC30" s="11"/>
      <c r="ED30" s="11"/>
      <c r="EE30" s="11"/>
      <c r="EF30" s="11"/>
      <c r="EG30" s="11"/>
      <c r="EH30" s="11"/>
      <c r="EI30" s="11"/>
      <c r="EJ30" s="11"/>
      <c r="EK30" s="11"/>
      <c r="EL30" s="11"/>
      <c r="EM30" s="11"/>
      <c r="EN30" s="11"/>
      <c r="EO30" s="11"/>
      <c r="EP30" s="11"/>
      <c r="EQ30" s="11"/>
      <c r="ER30" s="11"/>
      <c r="ES30" s="11"/>
      <c r="ET30" s="11"/>
      <c r="EU30" s="11"/>
      <c r="EV30" s="11"/>
      <c r="EW30" s="11"/>
      <c r="EX30" s="11"/>
      <c r="EY30" s="11"/>
      <c r="EZ30" s="11"/>
      <c r="FA30" s="11"/>
      <c r="FB30" s="11"/>
      <c r="FC30" s="11"/>
      <c r="FD30" s="11"/>
      <c r="FE30" s="11"/>
      <c r="FF30" s="11"/>
      <c r="FG30" s="11"/>
      <c r="FH30" s="11"/>
      <c r="FI30" s="11"/>
      <c r="FJ30" s="11"/>
      <c r="FK30" s="11"/>
      <c r="FL30" s="11"/>
      <c r="FM30" s="11"/>
      <c r="FN30" s="11"/>
      <c r="FO30" s="11"/>
      <c r="FP30" s="11"/>
      <c r="FQ30" s="11"/>
      <c r="FR30" s="11"/>
      <c r="FS30" s="11"/>
      <c r="FT30" s="11"/>
      <c r="FU30" s="11"/>
      <c r="FV30" s="11"/>
      <c r="FW30" s="11"/>
      <c r="FX30" s="11"/>
      <c r="FY30" s="11"/>
      <c r="FZ30" s="11"/>
      <c r="GA30" s="11"/>
      <c r="GB30" s="11"/>
      <c r="GC30" s="11"/>
      <c r="GD30" s="11"/>
      <c r="GE30" s="11"/>
      <c r="GF30" s="11"/>
      <c r="GG30" s="11"/>
      <c r="GH30" s="11"/>
      <c r="GI30" s="11"/>
      <c r="GJ30" s="11"/>
      <c r="GK30" s="11"/>
      <c r="GL30" s="11"/>
      <c r="GM30" s="11"/>
      <c r="GN30" s="11"/>
      <c r="GO30" s="11"/>
      <c r="GP30" s="11"/>
      <c r="GQ30" s="11"/>
      <c r="GR30" s="11"/>
      <c r="GS30" s="11"/>
      <c r="GT30" s="11"/>
      <c r="GU30" s="11"/>
      <c r="GV30" s="11"/>
      <c r="GW30" s="11"/>
      <c r="GX30" s="11"/>
      <c r="GY30" s="11"/>
      <c r="GZ30" s="11"/>
      <c r="HA30" s="11"/>
      <c r="HB30" s="11"/>
      <c r="HC30" s="11"/>
      <c r="HD30" s="11"/>
      <c r="HE30" s="11"/>
      <c r="HF30" s="11"/>
      <c r="HG30" s="11"/>
      <c r="HH30" s="11"/>
      <c r="HI30" s="11"/>
      <c r="HJ30" s="11"/>
      <c r="HK30" s="11"/>
      <c r="HL30" s="11"/>
      <c r="HM30" s="11"/>
      <c r="HN30" s="11"/>
      <c r="HO30" s="11"/>
      <c r="HP30" s="11"/>
      <c r="HQ30" s="11"/>
      <c r="HR30" s="11"/>
      <c r="HS30" s="11"/>
      <c r="HT30" s="11"/>
      <c r="HU30" s="11"/>
      <c r="HV30" s="11"/>
      <c r="HW30" s="11"/>
      <c r="HX30" s="11"/>
      <c r="HY30" s="11"/>
      <c r="HZ30" s="11"/>
      <c r="IA30" s="11"/>
      <c r="IB30" s="11"/>
      <c r="IC30" s="11"/>
      <c r="ID30" s="11"/>
      <c r="IE30" s="11"/>
      <c r="IF30" s="11"/>
      <c r="IG30" s="11"/>
      <c r="IH30" s="11"/>
      <c r="II30" s="11"/>
      <c r="IJ30" s="11"/>
      <c r="IK30" s="11"/>
      <c r="IL30" s="11"/>
      <c r="IM30" s="11"/>
      <c r="IN30" s="11"/>
      <c r="IO30" s="11"/>
      <c r="IP30" s="11"/>
      <c r="IQ30" s="11"/>
      <c r="IR30" s="11"/>
      <c r="IS30" s="11"/>
      <c r="IT30" s="11"/>
      <c r="IU30" s="11"/>
      <c r="IV30" s="11"/>
      <c r="IW30" s="11"/>
      <c r="IX30" s="11"/>
      <c r="IY30" s="11"/>
      <c r="IZ30" s="11"/>
      <c r="JA30" s="11"/>
      <c r="JB30" s="11"/>
      <c r="JC30" s="11"/>
      <c r="JD30" s="11"/>
      <c r="JE30" s="11"/>
      <c r="JF30" s="11"/>
      <c r="JG30" s="11"/>
      <c r="JH30" s="11"/>
      <c r="JI30" s="11"/>
      <c r="JJ30" s="11"/>
      <c r="JK30" s="11"/>
      <c r="JL30" s="11"/>
      <c r="JM30" s="11"/>
      <c r="JN30" s="11"/>
      <c r="JO30" s="11"/>
      <c r="JP30" s="11"/>
      <c r="JQ30" s="11"/>
      <c r="JR30" s="11"/>
      <c r="JS30" s="11"/>
      <c r="JT30" s="11"/>
      <c r="JU30" s="11"/>
      <c r="JV30" s="11"/>
      <c r="JW30" s="11"/>
      <c r="JX30" s="11"/>
      <c r="JY30" s="11"/>
      <c r="JZ30" s="11"/>
      <c r="KA30" s="11"/>
      <c r="KB30" s="11"/>
      <c r="KC30" s="11"/>
      <c r="KD30" s="11"/>
      <c r="KE30" s="11"/>
      <c r="KF30" s="11"/>
      <c r="KG30" s="11"/>
      <c r="KH30" s="11"/>
      <c r="KI30" s="11"/>
      <c r="KJ30" s="11"/>
      <c r="KK30" s="11"/>
      <c r="KL30" s="11"/>
      <c r="KM30" s="11"/>
      <c r="KN30" s="11"/>
      <c r="KO30" s="11"/>
      <c r="KP30" s="11"/>
      <c r="KQ30" s="11"/>
      <c r="KR30" s="11"/>
      <c r="KS30" s="11"/>
      <c r="KT30" s="11"/>
      <c r="KU30" s="11"/>
      <c r="KV30" s="11"/>
      <c r="KW30" s="11"/>
      <c r="KX30" s="11"/>
      <c r="KY30" s="11"/>
      <c r="KZ30" s="11"/>
      <c r="LA30" s="11"/>
      <c r="LB30" s="11"/>
      <c r="LC30" s="11"/>
      <c r="LD30" s="11"/>
      <c r="LE30" s="11"/>
      <c r="LF30" s="11"/>
      <c r="LG30" s="11"/>
      <c r="LH30" s="11"/>
      <c r="LI30" s="11"/>
      <c r="LJ30" s="11"/>
      <c r="LK30" s="11"/>
      <c r="LL30" s="11"/>
      <c r="LM30" s="11"/>
      <c r="LN30" s="11"/>
      <c r="LO30" s="11"/>
      <c r="LP30" s="11"/>
      <c r="LQ30" s="11"/>
      <c r="LR30" s="11"/>
      <c r="LS30" s="11"/>
      <c r="LT30" s="11"/>
      <c r="LU30" s="11"/>
      <c r="LV30" s="11"/>
      <c r="LW30" s="11"/>
      <c r="LX30" s="11"/>
      <c r="LY30" s="11"/>
      <c r="LZ30" s="11"/>
      <c r="MA30" s="11"/>
      <c r="MB30" s="11"/>
      <c r="MC30" s="11"/>
      <c r="MD30" s="11"/>
      <c r="ME30" s="11"/>
      <c r="MF30" s="11"/>
      <c r="MG30" s="11"/>
      <c r="MH30" s="11"/>
      <c r="MI30" s="11"/>
      <c r="MJ30" s="11"/>
      <c r="MK30" s="11"/>
      <c r="ML30" s="11"/>
      <c r="MM30" s="11"/>
      <c r="MN30" s="11"/>
      <c r="MO30" s="11"/>
      <c r="MP30" s="11"/>
      <c r="MQ30" s="11"/>
      <c r="MR30" s="11"/>
      <c r="MS30" s="11"/>
      <c r="MT30" s="11"/>
      <c r="MU30" s="11"/>
      <c r="MV30" s="11"/>
      <c r="MW30" s="11"/>
      <c r="MX30" s="11"/>
      <c r="MY30" s="11"/>
      <c r="MZ30" s="11"/>
      <c r="NA30" s="11"/>
      <c r="NB30" s="11"/>
      <c r="NC30" s="11"/>
      <c r="ND30" s="11"/>
      <c r="NE30" s="11"/>
      <c r="NF30" s="11"/>
      <c r="NG30" s="11"/>
      <c r="NH30" s="11"/>
      <c r="NI30" s="11"/>
      <c r="NJ30" s="11"/>
      <c r="NK30" s="11"/>
      <c r="NL30" s="11"/>
      <c r="NM30" s="11"/>
      <c r="NN30" s="11"/>
      <c r="NO30" s="11"/>
      <c r="NP30" s="11"/>
      <c r="NQ30" s="11"/>
      <c r="NR30" s="11"/>
      <c r="NS30" s="11"/>
      <c r="NT30" s="11"/>
      <c r="NU30" s="11"/>
      <c r="NV30" s="11"/>
      <c r="NW30" s="11"/>
      <c r="NX30" s="11"/>
      <c r="NY30" s="11"/>
      <c r="NZ30" s="11"/>
      <c r="OA30" s="11"/>
      <c r="OB30" s="11"/>
      <c r="OC30" s="11"/>
      <c r="OD30" s="11"/>
      <c r="OE30" s="11"/>
      <c r="OF30" s="11"/>
      <c r="OG30" s="11"/>
      <c r="OH30" s="11"/>
      <c r="OI30" s="11"/>
      <c r="OJ30" s="11"/>
      <c r="OK30" s="11"/>
      <c r="OL30" s="11"/>
      <c r="OM30" s="11"/>
      <c r="ON30" s="11"/>
      <c r="OO30" s="11"/>
      <c r="OP30" s="11"/>
      <c r="OQ30" s="11"/>
      <c r="OR30" s="11"/>
      <c r="OS30" s="11"/>
      <c r="OT30" s="11"/>
      <c r="OU30" s="11"/>
      <c r="OV30" s="11"/>
      <c r="OW30" s="11"/>
      <c r="OX30" s="11"/>
      <c r="OY30" s="11"/>
      <c r="OZ30" s="11"/>
      <c r="PA30" s="11"/>
      <c r="PB30" s="11"/>
      <c r="PC30" s="11"/>
      <c r="PD30" s="11"/>
      <c r="PE30" s="11"/>
      <c r="PF30" s="11"/>
      <c r="PG30" s="11"/>
      <c r="PH30" s="11"/>
      <c r="PI30" s="11"/>
      <c r="PJ30" s="11"/>
      <c r="PK30" s="11"/>
      <c r="PL30" s="11"/>
      <c r="PM30" s="11"/>
      <c r="PN30" s="11"/>
      <c r="PO30" s="11"/>
      <c r="PP30" s="11"/>
      <c r="PQ30" s="11"/>
      <c r="PR30" s="11"/>
      <c r="PS30" s="11"/>
      <c r="PT30" s="11"/>
      <c r="PU30" s="11"/>
      <c r="PV30" s="11"/>
      <c r="PW30" s="11"/>
      <c r="PX30" s="11"/>
      <c r="PY30" s="11"/>
      <c r="PZ30" s="11"/>
      <c r="QA30" s="11"/>
      <c r="QB30" s="11"/>
      <c r="QC30" s="11"/>
      <c r="QD30" s="11"/>
      <c r="QE30" s="11"/>
      <c r="QF30" s="11"/>
      <c r="QG30" s="11"/>
      <c r="QH30" s="11"/>
      <c r="QI30" s="11"/>
      <c r="QJ30" s="11"/>
      <c r="QK30" s="11"/>
      <c r="QL30" s="11"/>
      <c r="QM30" s="11"/>
      <c r="QN30" s="11"/>
      <c r="QO30" s="11"/>
      <c r="QP30" s="11"/>
      <c r="QQ30" s="11"/>
      <c r="QR30" s="11"/>
      <c r="QS30" s="11"/>
      <c r="QT30" s="11"/>
      <c r="QU30" s="11"/>
      <c r="QV30" s="11"/>
      <c r="QW30" s="11"/>
      <c r="QX30" s="11"/>
      <c r="QY30" s="11"/>
      <c r="QZ30" s="11"/>
      <c r="RA30" s="11"/>
      <c r="RB30" s="11"/>
      <c r="RC30" s="11"/>
      <c r="RD30" s="11"/>
      <c r="RE30" s="11"/>
      <c r="RF30" s="11"/>
      <c r="RG30" s="11"/>
      <c r="RH30" s="11"/>
      <c r="RI30" s="11"/>
      <c r="RJ30" s="11"/>
      <c r="RK30" s="11"/>
      <c r="RL30" s="11"/>
      <c r="RM30" s="11"/>
      <c r="RN30" s="11"/>
      <c r="RO30" s="11"/>
      <c r="RP30" s="11"/>
      <c r="RQ30" s="11"/>
      <c r="RR30" s="11"/>
      <c r="RS30" s="11"/>
      <c r="RT30" s="11"/>
      <c r="RU30" s="11"/>
      <c r="RV30" s="11"/>
      <c r="RW30" s="11"/>
      <c r="RX30" s="11"/>
      <c r="RY30" s="11"/>
      <c r="RZ30" s="11"/>
      <c r="SA30" s="11"/>
      <c r="SB30" s="11"/>
      <c r="SC30" s="11"/>
      <c r="SD30" s="11"/>
      <c r="SE30" s="11"/>
      <c r="SF30" s="11"/>
      <c r="SG30" s="11"/>
      <c r="SH30" s="11"/>
      <c r="SI30" s="11"/>
      <c r="SJ30" s="11"/>
      <c r="SK30" s="11"/>
      <c r="SL30" s="11"/>
      <c r="SM30" s="11"/>
      <c r="SN30" s="11"/>
      <c r="SO30" s="11"/>
      <c r="SP30" s="11"/>
      <c r="SQ30" s="11"/>
      <c r="SR30" s="11"/>
      <c r="SS30" s="11"/>
      <c r="ST30" s="11"/>
      <c r="SU30" s="11"/>
      <c r="SV30" s="11"/>
      <c r="SW30" s="11"/>
      <c r="SX30" s="11"/>
      <c r="SY30" s="11"/>
      <c r="SZ30" s="11"/>
      <c r="TA30" s="11"/>
      <c r="TB30" s="11"/>
      <c r="TC30" s="11"/>
      <c r="TD30" s="11"/>
      <c r="TE30" s="11"/>
      <c r="TF30" s="11"/>
      <c r="TG30" s="11"/>
      <c r="TH30" s="11"/>
      <c r="TI30" s="11"/>
      <c r="TJ30" s="11"/>
      <c r="TK30" s="11"/>
      <c r="TL30" s="11"/>
      <c r="TM30" s="11"/>
      <c r="TN30" s="11"/>
      <c r="TO30" s="11"/>
      <c r="TP30" s="11"/>
      <c r="TQ30" s="11"/>
      <c r="TR30" s="11"/>
      <c r="TS30" s="11"/>
      <c r="TT30" s="11"/>
      <c r="TU30" s="11"/>
      <c r="TV30" s="11"/>
      <c r="TW30" s="11"/>
      <c r="TX30" s="11"/>
      <c r="TY30" s="11"/>
      <c r="TZ30" s="11"/>
      <c r="UA30" s="11"/>
      <c r="UB30" s="11"/>
      <c r="UC30" s="11"/>
      <c r="UD30" s="11"/>
      <c r="UE30" s="11"/>
      <c r="UF30" s="11"/>
      <c r="UG30" s="11"/>
      <c r="UH30" s="11"/>
      <c r="UI30" s="11"/>
      <c r="UJ30" s="11"/>
      <c r="UK30" s="11"/>
      <c r="UL30" s="11"/>
      <c r="UM30" s="11"/>
      <c r="UN30" s="11"/>
      <c r="UO30" s="11"/>
      <c r="UP30" s="11"/>
      <c r="UQ30" s="11"/>
      <c r="UR30" s="11"/>
      <c r="US30" s="11"/>
      <c r="UT30" s="11"/>
      <c r="UU30" s="11"/>
      <c r="UV30" s="11"/>
      <c r="UW30" s="11"/>
      <c r="UX30" s="11"/>
      <c r="UY30" s="11"/>
      <c r="UZ30" s="11"/>
      <c r="VA30" s="11"/>
      <c r="VB30" s="11"/>
      <c r="VC30" s="11"/>
      <c r="VD30" s="11"/>
      <c r="VE30" s="11"/>
      <c r="VF30" s="11"/>
      <c r="VG30" s="11"/>
      <c r="VH30" s="11"/>
      <c r="VI30" s="11"/>
      <c r="VJ30" s="11"/>
      <c r="VK30" s="11"/>
      <c r="VL30" s="11"/>
      <c r="VM30" s="11"/>
      <c r="VN30" s="11"/>
      <c r="VO30" s="11"/>
      <c r="VP30" s="11"/>
      <c r="VQ30" s="11"/>
      <c r="VR30" s="11"/>
      <c r="VS30" s="11"/>
      <c r="VT30" s="11"/>
      <c r="VU30" s="11"/>
      <c r="VV30" s="11"/>
      <c r="VW30" s="11"/>
      <c r="VX30" s="11"/>
      <c r="VY30" s="11"/>
      <c r="VZ30" s="11"/>
      <c r="WA30" s="11"/>
      <c r="WB30" s="11"/>
      <c r="WC30" s="11"/>
      <c r="WD30" s="11"/>
      <c r="WE30" s="11"/>
      <c r="WF30" s="11"/>
      <c r="WG30" s="11"/>
      <c r="WH30" s="11"/>
      <c r="WI30" s="11"/>
      <c r="WJ30" s="11"/>
      <c r="WK30" s="11"/>
      <c r="WL30" s="11"/>
      <c r="WM30" s="11"/>
      <c r="WN30" s="11"/>
      <c r="WO30" s="11"/>
      <c r="WP30" s="11"/>
      <c r="WQ30" s="11"/>
      <c r="WR30" s="11"/>
      <c r="WS30" s="11"/>
      <c r="WT30" s="11"/>
      <c r="WU30" s="11"/>
      <c r="WV30" s="11"/>
      <c r="WW30" s="11"/>
      <c r="WX30" s="11"/>
      <c r="WY30" s="11"/>
      <c r="WZ30" s="11"/>
      <c r="XA30" s="11"/>
      <c r="XB30" s="11"/>
      <c r="XC30" s="11"/>
      <c r="XD30" s="11"/>
      <c r="XE30" s="11"/>
      <c r="XF30" s="11"/>
      <c r="XG30" s="11"/>
      <c r="XH30" s="11"/>
      <c r="XI30" s="11"/>
      <c r="XJ30" s="11"/>
      <c r="XK30" s="11"/>
      <c r="XL30" s="11"/>
      <c r="XM30" s="11"/>
      <c r="XN30" s="11"/>
      <c r="XO30" s="11"/>
      <c r="XP30" s="11"/>
      <c r="XQ30" s="11"/>
      <c r="XR30" s="11"/>
      <c r="XS30" s="11"/>
      <c r="XT30" s="11"/>
      <c r="XU30" s="11"/>
      <c r="XV30" s="11"/>
      <c r="XW30" s="11"/>
      <c r="XX30" s="11"/>
      <c r="XY30" s="11"/>
      <c r="XZ30" s="11"/>
      <c r="YA30" s="11"/>
      <c r="YB30" s="11"/>
      <c r="YC30" s="11"/>
      <c r="YD30" s="11"/>
      <c r="YE30" s="11"/>
      <c r="YF30" s="11"/>
      <c r="YG30" s="11"/>
      <c r="YH30" s="11"/>
      <c r="YI30" s="11"/>
      <c r="YJ30" s="11"/>
      <c r="YK30" s="11"/>
      <c r="YL30" s="11"/>
      <c r="YM30" s="11"/>
      <c r="YN30" s="11"/>
      <c r="YO30" s="11"/>
      <c r="YP30" s="11"/>
      <c r="YQ30" s="11"/>
      <c r="YR30" s="11"/>
      <c r="YS30" s="11"/>
      <c r="YT30" s="11"/>
      <c r="YU30" s="11"/>
      <c r="YV30" s="11"/>
      <c r="YW30" s="11"/>
      <c r="YX30" s="11"/>
      <c r="YY30" s="11"/>
      <c r="YZ30" s="11"/>
      <c r="ZA30" s="11"/>
      <c r="ZB30" s="11"/>
      <c r="ZC30" s="11"/>
      <c r="ZD30" s="11"/>
      <c r="ZE30" s="11"/>
      <c r="ZF30" s="11"/>
      <c r="ZG30" s="11"/>
      <c r="ZH30" s="11"/>
      <c r="ZI30" s="11"/>
      <c r="ZJ30" s="11"/>
      <c r="ZK30" s="11"/>
      <c r="ZL30" s="11"/>
      <c r="ZM30" s="11"/>
      <c r="ZN30" s="11"/>
      <c r="ZO30" s="11"/>
      <c r="ZP30" s="11"/>
      <c r="ZQ30" s="11"/>
      <c r="ZR30" s="11"/>
      <c r="ZS30" s="11"/>
      <c r="ZT30" s="11"/>
      <c r="ZU30" s="11"/>
      <c r="ZV30" s="11"/>
      <c r="ZW30" s="11"/>
      <c r="ZX30" s="11"/>
      <c r="ZY30" s="11"/>
      <c r="ZZ30" s="11"/>
      <c r="AAA30" s="11"/>
      <c r="AAB30" s="11"/>
      <c r="AAC30" s="11"/>
      <c r="AAD30" s="11"/>
      <c r="AAE30" s="11"/>
      <c r="AAF30" s="11"/>
      <c r="AAG30" s="11"/>
      <c r="AAH30" s="11"/>
      <c r="AAI30" s="11"/>
      <c r="AAJ30" s="11"/>
      <c r="AAK30" s="11"/>
      <c r="AAL30" s="11"/>
    </row>
    <row r="31" spans="26:714" s="6" customFormat="1" x14ac:dyDescent="0.3">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11"/>
      <c r="CR31" s="11"/>
      <c r="CS31" s="11"/>
      <c r="CT31" s="11"/>
      <c r="CU31" s="11"/>
      <c r="CV31" s="11"/>
      <c r="CW31" s="11"/>
      <c r="CX31" s="11"/>
      <c r="CY31" s="11"/>
      <c r="CZ31" s="11"/>
      <c r="DA31" s="11"/>
      <c r="DB31" s="11"/>
      <c r="DC31" s="11"/>
      <c r="DD31" s="11"/>
      <c r="DE31" s="11"/>
      <c r="DF31" s="11"/>
      <c r="DG31" s="11"/>
      <c r="DH31" s="11"/>
      <c r="DI31" s="11"/>
      <c r="DJ31" s="11"/>
      <c r="DK31" s="11"/>
      <c r="DL31" s="11"/>
      <c r="DM31" s="11"/>
      <c r="DN31" s="11"/>
      <c r="DO31" s="11"/>
      <c r="DP31" s="11"/>
      <c r="DQ31" s="11"/>
      <c r="DR31" s="11"/>
      <c r="DS31" s="11"/>
      <c r="DT31" s="11"/>
      <c r="DU31" s="11"/>
      <c r="DV31" s="11"/>
      <c r="DW31" s="11"/>
      <c r="DX31" s="11"/>
      <c r="DY31" s="11"/>
      <c r="DZ31" s="11"/>
      <c r="EA31" s="11"/>
      <c r="EB31" s="11"/>
      <c r="EC31" s="11"/>
      <c r="ED31" s="11"/>
      <c r="EE31" s="11"/>
      <c r="EF31" s="11"/>
      <c r="EG31" s="11"/>
      <c r="EH31" s="11"/>
      <c r="EI31" s="11"/>
      <c r="EJ31" s="11"/>
      <c r="EK31" s="11"/>
      <c r="EL31" s="11"/>
      <c r="EM31" s="11"/>
      <c r="EN31" s="11"/>
      <c r="EO31" s="11"/>
      <c r="EP31" s="11"/>
      <c r="EQ31" s="11"/>
      <c r="ER31" s="11"/>
      <c r="ES31" s="11"/>
      <c r="ET31" s="11"/>
      <c r="EU31" s="11"/>
      <c r="EV31" s="11"/>
      <c r="EW31" s="11"/>
      <c r="EX31" s="11"/>
      <c r="EY31" s="11"/>
      <c r="EZ31" s="11"/>
      <c r="FA31" s="11"/>
      <c r="FB31" s="11"/>
      <c r="FC31" s="11"/>
      <c r="FD31" s="11"/>
      <c r="FE31" s="11"/>
      <c r="FF31" s="11"/>
      <c r="FG31" s="11"/>
      <c r="FH31" s="11"/>
      <c r="FI31" s="11"/>
      <c r="FJ31" s="11"/>
      <c r="FK31" s="11"/>
      <c r="FL31" s="11"/>
      <c r="FM31" s="11"/>
      <c r="FN31" s="11"/>
      <c r="FO31" s="11"/>
      <c r="FP31" s="11"/>
      <c r="FQ31" s="11"/>
      <c r="FR31" s="11"/>
      <c r="FS31" s="11"/>
      <c r="FT31" s="11"/>
      <c r="FU31" s="11"/>
      <c r="FV31" s="11"/>
      <c r="FW31" s="11"/>
      <c r="FX31" s="11"/>
      <c r="FY31" s="11"/>
      <c r="FZ31" s="11"/>
      <c r="GA31" s="11"/>
      <c r="GB31" s="11"/>
      <c r="GC31" s="11"/>
      <c r="GD31" s="11"/>
      <c r="GE31" s="11"/>
      <c r="GF31" s="11"/>
      <c r="GG31" s="11"/>
      <c r="GH31" s="11"/>
      <c r="GI31" s="11"/>
      <c r="GJ31" s="11"/>
      <c r="GK31" s="11"/>
      <c r="GL31" s="11"/>
      <c r="GM31" s="11"/>
      <c r="GN31" s="11"/>
      <c r="GO31" s="11"/>
      <c r="GP31" s="11"/>
      <c r="GQ31" s="11"/>
      <c r="GR31" s="11"/>
      <c r="GS31" s="11"/>
      <c r="GT31" s="11"/>
      <c r="GU31" s="11"/>
      <c r="GV31" s="11"/>
      <c r="GW31" s="11"/>
      <c r="GX31" s="11"/>
      <c r="GY31" s="11"/>
      <c r="GZ31" s="11"/>
      <c r="HA31" s="11"/>
      <c r="HB31" s="11"/>
      <c r="HC31" s="11"/>
      <c r="HD31" s="11"/>
      <c r="HE31" s="11"/>
      <c r="HF31" s="11"/>
      <c r="HG31" s="11"/>
      <c r="HH31" s="11"/>
      <c r="HI31" s="11"/>
      <c r="HJ31" s="11"/>
      <c r="HK31" s="11"/>
      <c r="HL31" s="11"/>
      <c r="HM31" s="11"/>
      <c r="HN31" s="11"/>
      <c r="HO31" s="11"/>
      <c r="HP31" s="11"/>
      <c r="HQ31" s="11"/>
      <c r="HR31" s="11"/>
      <c r="HS31" s="11"/>
      <c r="HT31" s="11"/>
      <c r="HU31" s="11"/>
      <c r="HV31" s="11"/>
      <c r="HW31" s="11"/>
      <c r="HX31" s="11"/>
      <c r="HY31" s="11"/>
      <c r="HZ31" s="11"/>
      <c r="IA31" s="11"/>
      <c r="IB31" s="11"/>
      <c r="IC31" s="11"/>
      <c r="ID31" s="11"/>
      <c r="IE31" s="11"/>
      <c r="IF31" s="11"/>
      <c r="IG31" s="11"/>
      <c r="IH31" s="11"/>
      <c r="II31" s="11"/>
      <c r="IJ31" s="11"/>
      <c r="IK31" s="11"/>
      <c r="IL31" s="11"/>
      <c r="IM31" s="11"/>
      <c r="IN31" s="11"/>
      <c r="IO31" s="11"/>
      <c r="IP31" s="11"/>
      <c r="IQ31" s="11"/>
      <c r="IR31" s="11"/>
      <c r="IS31" s="11"/>
      <c r="IT31" s="11"/>
      <c r="IU31" s="11"/>
      <c r="IV31" s="11"/>
      <c r="IW31" s="11"/>
      <c r="IX31" s="11"/>
      <c r="IY31" s="11"/>
      <c r="IZ31" s="11"/>
      <c r="JA31" s="11"/>
      <c r="JB31" s="11"/>
      <c r="JC31" s="11"/>
      <c r="JD31" s="11"/>
      <c r="JE31" s="11"/>
      <c r="JF31" s="11"/>
      <c r="JG31" s="11"/>
      <c r="JH31" s="11"/>
      <c r="JI31" s="11"/>
      <c r="JJ31" s="11"/>
      <c r="JK31" s="11"/>
      <c r="JL31" s="11"/>
      <c r="JM31" s="11"/>
      <c r="JN31" s="11"/>
      <c r="JO31" s="11"/>
      <c r="JP31" s="11"/>
      <c r="JQ31" s="11"/>
      <c r="JR31" s="11"/>
      <c r="JS31" s="11"/>
      <c r="JT31" s="11"/>
      <c r="JU31" s="11"/>
      <c r="JV31" s="11"/>
      <c r="JW31" s="11"/>
      <c r="JX31" s="11"/>
      <c r="JY31" s="11"/>
      <c r="JZ31" s="11"/>
      <c r="KA31" s="11"/>
      <c r="KB31" s="11"/>
      <c r="KC31" s="11"/>
      <c r="KD31" s="11"/>
      <c r="KE31" s="11"/>
      <c r="KF31" s="11"/>
      <c r="KG31" s="11"/>
      <c r="KH31" s="11"/>
      <c r="KI31" s="11"/>
      <c r="KJ31" s="11"/>
      <c r="KK31" s="11"/>
      <c r="KL31" s="11"/>
      <c r="KM31" s="11"/>
      <c r="KN31" s="11"/>
      <c r="KO31" s="11"/>
      <c r="KP31" s="11"/>
      <c r="KQ31" s="11"/>
      <c r="KR31" s="11"/>
      <c r="KS31" s="11"/>
      <c r="KT31" s="11"/>
      <c r="KU31" s="11"/>
      <c r="KV31" s="11"/>
      <c r="KW31" s="11"/>
      <c r="KX31" s="11"/>
      <c r="KY31" s="11"/>
      <c r="KZ31" s="11"/>
      <c r="LA31" s="11"/>
      <c r="LB31" s="11"/>
      <c r="LC31" s="11"/>
      <c r="LD31" s="11"/>
      <c r="LE31" s="11"/>
      <c r="LF31" s="11"/>
      <c r="LG31" s="11"/>
      <c r="LH31" s="11"/>
      <c r="LI31" s="11"/>
      <c r="LJ31" s="11"/>
      <c r="LK31" s="11"/>
      <c r="LL31" s="11"/>
      <c r="LM31" s="11"/>
      <c r="LN31" s="11"/>
      <c r="LO31" s="11"/>
      <c r="LP31" s="11"/>
      <c r="LQ31" s="11"/>
      <c r="LR31" s="11"/>
      <c r="LS31" s="11"/>
      <c r="LT31" s="11"/>
      <c r="LU31" s="11"/>
      <c r="LV31" s="11"/>
      <c r="LW31" s="11"/>
      <c r="LX31" s="11"/>
      <c r="LY31" s="11"/>
      <c r="LZ31" s="11"/>
      <c r="MA31" s="11"/>
      <c r="MB31" s="11"/>
      <c r="MC31" s="11"/>
      <c r="MD31" s="11"/>
      <c r="ME31" s="11"/>
      <c r="MF31" s="11"/>
      <c r="MG31" s="11"/>
      <c r="MH31" s="11"/>
      <c r="MI31" s="11"/>
      <c r="MJ31" s="11"/>
      <c r="MK31" s="11"/>
      <c r="ML31" s="11"/>
      <c r="MM31" s="11"/>
      <c r="MN31" s="11"/>
      <c r="MO31" s="11"/>
      <c r="MP31" s="11"/>
      <c r="MQ31" s="11"/>
      <c r="MR31" s="11"/>
      <c r="MS31" s="11"/>
      <c r="MT31" s="11"/>
      <c r="MU31" s="11"/>
      <c r="MV31" s="11"/>
      <c r="MW31" s="11"/>
      <c r="MX31" s="11"/>
      <c r="MY31" s="11"/>
      <c r="MZ31" s="11"/>
      <c r="NA31" s="11"/>
      <c r="NB31" s="11"/>
      <c r="NC31" s="11"/>
      <c r="ND31" s="11"/>
      <c r="NE31" s="11"/>
      <c r="NF31" s="11"/>
      <c r="NG31" s="11"/>
      <c r="NH31" s="11"/>
      <c r="NI31" s="11"/>
      <c r="NJ31" s="11"/>
      <c r="NK31" s="11"/>
      <c r="NL31" s="11"/>
      <c r="NM31" s="11"/>
      <c r="NN31" s="11"/>
      <c r="NO31" s="11"/>
      <c r="NP31" s="11"/>
      <c r="NQ31" s="11"/>
      <c r="NR31" s="11"/>
      <c r="NS31" s="11"/>
      <c r="NT31" s="11"/>
      <c r="NU31" s="11"/>
      <c r="NV31" s="11"/>
      <c r="NW31" s="11"/>
      <c r="NX31" s="11"/>
      <c r="NY31" s="11"/>
      <c r="NZ31" s="11"/>
      <c r="OA31" s="11"/>
      <c r="OB31" s="11"/>
      <c r="OC31" s="11"/>
      <c r="OD31" s="11"/>
      <c r="OE31" s="11"/>
      <c r="OF31" s="11"/>
      <c r="OG31" s="11"/>
      <c r="OH31" s="11"/>
      <c r="OI31" s="11"/>
      <c r="OJ31" s="11"/>
      <c r="OK31" s="11"/>
      <c r="OL31" s="11"/>
      <c r="OM31" s="11"/>
      <c r="ON31" s="11"/>
      <c r="OO31" s="11"/>
      <c r="OP31" s="11"/>
      <c r="OQ31" s="11"/>
      <c r="OR31" s="11"/>
      <c r="OS31" s="11"/>
      <c r="OT31" s="11"/>
      <c r="OU31" s="11"/>
      <c r="OV31" s="11"/>
      <c r="OW31" s="11"/>
      <c r="OX31" s="11"/>
      <c r="OY31" s="11"/>
      <c r="OZ31" s="11"/>
      <c r="PA31" s="11"/>
      <c r="PB31" s="11"/>
      <c r="PC31" s="11"/>
      <c r="PD31" s="11"/>
      <c r="PE31" s="11"/>
      <c r="PF31" s="11"/>
      <c r="PG31" s="11"/>
      <c r="PH31" s="11"/>
      <c r="PI31" s="11"/>
      <c r="PJ31" s="11"/>
      <c r="PK31" s="11"/>
      <c r="PL31" s="11"/>
      <c r="PM31" s="11"/>
      <c r="PN31" s="11"/>
      <c r="PO31" s="11"/>
      <c r="PP31" s="11"/>
      <c r="PQ31" s="11"/>
      <c r="PR31" s="11"/>
      <c r="PS31" s="11"/>
      <c r="PT31" s="11"/>
      <c r="PU31" s="11"/>
      <c r="PV31" s="11"/>
      <c r="PW31" s="11"/>
      <c r="PX31" s="11"/>
      <c r="PY31" s="11"/>
      <c r="PZ31" s="11"/>
      <c r="QA31" s="11"/>
      <c r="QB31" s="11"/>
      <c r="QC31" s="11"/>
      <c r="QD31" s="11"/>
      <c r="QE31" s="11"/>
      <c r="QF31" s="11"/>
      <c r="QG31" s="11"/>
      <c r="QH31" s="11"/>
      <c r="QI31" s="11"/>
      <c r="QJ31" s="11"/>
      <c r="QK31" s="11"/>
      <c r="QL31" s="11"/>
      <c r="QM31" s="11"/>
      <c r="QN31" s="11"/>
      <c r="QO31" s="11"/>
      <c r="QP31" s="11"/>
      <c r="QQ31" s="11"/>
      <c r="QR31" s="11"/>
      <c r="QS31" s="11"/>
      <c r="QT31" s="11"/>
      <c r="QU31" s="11"/>
      <c r="QV31" s="11"/>
      <c r="QW31" s="11"/>
      <c r="QX31" s="11"/>
      <c r="QY31" s="11"/>
      <c r="QZ31" s="11"/>
      <c r="RA31" s="11"/>
      <c r="RB31" s="11"/>
      <c r="RC31" s="11"/>
      <c r="RD31" s="11"/>
      <c r="RE31" s="11"/>
      <c r="RF31" s="11"/>
      <c r="RG31" s="11"/>
      <c r="RH31" s="11"/>
      <c r="RI31" s="11"/>
      <c r="RJ31" s="11"/>
      <c r="RK31" s="11"/>
      <c r="RL31" s="11"/>
      <c r="RM31" s="11"/>
      <c r="RN31" s="11"/>
      <c r="RO31" s="11"/>
      <c r="RP31" s="11"/>
      <c r="RQ31" s="11"/>
      <c r="RR31" s="11"/>
      <c r="RS31" s="11"/>
      <c r="RT31" s="11"/>
      <c r="RU31" s="11"/>
      <c r="RV31" s="11"/>
      <c r="RW31" s="11"/>
      <c r="RX31" s="11"/>
      <c r="RY31" s="11"/>
      <c r="RZ31" s="11"/>
      <c r="SA31" s="11"/>
      <c r="SB31" s="11"/>
      <c r="SC31" s="11"/>
      <c r="SD31" s="11"/>
      <c r="SE31" s="11"/>
      <c r="SF31" s="11"/>
      <c r="SG31" s="11"/>
      <c r="SH31" s="11"/>
      <c r="SI31" s="11"/>
      <c r="SJ31" s="11"/>
      <c r="SK31" s="11"/>
      <c r="SL31" s="11"/>
      <c r="SM31" s="11"/>
      <c r="SN31" s="11"/>
      <c r="SO31" s="11"/>
      <c r="SP31" s="11"/>
      <c r="SQ31" s="11"/>
      <c r="SR31" s="11"/>
      <c r="SS31" s="11"/>
      <c r="ST31" s="11"/>
      <c r="SU31" s="11"/>
      <c r="SV31" s="11"/>
      <c r="SW31" s="11"/>
      <c r="SX31" s="11"/>
      <c r="SY31" s="11"/>
      <c r="SZ31" s="11"/>
      <c r="TA31" s="11"/>
      <c r="TB31" s="11"/>
      <c r="TC31" s="11"/>
      <c r="TD31" s="11"/>
      <c r="TE31" s="11"/>
      <c r="TF31" s="11"/>
      <c r="TG31" s="11"/>
      <c r="TH31" s="11"/>
      <c r="TI31" s="11"/>
      <c r="TJ31" s="11"/>
      <c r="TK31" s="11"/>
      <c r="TL31" s="11"/>
      <c r="TM31" s="11"/>
      <c r="TN31" s="11"/>
      <c r="TO31" s="11"/>
      <c r="TP31" s="11"/>
      <c r="TQ31" s="11"/>
      <c r="TR31" s="11"/>
      <c r="TS31" s="11"/>
      <c r="TT31" s="11"/>
      <c r="TU31" s="11"/>
      <c r="TV31" s="11"/>
      <c r="TW31" s="11"/>
      <c r="TX31" s="11"/>
      <c r="TY31" s="11"/>
      <c r="TZ31" s="11"/>
      <c r="UA31" s="11"/>
      <c r="UB31" s="11"/>
      <c r="UC31" s="11"/>
      <c r="UD31" s="11"/>
      <c r="UE31" s="11"/>
      <c r="UF31" s="11"/>
      <c r="UG31" s="11"/>
      <c r="UH31" s="11"/>
      <c r="UI31" s="11"/>
      <c r="UJ31" s="11"/>
      <c r="UK31" s="11"/>
      <c r="UL31" s="11"/>
      <c r="UM31" s="11"/>
      <c r="UN31" s="11"/>
      <c r="UO31" s="11"/>
      <c r="UP31" s="11"/>
      <c r="UQ31" s="11"/>
      <c r="UR31" s="11"/>
      <c r="US31" s="11"/>
      <c r="UT31" s="11"/>
      <c r="UU31" s="11"/>
      <c r="UV31" s="11"/>
      <c r="UW31" s="11"/>
      <c r="UX31" s="11"/>
      <c r="UY31" s="11"/>
      <c r="UZ31" s="11"/>
      <c r="VA31" s="11"/>
      <c r="VB31" s="11"/>
      <c r="VC31" s="11"/>
      <c r="VD31" s="11"/>
      <c r="VE31" s="11"/>
      <c r="VF31" s="11"/>
      <c r="VG31" s="11"/>
      <c r="VH31" s="11"/>
      <c r="VI31" s="11"/>
      <c r="VJ31" s="11"/>
      <c r="VK31" s="11"/>
      <c r="VL31" s="11"/>
      <c r="VM31" s="11"/>
      <c r="VN31" s="11"/>
      <c r="VO31" s="11"/>
      <c r="VP31" s="11"/>
      <c r="VQ31" s="11"/>
      <c r="VR31" s="11"/>
      <c r="VS31" s="11"/>
      <c r="VT31" s="11"/>
      <c r="VU31" s="11"/>
      <c r="VV31" s="11"/>
      <c r="VW31" s="11"/>
      <c r="VX31" s="11"/>
      <c r="VY31" s="11"/>
      <c r="VZ31" s="11"/>
      <c r="WA31" s="11"/>
      <c r="WB31" s="11"/>
      <c r="WC31" s="11"/>
      <c r="WD31" s="11"/>
      <c r="WE31" s="11"/>
      <c r="WF31" s="11"/>
      <c r="WG31" s="11"/>
      <c r="WH31" s="11"/>
      <c r="WI31" s="11"/>
      <c r="WJ31" s="11"/>
      <c r="WK31" s="11"/>
      <c r="WL31" s="11"/>
      <c r="WM31" s="11"/>
      <c r="WN31" s="11"/>
      <c r="WO31" s="11"/>
      <c r="WP31" s="11"/>
      <c r="WQ31" s="11"/>
      <c r="WR31" s="11"/>
      <c r="WS31" s="11"/>
      <c r="WT31" s="11"/>
      <c r="WU31" s="11"/>
      <c r="WV31" s="11"/>
      <c r="WW31" s="11"/>
      <c r="WX31" s="11"/>
      <c r="WY31" s="11"/>
      <c r="WZ31" s="11"/>
      <c r="XA31" s="11"/>
      <c r="XB31" s="11"/>
      <c r="XC31" s="11"/>
      <c r="XD31" s="11"/>
      <c r="XE31" s="11"/>
      <c r="XF31" s="11"/>
      <c r="XG31" s="11"/>
      <c r="XH31" s="11"/>
      <c r="XI31" s="11"/>
      <c r="XJ31" s="11"/>
      <c r="XK31" s="11"/>
      <c r="XL31" s="11"/>
      <c r="XM31" s="11"/>
      <c r="XN31" s="11"/>
      <c r="XO31" s="11"/>
      <c r="XP31" s="11"/>
      <c r="XQ31" s="11"/>
      <c r="XR31" s="11"/>
      <c r="XS31" s="11"/>
      <c r="XT31" s="11"/>
      <c r="XU31" s="11"/>
      <c r="XV31" s="11"/>
      <c r="XW31" s="11"/>
      <c r="XX31" s="11"/>
      <c r="XY31" s="11"/>
      <c r="XZ31" s="11"/>
      <c r="YA31" s="11"/>
      <c r="YB31" s="11"/>
      <c r="YC31" s="11"/>
      <c r="YD31" s="11"/>
      <c r="YE31" s="11"/>
      <c r="YF31" s="11"/>
      <c r="YG31" s="11"/>
      <c r="YH31" s="11"/>
      <c r="YI31" s="11"/>
      <c r="YJ31" s="11"/>
      <c r="YK31" s="11"/>
      <c r="YL31" s="11"/>
      <c r="YM31" s="11"/>
      <c r="YN31" s="11"/>
      <c r="YO31" s="11"/>
      <c r="YP31" s="11"/>
      <c r="YQ31" s="11"/>
      <c r="YR31" s="11"/>
      <c r="YS31" s="11"/>
      <c r="YT31" s="11"/>
      <c r="YU31" s="11"/>
      <c r="YV31" s="11"/>
      <c r="YW31" s="11"/>
      <c r="YX31" s="11"/>
      <c r="YY31" s="11"/>
      <c r="YZ31" s="11"/>
      <c r="ZA31" s="11"/>
      <c r="ZB31" s="11"/>
      <c r="ZC31" s="11"/>
      <c r="ZD31" s="11"/>
      <c r="ZE31" s="11"/>
      <c r="ZF31" s="11"/>
      <c r="ZG31" s="11"/>
      <c r="ZH31" s="11"/>
      <c r="ZI31" s="11"/>
      <c r="ZJ31" s="11"/>
      <c r="ZK31" s="11"/>
      <c r="ZL31" s="11"/>
      <c r="ZM31" s="11"/>
      <c r="ZN31" s="11"/>
      <c r="ZO31" s="11"/>
      <c r="ZP31" s="11"/>
      <c r="ZQ31" s="11"/>
      <c r="ZR31" s="11"/>
      <c r="ZS31" s="11"/>
      <c r="ZT31" s="11"/>
      <c r="ZU31" s="11"/>
      <c r="ZV31" s="11"/>
      <c r="ZW31" s="11"/>
      <c r="ZX31" s="11"/>
      <c r="ZY31" s="11"/>
      <c r="ZZ31" s="11"/>
      <c r="AAA31" s="11"/>
      <c r="AAB31" s="11"/>
      <c r="AAC31" s="11"/>
      <c r="AAD31" s="11"/>
      <c r="AAE31" s="11"/>
      <c r="AAF31" s="11"/>
      <c r="AAG31" s="11"/>
      <c r="AAH31" s="11"/>
      <c r="AAI31" s="11"/>
      <c r="AAJ31" s="11"/>
      <c r="AAK31" s="11"/>
      <c r="AAL31" s="11"/>
    </row>
    <row r="32" spans="26:714" s="6" customFormat="1" x14ac:dyDescent="0.3">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11"/>
      <c r="CR32" s="11"/>
      <c r="CS32" s="11"/>
      <c r="CT32" s="11"/>
      <c r="CU32" s="11"/>
      <c r="CV32" s="11"/>
      <c r="CW32" s="11"/>
      <c r="CX32" s="11"/>
      <c r="CY32" s="11"/>
      <c r="CZ32" s="11"/>
      <c r="DA32" s="11"/>
      <c r="DB32" s="11"/>
      <c r="DC32" s="11"/>
      <c r="DD32" s="11"/>
      <c r="DE32" s="11"/>
      <c r="DF32" s="11"/>
      <c r="DG32" s="11"/>
      <c r="DH32" s="11"/>
      <c r="DI32" s="11"/>
      <c r="DJ32" s="11"/>
      <c r="DK32" s="11"/>
      <c r="DL32" s="11"/>
      <c r="DM32" s="11"/>
      <c r="DN32" s="11"/>
      <c r="DO32" s="11"/>
      <c r="DP32" s="11"/>
      <c r="DQ32" s="11"/>
      <c r="DR32" s="11"/>
      <c r="DS32" s="11"/>
      <c r="DT32" s="11"/>
      <c r="DU32" s="11"/>
      <c r="DV32" s="11"/>
      <c r="DW32" s="11"/>
      <c r="DX32" s="11"/>
      <c r="DY32" s="11"/>
      <c r="DZ32" s="11"/>
      <c r="EA32" s="11"/>
      <c r="EB32" s="11"/>
      <c r="EC32" s="11"/>
      <c r="ED32" s="11"/>
      <c r="EE32" s="11"/>
      <c r="EF32" s="11"/>
      <c r="EG32" s="11"/>
      <c r="EH32" s="11"/>
      <c r="EI32" s="11"/>
      <c r="EJ32" s="11"/>
      <c r="EK32" s="11"/>
      <c r="EL32" s="11"/>
      <c r="EM32" s="11"/>
      <c r="EN32" s="11"/>
      <c r="EO32" s="11"/>
      <c r="EP32" s="11"/>
      <c r="EQ32" s="11"/>
      <c r="ER32" s="11"/>
      <c r="ES32" s="11"/>
      <c r="ET32" s="11"/>
      <c r="EU32" s="11"/>
      <c r="EV32" s="11"/>
      <c r="EW32" s="11"/>
      <c r="EX32" s="11"/>
      <c r="EY32" s="11"/>
      <c r="EZ32" s="11"/>
      <c r="FA32" s="11"/>
      <c r="FB32" s="11"/>
      <c r="FC32" s="11"/>
      <c r="FD32" s="11"/>
      <c r="FE32" s="11"/>
      <c r="FF32" s="11"/>
      <c r="FG32" s="11"/>
      <c r="FH32" s="11"/>
      <c r="FI32" s="11"/>
      <c r="FJ32" s="11"/>
      <c r="FK32" s="11"/>
      <c r="FL32" s="11"/>
      <c r="FM32" s="11"/>
      <c r="FN32" s="11"/>
      <c r="FO32" s="11"/>
      <c r="FP32" s="11"/>
      <c r="FQ32" s="11"/>
      <c r="FR32" s="11"/>
      <c r="FS32" s="11"/>
      <c r="FT32" s="11"/>
      <c r="FU32" s="11"/>
      <c r="FV32" s="11"/>
      <c r="FW32" s="11"/>
      <c r="FX32" s="11"/>
      <c r="FY32" s="11"/>
      <c r="FZ32" s="11"/>
      <c r="GA32" s="11"/>
      <c r="GB32" s="11"/>
      <c r="GC32" s="11"/>
      <c r="GD32" s="11"/>
      <c r="GE32" s="11"/>
      <c r="GF32" s="11"/>
      <c r="GG32" s="11"/>
      <c r="GH32" s="11"/>
      <c r="GI32" s="11"/>
      <c r="GJ32" s="11"/>
      <c r="GK32" s="11"/>
      <c r="GL32" s="11"/>
      <c r="GM32" s="11"/>
      <c r="GN32" s="11"/>
      <c r="GO32" s="11"/>
      <c r="GP32" s="11"/>
      <c r="GQ32" s="11"/>
      <c r="GR32" s="11"/>
      <c r="GS32" s="11"/>
      <c r="GT32" s="11"/>
      <c r="GU32" s="11"/>
      <c r="GV32" s="11"/>
      <c r="GW32" s="11"/>
      <c r="GX32" s="11"/>
      <c r="GY32" s="11"/>
      <c r="GZ32" s="11"/>
      <c r="HA32" s="11"/>
      <c r="HB32" s="11"/>
      <c r="HC32" s="11"/>
      <c r="HD32" s="11"/>
      <c r="HE32" s="11"/>
      <c r="HF32" s="11"/>
      <c r="HG32" s="11"/>
      <c r="HH32" s="11"/>
      <c r="HI32" s="11"/>
      <c r="HJ32" s="11"/>
      <c r="HK32" s="11"/>
      <c r="HL32" s="11"/>
      <c r="HM32" s="11"/>
      <c r="HN32" s="11"/>
      <c r="HO32" s="11"/>
      <c r="HP32" s="11"/>
      <c r="HQ32" s="11"/>
      <c r="HR32" s="11"/>
      <c r="HS32" s="11"/>
      <c r="HT32" s="11"/>
      <c r="HU32" s="11"/>
      <c r="HV32" s="11"/>
      <c r="HW32" s="11"/>
      <c r="HX32" s="11"/>
      <c r="HY32" s="11"/>
      <c r="HZ32" s="11"/>
      <c r="IA32" s="11"/>
      <c r="IB32" s="11"/>
      <c r="IC32" s="11"/>
      <c r="ID32" s="11"/>
      <c r="IE32" s="11"/>
      <c r="IF32" s="11"/>
      <c r="IG32" s="11"/>
      <c r="IH32" s="11"/>
      <c r="II32" s="11"/>
      <c r="IJ32" s="11"/>
      <c r="IK32" s="11"/>
      <c r="IL32" s="11"/>
      <c r="IM32" s="11"/>
      <c r="IN32" s="11"/>
      <c r="IO32" s="11"/>
      <c r="IP32" s="11"/>
      <c r="IQ32" s="11"/>
      <c r="IR32" s="11"/>
      <c r="IS32" s="11"/>
      <c r="IT32" s="11"/>
      <c r="IU32" s="11"/>
      <c r="IV32" s="11"/>
      <c r="IW32" s="11"/>
      <c r="IX32" s="11"/>
      <c r="IY32" s="11"/>
      <c r="IZ32" s="11"/>
      <c r="JA32" s="11"/>
      <c r="JB32" s="11"/>
      <c r="JC32" s="11"/>
      <c r="JD32" s="11"/>
      <c r="JE32" s="11"/>
      <c r="JF32" s="11"/>
      <c r="JG32" s="11"/>
      <c r="JH32" s="11"/>
      <c r="JI32" s="11"/>
      <c r="JJ32" s="11"/>
      <c r="JK32" s="11"/>
      <c r="JL32" s="11"/>
      <c r="JM32" s="11"/>
      <c r="JN32" s="11"/>
      <c r="JO32" s="11"/>
      <c r="JP32" s="11"/>
      <c r="JQ32" s="11"/>
      <c r="JR32" s="11"/>
      <c r="JS32" s="11"/>
      <c r="JT32" s="11"/>
      <c r="JU32" s="11"/>
      <c r="JV32" s="11"/>
      <c r="JW32" s="11"/>
      <c r="JX32" s="11"/>
      <c r="JY32" s="11"/>
      <c r="JZ32" s="11"/>
      <c r="KA32" s="11"/>
      <c r="KB32" s="11"/>
      <c r="KC32" s="11"/>
      <c r="KD32" s="11"/>
      <c r="KE32" s="11"/>
      <c r="KF32" s="11"/>
      <c r="KG32" s="11"/>
      <c r="KH32" s="11"/>
      <c r="KI32" s="11"/>
      <c r="KJ32" s="11"/>
      <c r="KK32" s="11"/>
      <c r="KL32" s="11"/>
      <c r="KM32" s="11"/>
      <c r="KN32" s="11"/>
      <c r="KO32" s="11"/>
      <c r="KP32" s="11"/>
      <c r="KQ32" s="11"/>
      <c r="KR32" s="11"/>
      <c r="KS32" s="11"/>
      <c r="KT32" s="11"/>
      <c r="KU32" s="11"/>
      <c r="KV32" s="11"/>
      <c r="KW32" s="11"/>
      <c r="KX32" s="11"/>
      <c r="KY32" s="11"/>
      <c r="KZ32" s="11"/>
      <c r="LA32" s="11"/>
      <c r="LB32" s="11"/>
      <c r="LC32" s="11"/>
      <c r="LD32" s="11"/>
      <c r="LE32" s="11"/>
      <c r="LF32" s="11"/>
      <c r="LG32" s="11"/>
      <c r="LH32" s="11"/>
      <c r="LI32" s="11"/>
      <c r="LJ32" s="11"/>
      <c r="LK32" s="11"/>
      <c r="LL32" s="11"/>
      <c r="LM32" s="11"/>
      <c r="LN32" s="11"/>
      <c r="LO32" s="11"/>
      <c r="LP32" s="11"/>
      <c r="LQ32" s="11"/>
      <c r="LR32" s="11"/>
      <c r="LS32" s="11"/>
      <c r="LT32" s="11"/>
      <c r="LU32" s="11"/>
      <c r="LV32" s="11"/>
      <c r="LW32" s="11"/>
      <c r="LX32" s="11"/>
      <c r="LY32" s="11"/>
      <c r="LZ32" s="11"/>
      <c r="MA32" s="11"/>
      <c r="MB32" s="11"/>
      <c r="MC32" s="11"/>
      <c r="MD32" s="11"/>
      <c r="ME32" s="11"/>
      <c r="MF32" s="11"/>
      <c r="MG32" s="11"/>
      <c r="MH32" s="11"/>
      <c r="MI32" s="11"/>
      <c r="MJ32" s="11"/>
      <c r="MK32" s="11"/>
      <c r="ML32" s="11"/>
      <c r="MM32" s="11"/>
      <c r="MN32" s="11"/>
      <c r="MO32" s="11"/>
      <c r="MP32" s="11"/>
      <c r="MQ32" s="11"/>
      <c r="MR32" s="11"/>
      <c r="MS32" s="11"/>
      <c r="MT32" s="11"/>
      <c r="MU32" s="11"/>
      <c r="MV32" s="11"/>
      <c r="MW32" s="11"/>
      <c r="MX32" s="11"/>
      <c r="MY32" s="11"/>
      <c r="MZ32" s="11"/>
      <c r="NA32" s="11"/>
      <c r="NB32" s="11"/>
      <c r="NC32" s="11"/>
      <c r="ND32" s="11"/>
      <c r="NE32" s="11"/>
      <c r="NF32" s="11"/>
      <c r="NG32" s="11"/>
      <c r="NH32" s="11"/>
      <c r="NI32" s="11"/>
      <c r="NJ32" s="11"/>
      <c r="NK32" s="11"/>
      <c r="NL32" s="11"/>
      <c r="NM32" s="11"/>
      <c r="NN32" s="11"/>
      <c r="NO32" s="11"/>
      <c r="NP32" s="11"/>
      <c r="NQ32" s="11"/>
      <c r="NR32" s="11"/>
      <c r="NS32" s="11"/>
      <c r="NT32" s="11"/>
      <c r="NU32" s="11"/>
      <c r="NV32" s="11"/>
      <c r="NW32" s="11"/>
      <c r="NX32" s="11"/>
      <c r="NY32" s="11"/>
      <c r="NZ32" s="11"/>
      <c r="OA32" s="11"/>
      <c r="OB32" s="11"/>
      <c r="OC32" s="11"/>
      <c r="OD32" s="11"/>
      <c r="OE32" s="11"/>
      <c r="OF32" s="11"/>
      <c r="OG32" s="11"/>
      <c r="OH32" s="11"/>
      <c r="OI32" s="11"/>
      <c r="OJ32" s="11"/>
      <c r="OK32" s="11"/>
      <c r="OL32" s="11"/>
      <c r="OM32" s="11"/>
      <c r="ON32" s="11"/>
      <c r="OO32" s="11"/>
      <c r="OP32" s="11"/>
      <c r="OQ32" s="11"/>
      <c r="OR32" s="11"/>
      <c r="OS32" s="11"/>
      <c r="OT32" s="11"/>
      <c r="OU32" s="11"/>
      <c r="OV32" s="11"/>
      <c r="OW32" s="11"/>
      <c r="OX32" s="11"/>
      <c r="OY32" s="11"/>
      <c r="OZ32" s="11"/>
      <c r="PA32" s="11"/>
      <c r="PB32" s="11"/>
      <c r="PC32" s="11"/>
      <c r="PD32" s="11"/>
      <c r="PE32" s="11"/>
      <c r="PF32" s="11"/>
      <c r="PG32" s="11"/>
      <c r="PH32" s="11"/>
      <c r="PI32" s="11"/>
      <c r="PJ32" s="11"/>
      <c r="PK32" s="11"/>
      <c r="PL32" s="11"/>
      <c r="PM32" s="11"/>
      <c r="PN32" s="11"/>
      <c r="PO32" s="11"/>
      <c r="PP32" s="11"/>
      <c r="PQ32" s="11"/>
      <c r="PR32" s="11"/>
      <c r="PS32" s="11"/>
      <c r="PT32" s="11"/>
      <c r="PU32" s="11"/>
      <c r="PV32" s="11"/>
      <c r="PW32" s="11"/>
      <c r="PX32" s="11"/>
      <c r="PY32" s="11"/>
      <c r="PZ32" s="11"/>
      <c r="QA32" s="11"/>
      <c r="QB32" s="11"/>
      <c r="QC32" s="11"/>
      <c r="QD32" s="11"/>
      <c r="QE32" s="11"/>
      <c r="QF32" s="11"/>
      <c r="QG32" s="11"/>
      <c r="QH32" s="11"/>
      <c r="QI32" s="11"/>
      <c r="QJ32" s="11"/>
      <c r="QK32" s="11"/>
      <c r="QL32" s="11"/>
      <c r="QM32" s="11"/>
      <c r="QN32" s="11"/>
      <c r="QO32" s="11"/>
      <c r="QP32" s="11"/>
      <c r="QQ32" s="11"/>
      <c r="QR32" s="11"/>
      <c r="QS32" s="11"/>
      <c r="QT32" s="11"/>
      <c r="QU32" s="11"/>
      <c r="QV32" s="11"/>
      <c r="QW32" s="11"/>
      <c r="QX32" s="11"/>
      <c r="QY32" s="11"/>
      <c r="QZ32" s="11"/>
      <c r="RA32" s="11"/>
      <c r="RB32" s="11"/>
      <c r="RC32" s="11"/>
      <c r="RD32" s="11"/>
      <c r="RE32" s="11"/>
      <c r="RF32" s="11"/>
      <c r="RG32" s="11"/>
      <c r="RH32" s="11"/>
      <c r="RI32" s="11"/>
      <c r="RJ32" s="11"/>
      <c r="RK32" s="11"/>
      <c r="RL32" s="11"/>
      <c r="RM32" s="11"/>
      <c r="RN32" s="11"/>
      <c r="RO32" s="11"/>
      <c r="RP32" s="11"/>
      <c r="RQ32" s="11"/>
      <c r="RR32" s="11"/>
      <c r="RS32" s="11"/>
      <c r="RT32" s="11"/>
      <c r="RU32" s="11"/>
      <c r="RV32" s="11"/>
      <c r="RW32" s="11"/>
      <c r="RX32" s="11"/>
      <c r="RY32" s="11"/>
      <c r="RZ32" s="11"/>
      <c r="SA32" s="11"/>
      <c r="SB32" s="11"/>
      <c r="SC32" s="11"/>
      <c r="SD32" s="11"/>
      <c r="SE32" s="11"/>
      <c r="SF32" s="11"/>
      <c r="SG32" s="11"/>
      <c r="SH32" s="11"/>
      <c r="SI32" s="11"/>
      <c r="SJ32" s="11"/>
      <c r="SK32" s="11"/>
      <c r="SL32" s="11"/>
      <c r="SM32" s="11"/>
      <c r="SN32" s="11"/>
      <c r="SO32" s="11"/>
      <c r="SP32" s="11"/>
      <c r="SQ32" s="11"/>
      <c r="SR32" s="11"/>
      <c r="SS32" s="11"/>
      <c r="ST32" s="11"/>
      <c r="SU32" s="11"/>
      <c r="SV32" s="11"/>
      <c r="SW32" s="11"/>
      <c r="SX32" s="11"/>
      <c r="SY32" s="11"/>
      <c r="SZ32" s="11"/>
      <c r="TA32" s="11"/>
      <c r="TB32" s="11"/>
      <c r="TC32" s="11"/>
      <c r="TD32" s="11"/>
      <c r="TE32" s="11"/>
      <c r="TF32" s="11"/>
      <c r="TG32" s="11"/>
      <c r="TH32" s="11"/>
      <c r="TI32" s="11"/>
      <c r="TJ32" s="11"/>
      <c r="TK32" s="11"/>
      <c r="TL32" s="11"/>
      <c r="TM32" s="11"/>
      <c r="TN32" s="11"/>
      <c r="TO32" s="11"/>
      <c r="TP32" s="11"/>
      <c r="TQ32" s="11"/>
      <c r="TR32" s="11"/>
      <c r="TS32" s="11"/>
      <c r="TT32" s="11"/>
      <c r="TU32" s="11"/>
      <c r="TV32" s="11"/>
      <c r="TW32" s="11"/>
      <c r="TX32" s="11"/>
      <c r="TY32" s="11"/>
      <c r="TZ32" s="11"/>
      <c r="UA32" s="11"/>
      <c r="UB32" s="11"/>
      <c r="UC32" s="11"/>
      <c r="UD32" s="11"/>
      <c r="UE32" s="11"/>
      <c r="UF32" s="11"/>
      <c r="UG32" s="11"/>
      <c r="UH32" s="11"/>
      <c r="UI32" s="11"/>
      <c r="UJ32" s="11"/>
      <c r="UK32" s="11"/>
      <c r="UL32" s="11"/>
      <c r="UM32" s="11"/>
      <c r="UN32" s="11"/>
      <c r="UO32" s="11"/>
      <c r="UP32" s="11"/>
      <c r="UQ32" s="11"/>
      <c r="UR32" s="11"/>
      <c r="US32" s="11"/>
      <c r="UT32" s="11"/>
      <c r="UU32" s="11"/>
      <c r="UV32" s="11"/>
      <c r="UW32" s="11"/>
      <c r="UX32" s="11"/>
      <c r="UY32" s="11"/>
      <c r="UZ32" s="11"/>
      <c r="VA32" s="11"/>
      <c r="VB32" s="11"/>
      <c r="VC32" s="11"/>
      <c r="VD32" s="11"/>
      <c r="VE32" s="11"/>
      <c r="VF32" s="11"/>
      <c r="VG32" s="11"/>
      <c r="VH32" s="11"/>
      <c r="VI32" s="11"/>
      <c r="VJ32" s="11"/>
      <c r="VK32" s="11"/>
      <c r="VL32" s="11"/>
      <c r="VM32" s="11"/>
      <c r="VN32" s="11"/>
      <c r="VO32" s="11"/>
      <c r="VP32" s="11"/>
      <c r="VQ32" s="11"/>
      <c r="VR32" s="11"/>
      <c r="VS32" s="11"/>
      <c r="VT32" s="11"/>
      <c r="VU32" s="11"/>
      <c r="VV32" s="11"/>
      <c r="VW32" s="11"/>
      <c r="VX32" s="11"/>
      <c r="VY32" s="11"/>
      <c r="VZ32" s="11"/>
      <c r="WA32" s="11"/>
      <c r="WB32" s="11"/>
      <c r="WC32" s="11"/>
      <c r="WD32" s="11"/>
      <c r="WE32" s="11"/>
      <c r="WF32" s="11"/>
      <c r="WG32" s="11"/>
      <c r="WH32" s="11"/>
      <c r="WI32" s="11"/>
      <c r="WJ32" s="11"/>
      <c r="WK32" s="11"/>
      <c r="WL32" s="11"/>
      <c r="WM32" s="11"/>
      <c r="WN32" s="11"/>
      <c r="WO32" s="11"/>
      <c r="WP32" s="11"/>
      <c r="WQ32" s="11"/>
      <c r="WR32" s="11"/>
      <c r="WS32" s="11"/>
      <c r="WT32" s="11"/>
      <c r="WU32" s="11"/>
      <c r="WV32" s="11"/>
      <c r="WW32" s="11"/>
      <c r="WX32" s="11"/>
      <c r="WY32" s="11"/>
      <c r="WZ32" s="11"/>
      <c r="XA32" s="11"/>
      <c r="XB32" s="11"/>
      <c r="XC32" s="11"/>
      <c r="XD32" s="11"/>
      <c r="XE32" s="11"/>
      <c r="XF32" s="11"/>
      <c r="XG32" s="11"/>
      <c r="XH32" s="11"/>
      <c r="XI32" s="11"/>
      <c r="XJ32" s="11"/>
      <c r="XK32" s="11"/>
      <c r="XL32" s="11"/>
      <c r="XM32" s="11"/>
      <c r="XN32" s="11"/>
      <c r="XO32" s="11"/>
      <c r="XP32" s="11"/>
      <c r="XQ32" s="11"/>
      <c r="XR32" s="11"/>
      <c r="XS32" s="11"/>
      <c r="XT32" s="11"/>
      <c r="XU32" s="11"/>
      <c r="XV32" s="11"/>
      <c r="XW32" s="11"/>
      <c r="XX32" s="11"/>
      <c r="XY32" s="11"/>
      <c r="XZ32" s="11"/>
      <c r="YA32" s="11"/>
      <c r="YB32" s="11"/>
      <c r="YC32" s="11"/>
      <c r="YD32" s="11"/>
      <c r="YE32" s="11"/>
      <c r="YF32" s="11"/>
      <c r="YG32" s="11"/>
      <c r="YH32" s="11"/>
      <c r="YI32" s="11"/>
      <c r="YJ32" s="11"/>
      <c r="YK32" s="11"/>
      <c r="YL32" s="11"/>
      <c r="YM32" s="11"/>
      <c r="YN32" s="11"/>
      <c r="YO32" s="11"/>
      <c r="YP32" s="11"/>
      <c r="YQ32" s="11"/>
      <c r="YR32" s="11"/>
      <c r="YS32" s="11"/>
      <c r="YT32" s="11"/>
      <c r="YU32" s="11"/>
      <c r="YV32" s="11"/>
      <c r="YW32" s="11"/>
      <c r="YX32" s="11"/>
      <c r="YY32" s="11"/>
      <c r="YZ32" s="11"/>
      <c r="ZA32" s="11"/>
      <c r="ZB32" s="11"/>
      <c r="ZC32" s="11"/>
      <c r="ZD32" s="11"/>
      <c r="ZE32" s="11"/>
      <c r="ZF32" s="11"/>
      <c r="ZG32" s="11"/>
      <c r="ZH32" s="11"/>
      <c r="ZI32" s="11"/>
      <c r="ZJ32" s="11"/>
      <c r="ZK32" s="11"/>
      <c r="ZL32" s="11"/>
      <c r="ZM32" s="11"/>
      <c r="ZN32" s="11"/>
      <c r="ZO32" s="11"/>
      <c r="ZP32" s="11"/>
      <c r="ZQ32" s="11"/>
      <c r="ZR32" s="11"/>
      <c r="ZS32" s="11"/>
      <c r="ZT32" s="11"/>
      <c r="ZU32" s="11"/>
      <c r="ZV32" s="11"/>
      <c r="ZW32" s="11"/>
      <c r="ZX32" s="11"/>
      <c r="ZY32" s="11"/>
      <c r="ZZ32" s="11"/>
      <c r="AAA32" s="11"/>
      <c r="AAB32" s="11"/>
      <c r="AAC32" s="11"/>
      <c r="AAD32" s="11"/>
      <c r="AAE32" s="11"/>
      <c r="AAF32" s="11"/>
      <c r="AAG32" s="11"/>
      <c r="AAH32" s="11"/>
      <c r="AAI32" s="11"/>
      <c r="AAJ32" s="11"/>
      <c r="AAK32" s="11"/>
      <c r="AAL32" s="11"/>
    </row>
    <row r="33" spans="26:714" s="6" customFormat="1" x14ac:dyDescent="0.3">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c r="CS33" s="11"/>
      <c r="CT33" s="11"/>
      <c r="CU33" s="11"/>
      <c r="CV33" s="11"/>
      <c r="CW33" s="11"/>
      <c r="CX33" s="11"/>
      <c r="CY33" s="11"/>
      <c r="CZ33" s="11"/>
      <c r="DA33" s="11"/>
      <c r="DB33" s="11"/>
      <c r="DC33" s="11"/>
      <c r="DD33" s="11"/>
      <c r="DE33" s="11"/>
      <c r="DF33" s="11"/>
      <c r="DG33" s="11"/>
      <c r="DH33" s="11"/>
      <c r="DI33" s="11"/>
      <c r="DJ33" s="11"/>
      <c r="DK33" s="11"/>
      <c r="DL33" s="11"/>
      <c r="DM33" s="11"/>
      <c r="DN33" s="11"/>
      <c r="DO33" s="11"/>
      <c r="DP33" s="11"/>
      <c r="DQ33" s="11"/>
      <c r="DR33" s="11"/>
      <c r="DS33" s="11"/>
      <c r="DT33" s="11"/>
      <c r="DU33" s="11"/>
      <c r="DV33" s="11"/>
      <c r="DW33" s="11"/>
      <c r="DX33" s="11"/>
      <c r="DY33" s="11"/>
      <c r="DZ33" s="11"/>
      <c r="EA33" s="11"/>
      <c r="EB33" s="11"/>
      <c r="EC33" s="11"/>
      <c r="ED33" s="11"/>
      <c r="EE33" s="11"/>
      <c r="EF33" s="11"/>
      <c r="EG33" s="11"/>
      <c r="EH33" s="11"/>
      <c r="EI33" s="11"/>
      <c r="EJ33" s="11"/>
      <c r="EK33" s="11"/>
      <c r="EL33" s="11"/>
      <c r="EM33" s="11"/>
      <c r="EN33" s="11"/>
      <c r="EO33" s="11"/>
      <c r="EP33" s="11"/>
      <c r="EQ33" s="11"/>
      <c r="ER33" s="11"/>
      <c r="ES33" s="11"/>
      <c r="ET33" s="11"/>
      <c r="EU33" s="11"/>
      <c r="EV33" s="11"/>
      <c r="EW33" s="11"/>
      <c r="EX33" s="11"/>
      <c r="EY33" s="11"/>
      <c r="EZ33" s="11"/>
      <c r="FA33" s="11"/>
      <c r="FB33" s="11"/>
      <c r="FC33" s="11"/>
      <c r="FD33" s="11"/>
      <c r="FE33" s="11"/>
      <c r="FF33" s="11"/>
      <c r="FG33" s="11"/>
      <c r="FH33" s="11"/>
      <c r="FI33" s="11"/>
      <c r="FJ33" s="11"/>
      <c r="FK33" s="11"/>
      <c r="FL33" s="11"/>
      <c r="FM33" s="11"/>
      <c r="FN33" s="11"/>
      <c r="FO33" s="11"/>
      <c r="FP33" s="11"/>
      <c r="FQ33" s="11"/>
      <c r="FR33" s="11"/>
      <c r="FS33" s="11"/>
      <c r="FT33" s="11"/>
      <c r="FU33" s="11"/>
      <c r="FV33" s="11"/>
      <c r="FW33" s="11"/>
      <c r="FX33" s="11"/>
      <c r="FY33" s="11"/>
      <c r="FZ33" s="11"/>
      <c r="GA33" s="11"/>
      <c r="GB33" s="11"/>
      <c r="GC33" s="11"/>
      <c r="GD33" s="11"/>
      <c r="GE33" s="11"/>
      <c r="GF33" s="11"/>
      <c r="GG33" s="11"/>
      <c r="GH33" s="11"/>
      <c r="GI33" s="11"/>
      <c r="GJ33" s="11"/>
      <c r="GK33" s="11"/>
      <c r="GL33" s="11"/>
      <c r="GM33" s="11"/>
      <c r="GN33" s="11"/>
      <c r="GO33" s="11"/>
      <c r="GP33" s="11"/>
      <c r="GQ33" s="11"/>
      <c r="GR33" s="11"/>
      <c r="GS33" s="11"/>
      <c r="GT33" s="11"/>
      <c r="GU33" s="11"/>
      <c r="GV33" s="11"/>
      <c r="GW33" s="11"/>
      <c r="GX33" s="11"/>
      <c r="GY33" s="11"/>
      <c r="GZ33" s="11"/>
      <c r="HA33" s="11"/>
      <c r="HB33" s="11"/>
      <c r="HC33" s="11"/>
      <c r="HD33" s="11"/>
      <c r="HE33" s="11"/>
      <c r="HF33" s="11"/>
      <c r="HG33" s="11"/>
      <c r="HH33" s="11"/>
      <c r="HI33" s="11"/>
      <c r="HJ33" s="11"/>
      <c r="HK33" s="11"/>
      <c r="HL33" s="11"/>
      <c r="HM33" s="11"/>
      <c r="HN33" s="11"/>
      <c r="HO33" s="11"/>
      <c r="HP33" s="11"/>
      <c r="HQ33" s="11"/>
      <c r="HR33" s="11"/>
      <c r="HS33" s="11"/>
      <c r="HT33" s="11"/>
      <c r="HU33" s="11"/>
      <c r="HV33" s="11"/>
      <c r="HW33" s="11"/>
      <c r="HX33" s="11"/>
      <c r="HY33" s="11"/>
      <c r="HZ33" s="11"/>
      <c r="IA33" s="11"/>
      <c r="IB33" s="11"/>
      <c r="IC33" s="11"/>
      <c r="ID33" s="11"/>
      <c r="IE33" s="11"/>
      <c r="IF33" s="11"/>
      <c r="IG33" s="11"/>
      <c r="IH33" s="11"/>
      <c r="II33" s="11"/>
      <c r="IJ33" s="11"/>
      <c r="IK33" s="11"/>
      <c r="IL33" s="11"/>
      <c r="IM33" s="11"/>
      <c r="IN33" s="11"/>
      <c r="IO33" s="11"/>
      <c r="IP33" s="11"/>
      <c r="IQ33" s="11"/>
      <c r="IR33" s="11"/>
      <c r="IS33" s="11"/>
      <c r="IT33" s="11"/>
      <c r="IU33" s="11"/>
      <c r="IV33" s="11"/>
      <c r="IW33" s="11"/>
      <c r="IX33" s="11"/>
      <c r="IY33" s="11"/>
      <c r="IZ33" s="11"/>
      <c r="JA33" s="11"/>
      <c r="JB33" s="11"/>
      <c r="JC33" s="11"/>
      <c r="JD33" s="11"/>
      <c r="JE33" s="11"/>
      <c r="JF33" s="11"/>
      <c r="JG33" s="11"/>
      <c r="JH33" s="11"/>
      <c r="JI33" s="11"/>
      <c r="JJ33" s="11"/>
      <c r="JK33" s="11"/>
      <c r="JL33" s="11"/>
      <c r="JM33" s="11"/>
      <c r="JN33" s="11"/>
      <c r="JO33" s="11"/>
      <c r="JP33" s="11"/>
      <c r="JQ33" s="11"/>
      <c r="JR33" s="11"/>
      <c r="JS33" s="11"/>
      <c r="JT33" s="11"/>
      <c r="JU33" s="11"/>
      <c r="JV33" s="11"/>
      <c r="JW33" s="11"/>
      <c r="JX33" s="11"/>
      <c r="JY33" s="11"/>
      <c r="JZ33" s="11"/>
      <c r="KA33" s="11"/>
      <c r="KB33" s="11"/>
      <c r="KC33" s="11"/>
      <c r="KD33" s="11"/>
      <c r="KE33" s="11"/>
      <c r="KF33" s="11"/>
      <c r="KG33" s="11"/>
      <c r="KH33" s="11"/>
      <c r="KI33" s="11"/>
      <c r="KJ33" s="11"/>
      <c r="KK33" s="11"/>
      <c r="KL33" s="11"/>
      <c r="KM33" s="11"/>
      <c r="KN33" s="11"/>
      <c r="KO33" s="11"/>
      <c r="KP33" s="11"/>
      <c r="KQ33" s="11"/>
      <c r="KR33" s="11"/>
      <c r="KS33" s="11"/>
      <c r="KT33" s="11"/>
      <c r="KU33" s="11"/>
      <c r="KV33" s="11"/>
      <c r="KW33" s="11"/>
      <c r="KX33" s="11"/>
      <c r="KY33" s="11"/>
      <c r="KZ33" s="11"/>
      <c r="LA33" s="11"/>
      <c r="LB33" s="11"/>
      <c r="LC33" s="11"/>
      <c r="LD33" s="11"/>
      <c r="LE33" s="11"/>
      <c r="LF33" s="11"/>
      <c r="LG33" s="11"/>
      <c r="LH33" s="11"/>
      <c r="LI33" s="11"/>
      <c r="LJ33" s="11"/>
      <c r="LK33" s="11"/>
      <c r="LL33" s="11"/>
      <c r="LM33" s="11"/>
      <c r="LN33" s="11"/>
      <c r="LO33" s="11"/>
      <c r="LP33" s="11"/>
      <c r="LQ33" s="11"/>
      <c r="LR33" s="11"/>
      <c r="LS33" s="11"/>
      <c r="LT33" s="11"/>
      <c r="LU33" s="11"/>
      <c r="LV33" s="11"/>
      <c r="LW33" s="11"/>
      <c r="LX33" s="11"/>
      <c r="LY33" s="11"/>
      <c r="LZ33" s="11"/>
      <c r="MA33" s="11"/>
      <c r="MB33" s="11"/>
      <c r="MC33" s="11"/>
      <c r="MD33" s="11"/>
      <c r="ME33" s="11"/>
      <c r="MF33" s="11"/>
      <c r="MG33" s="11"/>
      <c r="MH33" s="11"/>
      <c r="MI33" s="11"/>
      <c r="MJ33" s="11"/>
      <c r="MK33" s="11"/>
      <c r="ML33" s="11"/>
      <c r="MM33" s="11"/>
      <c r="MN33" s="11"/>
      <c r="MO33" s="11"/>
      <c r="MP33" s="11"/>
      <c r="MQ33" s="11"/>
      <c r="MR33" s="11"/>
      <c r="MS33" s="11"/>
      <c r="MT33" s="11"/>
      <c r="MU33" s="11"/>
      <c r="MV33" s="11"/>
      <c r="MW33" s="11"/>
      <c r="MX33" s="11"/>
      <c r="MY33" s="11"/>
      <c r="MZ33" s="11"/>
      <c r="NA33" s="11"/>
      <c r="NB33" s="11"/>
      <c r="NC33" s="11"/>
      <c r="ND33" s="11"/>
      <c r="NE33" s="11"/>
      <c r="NF33" s="11"/>
      <c r="NG33" s="11"/>
      <c r="NH33" s="11"/>
      <c r="NI33" s="11"/>
      <c r="NJ33" s="11"/>
      <c r="NK33" s="11"/>
      <c r="NL33" s="11"/>
      <c r="NM33" s="11"/>
      <c r="NN33" s="11"/>
      <c r="NO33" s="11"/>
      <c r="NP33" s="11"/>
      <c r="NQ33" s="11"/>
      <c r="NR33" s="11"/>
      <c r="NS33" s="11"/>
      <c r="NT33" s="11"/>
      <c r="NU33" s="11"/>
      <c r="NV33" s="11"/>
      <c r="NW33" s="11"/>
      <c r="NX33" s="11"/>
      <c r="NY33" s="11"/>
      <c r="NZ33" s="11"/>
      <c r="OA33" s="11"/>
      <c r="OB33" s="11"/>
      <c r="OC33" s="11"/>
      <c r="OD33" s="11"/>
      <c r="OE33" s="11"/>
      <c r="OF33" s="11"/>
      <c r="OG33" s="11"/>
      <c r="OH33" s="11"/>
      <c r="OI33" s="11"/>
      <c r="OJ33" s="11"/>
      <c r="OK33" s="11"/>
      <c r="OL33" s="11"/>
      <c r="OM33" s="11"/>
      <c r="ON33" s="11"/>
      <c r="OO33" s="11"/>
      <c r="OP33" s="11"/>
      <c r="OQ33" s="11"/>
      <c r="OR33" s="11"/>
      <c r="OS33" s="11"/>
      <c r="OT33" s="11"/>
      <c r="OU33" s="11"/>
      <c r="OV33" s="11"/>
      <c r="OW33" s="11"/>
      <c r="OX33" s="11"/>
      <c r="OY33" s="11"/>
      <c r="OZ33" s="11"/>
      <c r="PA33" s="11"/>
      <c r="PB33" s="11"/>
      <c r="PC33" s="11"/>
      <c r="PD33" s="11"/>
      <c r="PE33" s="11"/>
      <c r="PF33" s="11"/>
      <c r="PG33" s="11"/>
      <c r="PH33" s="11"/>
      <c r="PI33" s="11"/>
      <c r="PJ33" s="11"/>
      <c r="PK33" s="11"/>
      <c r="PL33" s="11"/>
      <c r="PM33" s="11"/>
      <c r="PN33" s="11"/>
      <c r="PO33" s="11"/>
      <c r="PP33" s="11"/>
      <c r="PQ33" s="11"/>
      <c r="PR33" s="11"/>
      <c r="PS33" s="11"/>
      <c r="PT33" s="11"/>
      <c r="PU33" s="11"/>
      <c r="PV33" s="11"/>
      <c r="PW33" s="11"/>
      <c r="PX33" s="11"/>
      <c r="PY33" s="11"/>
      <c r="PZ33" s="11"/>
      <c r="QA33" s="11"/>
      <c r="QB33" s="11"/>
      <c r="QC33" s="11"/>
      <c r="QD33" s="11"/>
      <c r="QE33" s="11"/>
      <c r="QF33" s="11"/>
      <c r="QG33" s="11"/>
      <c r="QH33" s="11"/>
      <c r="QI33" s="11"/>
      <c r="QJ33" s="11"/>
      <c r="QK33" s="11"/>
      <c r="QL33" s="11"/>
      <c r="QM33" s="11"/>
      <c r="QN33" s="11"/>
      <c r="QO33" s="11"/>
      <c r="QP33" s="11"/>
      <c r="QQ33" s="11"/>
      <c r="QR33" s="11"/>
      <c r="QS33" s="11"/>
      <c r="QT33" s="11"/>
      <c r="QU33" s="11"/>
      <c r="QV33" s="11"/>
      <c r="QW33" s="11"/>
      <c r="QX33" s="11"/>
      <c r="QY33" s="11"/>
      <c r="QZ33" s="11"/>
      <c r="RA33" s="11"/>
      <c r="RB33" s="11"/>
      <c r="RC33" s="11"/>
      <c r="RD33" s="11"/>
      <c r="RE33" s="11"/>
      <c r="RF33" s="11"/>
      <c r="RG33" s="11"/>
      <c r="RH33" s="11"/>
      <c r="RI33" s="11"/>
      <c r="RJ33" s="11"/>
      <c r="RK33" s="11"/>
      <c r="RL33" s="11"/>
      <c r="RM33" s="11"/>
      <c r="RN33" s="11"/>
      <c r="RO33" s="11"/>
      <c r="RP33" s="11"/>
      <c r="RQ33" s="11"/>
      <c r="RR33" s="11"/>
      <c r="RS33" s="11"/>
      <c r="RT33" s="11"/>
      <c r="RU33" s="11"/>
      <c r="RV33" s="11"/>
      <c r="RW33" s="11"/>
      <c r="RX33" s="11"/>
      <c r="RY33" s="11"/>
      <c r="RZ33" s="11"/>
      <c r="SA33" s="11"/>
      <c r="SB33" s="11"/>
      <c r="SC33" s="11"/>
      <c r="SD33" s="11"/>
      <c r="SE33" s="11"/>
      <c r="SF33" s="11"/>
      <c r="SG33" s="11"/>
      <c r="SH33" s="11"/>
      <c r="SI33" s="11"/>
      <c r="SJ33" s="11"/>
      <c r="SK33" s="11"/>
      <c r="SL33" s="11"/>
      <c r="SM33" s="11"/>
      <c r="SN33" s="11"/>
      <c r="SO33" s="11"/>
      <c r="SP33" s="11"/>
      <c r="SQ33" s="11"/>
      <c r="SR33" s="11"/>
      <c r="SS33" s="11"/>
      <c r="ST33" s="11"/>
      <c r="SU33" s="11"/>
      <c r="SV33" s="11"/>
      <c r="SW33" s="11"/>
      <c r="SX33" s="11"/>
      <c r="SY33" s="11"/>
      <c r="SZ33" s="11"/>
      <c r="TA33" s="11"/>
      <c r="TB33" s="11"/>
      <c r="TC33" s="11"/>
      <c r="TD33" s="11"/>
      <c r="TE33" s="11"/>
      <c r="TF33" s="11"/>
      <c r="TG33" s="11"/>
      <c r="TH33" s="11"/>
      <c r="TI33" s="11"/>
      <c r="TJ33" s="11"/>
      <c r="TK33" s="11"/>
      <c r="TL33" s="11"/>
      <c r="TM33" s="11"/>
      <c r="TN33" s="11"/>
      <c r="TO33" s="11"/>
      <c r="TP33" s="11"/>
      <c r="TQ33" s="11"/>
      <c r="TR33" s="11"/>
      <c r="TS33" s="11"/>
      <c r="TT33" s="11"/>
      <c r="TU33" s="11"/>
      <c r="TV33" s="11"/>
      <c r="TW33" s="11"/>
      <c r="TX33" s="11"/>
      <c r="TY33" s="11"/>
      <c r="TZ33" s="11"/>
      <c r="UA33" s="11"/>
      <c r="UB33" s="11"/>
      <c r="UC33" s="11"/>
      <c r="UD33" s="11"/>
      <c r="UE33" s="11"/>
      <c r="UF33" s="11"/>
      <c r="UG33" s="11"/>
      <c r="UH33" s="11"/>
      <c r="UI33" s="11"/>
      <c r="UJ33" s="11"/>
      <c r="UK33" s="11"/>
      <c r="UL33" s="11"/>
      <c r="UM33" s="11"/>
      <c r="UN33" s="11"/>
      <c r="UO33" s="11"/>
      <c r="UP33" s="11"/>
      <c r="UQ33" s="11"/>
      <c r="UR33" s="11"/>
      <c r="US33" s="11"/>
      <c r="UT33" s="11"/>
      <c r="UU33" s="11"/>
      <c r="UV33" s="11"/>
      <c r="UW33" s="11"/>
      <c r="UX33" s="11"/>
      <c r="UY33" s="11"/>
      <c r="UZ33" s="11"/>
      <c r="VA33" s="11"/>
      <c r="VB33" s="11"/>
      <c r="VC33" s="11"/>
      <c r="VD33" s="11"/>
      <c r="VE33" s="11"/>
      <c r="VF33" s="11"/>
      <c r="VG33" s="11"/>
      <c r="VH33" s="11"/>
      <c r="VI33" s="11"/>
      <c r="VJ33" s="11"/>
      <c r="VK33" s="11"/>
      <c r="VL33" s="11"/>
      <c r="VM33" s="11"/>
      <c r="VN33" s="11"/>
      <c r="VO33" s="11"/>
      <c r="VP33" s="11"/>
      <c r="VQ33" s="11"/>
      <c r="VR33" s="11"/>
      <c r="VS33" s="11"/>
      <c r="VT33" s="11"/>
      <c r="VU33" s="11"/>
      <c r="VV33" s="11"/>
      <c r="VW33" s="11"/>
      <c r="VX33" s="11"/>
      <c r="VY33" s="11"/>
      <c r="VZ33" s="11"/>
      <c r="WA33" s="11"/>
      <c r="WB33" s="11"/>
      <c r="WC33" s="11"/>
      <c r="WD33" s="11"/>
      <c r="WE33" s="11"/>
      <c r="WF33" s="11"/>
      <c r="WG33" s="11"/>
      <c r="WH33" s="11"/>
      <c r="WI33" s="11"/>
      <c r="WJ33" s="11"/>
      <c r="WK33" s="11"/>
      <c r="WL33" s="11"/>
      <c r="WM33" s="11"/>
      <c r="WN33" s="11"/>
      <c r="WO33" s="11"/>
      <c r="WP33" s="11"/>
      <c r="WQ33" s="11"/>
      <c r="WR33" s="11"/>
      <c r="WS33" s="11"/>
      <c r="WT33" s="11"/>
      <c r="WU33" s="11"/>
      <c r="WV33" s="11"/>
      <c r="WW33" s="11"/>
      <c r="WX33" s="11"/>
      <c r="WY33" s="11"/>
      <c r="WZ33" s="11"/>
      <c r="XA33" s="11"/>
      <c r="XB33" s="11"/>
      <c r="XC33" s="11"/>
      <c r="XD33" s="11"/>
      <c r="XE33" s="11"/>
      <c r="XF33" s="11"/>
      <c r="XG33" s="11"/>
      <c r="XH33" s="11"/>
      <c r="XI33" s="11"/>
      <c r="XJ33" s="11"/>
      <c r="XK33" s="11"/>
      <c r="XL33" s="11"/>
      <c r="XM33" s="11"/>
      <c r="XN33" s="11"/>
      <c r="XO33" s="11"/>
      <c r="XP33" s="11"/>
      <c r="XQ33" s="11"/>
      <c r="XR33" s="11"/>
      <c r="XS33" s="11"/>
      <c r="XT33" s="11"/>
      <c r="XU33" s="11"/>
      <c r="XV33" s="11"/>
      <c r="XW33" s="11"/>
      <c r="XX33" s="11"/>
      <c r="XY33" s="11"/>
      <c r="XZ33" s="11"/>
      <c r="YA33" s="11"/>
      <c r="YB33" s="11"/>
      <c r="YC33" s="11"/>
      <c r="YD33" s="11"/>
      <c r="YE33" s="11"/>
      <c r="YF33" s="11"/>
      <c r="YG33" s="11"/>
      <c r="YH33" s="11"/>
      <c r="YI33" s="11"/>
      <c r="YJ33" s="11"/>
      <c r="YK33" s="11"/>
      <c r="YL33" s="11"/>
      <c r="YM33" s="11"/>
      <c r="YN33" s="11"/>
      <c r="YO33" s="11"/>
      <c r="YP33" s="11"/>
      <c r="YQ33" s="11"/>
      <c r="YR33" s="11"/>
      <c r="YS33" s="11"/>
      <c r="YT33" s="11"/>
      <c r="YU33" s="11"/>
      <c r="YV33" s="11"/>
      <c r="YW33" s="11"/>
      <c r="YX33" s="11"/>
      <c r="YY33" s="11"/>
      <c r="YZ33" s="11"/>
      <c r="ZA33" s="11"/>
      <c r="ZB33" s="11"/>
      <c r="ZC33" s="11"/>
      <c r="ZD33" s="11"/>
      <c r="ZE33" s="11"/>
      <c r="ZF33" s="11"/>
      <c r="ZG33" s="11"/>
      <c r="ZH33" s="11"/>
      <c r="ZI33" s="11"/>
      <c r="ZJ33" s="11"/>
      <c r="ZK33" s="11"/>
      <c r="ZL33" s="11"/>
      <c r="ZM33" s="11"/>
      <c r="ZN33" s="11"/>
      <c r="ZO33" s="11"/>
      <c r="ZP33" s="11"/>
      <c r="ZQ33" s="11"/>
      <c r="ZR33" s="11"/>
      <c r="ZS33" s="11"/>
      <c r="ZT33" s="11"/>
      <c r="ZU33" s="11"/>
      <c r="ZV33" s="11"/>
      <c r="ZW33" s="11"/>
      <c r="ZX33" s="11"/>
      <c r="ZY33" s="11"/>
      <c r="ZZ33" s="11"/>
      <c r="AAA33" s="11"/>
      <c r="AAB33" s="11"/>
      <c r="AAC33" s="11"/>
      <c r="AAD33" s="11"/>
      <c r="AAE33" s="11"/>
      <c r="AAF33" s="11"/>
      <c r="AAG33" s="11"/>
      <c r="AAH33" s="11"/>
      <c r="AAI33" s="11"/>
      <c r="AAJ33" s="11"/>
      <c r="AAK33" s="11"/>
      <c r="AAL33" s="11"/>
    </row>
    <row r="34" spans="26:714" s="6" customFormat="1" x14ac:dyDescent="0.3">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c r="CI34" s="11"/>
      <c r="CJ34" s="11"/>
      <c r="CK34" s="11"/>
      <c r="CL34" s="11"/>
      <c r="CM34" s="11"/>
      <c r="CN34" s="11"/>
      <c r="CO34" s="11"/>
      <c r="CP34" s="11"/>
      <c r="CQ34" s="11"/>
      <c r="CR34" s="11"/>
      <c r="CS34" s="11"/>
      <c r="CT34" s="11"/>
      <c r="CU34" s="11"/>
      <c r="CV34" s="11"/>
      <c r="CW34" s="11"/>
      <c r="CX34" s="11"/>
      <c r="CY34" s="11"/>
      <c r="CZ34" s="11"/>
      <c r="DA34" s="11"/>
      <c r="DB34" s="11"/>
      <c r="DC34" s="11"/>
      <c r="DD34" s="11"/>
      <c r="DE34" s="11"/>
      <c r="DF34" s="11"/>
      <c r="DG34" s="11"/>
      <c r="DH34" s="11"/>
      <c r="DI34" s="11"/>
      <c r="DJ34" s="11"/>
      <c r="DK34" s="11"/>
      <c r="DL34" s="11"/>
      <c r="DM34" s="11"/>
      <c r="DN34" s="11"/>
      <c r="DO34" s="11"/>
      <c r="DP34" s="11"/>
      <c r="DQ34" s="11"/>
      <c r="DR34" s="11"/>
      <c r="DS34" s="11"/>
      <c r="DT34" s="11"/>
      <c r="DU34" s="11"/>
      <c r="DV34" s="11"/>
      <c r="DW34" s="11"/>
      <c r="DX34" s="11"/>
      <c r="DY34" s="11"/>
      <c r="DZ34" s="11"/>
      <c r="EA34" s="11"/>
      <c r="EB34" s="11"/>
      <c r="EC34" s="11"/>
      <c r="ED34" s="11"/>
      <c r="EE34" s="11"/>
      <c r="EF34" s="11"/>
      <c r="EG34" s="11"/>
      <c r="EH34" s="11"/>
      <c r="EI34" s="11"/>
      <c r="EJ34" s="11"/>
      <c r="EK34" s="11"/>
      <c r="EL34" s="11"/>
      <c r="EM34" s="11"/>
      <c r="EN34" s="11"/>
      <c r="EO34" s="11"/>
      <c r="EP34" s="11"/>
      <c r="EQ34" s="11"/>
      <c r="ER34" s="11"/>
      <c r="ES34" s="11"/>
      <c r="ET34" s="11"/>
      <c r="EU34" s="11"/>
      <c r="EV34" s="11"/>
      <c r="EW34" s="11"/>
      <c r="EX34" s="11"/>
      <c r="EY34" s="11"/>
      <c r="EZ34" s="11"/>
      <c r="FA34" s="11"/>
      <c r="FB34" s="11"/>
      <c r="FC34" s="11"/>
      <c r="FD34" s="11"/>
      <c r="FE34" s="11"/>
      <c r="FF34" s="11"/>
      <c r="FG34" s="11"/>
      <c r="FH34" s="11"/>
      <c r="FI34" s="11"/>
      <c r="FJ34" s="11"/>
      <c r="FK34" s="11"/>
      <c r="FL34" s="11"/>
      <c r="FM34" s="11"/>
      <c r="FN34" s="11"/>
      <c r="FO34" s="11"/>
      <c r="FP34" s="11"/>
      <c r="FQ34" s="11"/>
      <c r="FR34" s="11"/>
      <c r="FS34" s="11"/>
      <c r="FT34" s="11"/>
      <c r="FU34" s="11"/>
      <c r="FV34" s="11"/>
      <c r="FW34" s="11"/>
      <c r="FX34" s="11"/>
      <c r="FY34" s="11"/>
      <c r="FZ34" s="11"/>
      <c r="GA34" s="11"/>
      <c r="GB34" s="11"/>
      <c r="GC34" s="11"/>
      <c r="GD34" s="11"/>
      <c r="GE34" s="11"/>
      <c r="GF34" s="11"/>
      <c r="GG34" s="11"/>
      <c r="GH34" s="11"/>
      <c r="GI34" s="11"/>
      <c r="GJ34" s="11"/>
      <c r="GK34" s="11"/>
      <c r="GL34" s="11"/>
      <c r="GM34" s="11"/>
      <c r="GN34" s="11"/>
      <c r="GO34" s="11"/>
      <c r="GP34" s="11"/>
      <c r="GQ34" s="11"/>
      <c r="GR34" s="11"/>
      <c r="GS34" s="11"/>
      <c r="GT34" s="11"/>
      <c r="GU34" s="11"/>
      <c r="GV34" s="11"/>
      <c r="GW34" s="11"/>
      <c r="GX34" s="11"/>
      <c r="GY34" s="11"/>
      <c r="GZ34" s="11"/>
      <c r="HA34" s="11"/>
      <c r="HB34" s="11"/>
      <c r="HC34" s="11"/>
      <c r="HD34" s="11"/>
      <c r="HE34" s="11"/>
      <c r="HF34" s="11"/>
      <c r="HG34" s="11"/>
      <c r="HH34" s="11"/>
      <c r="HI34" s="11"/>
      <c r="HJ34" s="11"/>
      <c r="HK34" s="11"/>
      <c r="HL34" s="11"/>
      <c r="HM34" s="11"/>
      <c r="HN34" s="11"/>
      <c r="HO34" s="11"/>
      <c r="HP34" s="11"/>
      <c r="HQ34" s="11"/>
      <c r="HR34" s="11"/>
      <c r="HS34" s="11"/>
      <c r="HT34" s="11"/>
      <c r="HU34" s="11"/>
      <c r="HV34" s="11"/>
      <c r="HW34" s="11"/>
      <c r="HX34" s="11"/>
      <c r="HY34" s="11"/>
      <c r="HZ34" s="11"/>
      <c r="IA34" s="11"/>
      <c r="IB34" s="11"/>
      <c r="IC34" s="11"/>
      <c r="ID34" s="11"/>
      <c r="IE34" s="11"/>
      <c r="IF34" s="11"/>
      <c r="IG34" s="11"/>
      <c r="IH34" s="11"/>
      <c r="II34" s="11"/>
      <c r="IJ34" s="11"/>
      <c r="IK34" s="11"/>
      <c r="IL34" s="11"/>
      <c r="IM34" s="11"/>
      <c r="IN34" s="11"/>
      <c r="IO34" s="11"/>
      <c r="IP34" s="11"/>
      <c r="IQ34" s="11"/>
      <c r="IR34" s="11"/>
      <c r="IS34" s="11"/>
      <c r="IT34" s="11"/>
      <c r="IU34" s="11"/>
      <c r="IV34" s="11"/>
      <c r="IW34" s="11"/>
      <c r="IX34" s="11"/>
      <c r="IY34" s="11"/>
      <c r="IZ34" s="11"/>
      <c r="JA34" s="11"/>
      <c r="JB34" s="11"/>
      <c r="JC34" s="11"/>
      <c r="JD34" s="11"/>
      <c r="JE34" s="11"/>
      <c r="JF34" s="11"/>
      <c r="JG34" s="11"/>
      <c r="JH34" s="11"/>
      <c r="JI34" s="11"/>
      <c r="JJ34" s="11"/>
      <c r="JK34" s="11"/>
      <c r="JL34" s="11"/>
      <c r="JM34" s="11"/>
      <c r="JN34" s="11"/>
      <c r="JO34" s="11"/>
      <c r="JP34" s="11"/>
      <c r="JQ34" s="11"/>
      <c r="JR34" s="11"/>
      <c r="JS34" s="11"/>
      <c r="JT34" s="11"/>
      <c r="JU34" s="11"/>
      <c r="JV34" s="11"/>
      <c r="JW34" s="11"/>
      <c r="JX34" s="11"/>
      <c r="JY34" s="11"/>
      <c r="JZ34" s="11"/>
      <c r="KA34" s="11"/>
      <c r="KB34" s="11"/>
      <c r="KC34" s="11"/>
      <c r="KD34" s="11"/>
      <c r="KE34" s="11"/>
      <c r="KF34" s="11"/>
      <c r="KG34" s="11"/>
      <c r="KH34" s="11"/>
      <c r="KI34" s="11"/>
      <c r="KJ34" s="11"/>
      <c r="KK34" s="11"/>
      <c r="KL34" s="11"/>
      <c r="KM34" s="11"/>
      <c r="KN34" s="11"/>
      <c r="KO34" s="11"/>
      <c r="KP34" s="11"/>
      <c r="KQ34" s="11"/>
      <c r="KR34" s="11"/>
      <c r="KS34" s="11"/>
      <c r="KT34" s="11"/>
      <c r="KU34" s="11"/>
      <c r="KV34" s="11"/>
      <c r="KW34" s="11"/>
      <c r="KX34" s="11"/>
      <c r="KY34" s="11"/>
      <c r="KZ34" s="11"/>
      <c r="LA34" s="11"/>
      <c r="LB34" s="11"/>
      <c r="LC34" s="11"/>
      <c r="LD34" s="11"/>
      <c r="LE34" s="11"/>
      <c r="LF34" s="11"/>
      <c r="LG34" s="11"/>
      <c r="LH34" s="11"/>
      <c r="LI34" s="11"/>
      <c r="LJ34" s="11"/>
      <c r="LK34" s="11"/>
      <c r="LL34" s="11"/>
      <c r="LM34" s="11"/>
      <c r="LN34" s="11"/>
      <c r="LO34" s="11"/>
      <c r="LP34" s="11"/>
      <c r="LQ34" s="11"/>
      <c r="LR34" s="11"/>
      <c r="LS34" s="11"/>
      <c r="LT34" s="11"/>
      <c r="LU34" s="11"/>
      <c r="LV34" s="11"/>
      <c r="LW34" s="11"/>
      <c r="LX34" s="11"/>
      <c r="LY34" s="11"/>
      <c r="LZ34" s="11"/>
      <c r="MA34" s="11"/>
      <c r="MB34" s="11"/>
      <c r="MC34" s="11"/>
      <c r="MD34" s="11"/>
      <c r="ME34" s="11"/>
      <c r="MF34" s="11"/>
      <c r="MG34" s="11"/>
      <c r="MH34" s="11"/>
      <c r="MI34" s="11"/>
      <c r="MJ34" s="11"/>
      <c r="MK34" s="11"/>
      <c r="ML34" s="11"/>
      <c r="MM34" s="11"/>
      <c r="MN34" s="11"/>
      <c r="MO34" s="11"/>
      <c r="MP34" s="11"/>
      <c r="MQ34" s="11"/>
      <c r="MR34" s="11"/>
      <c r="MS34" s="11"/>
      <c r="MT34" s="11"/>
      <c r="MU34" s="11"/>
      <c r="MV34" s="11"/>
      <c r="MW34" s="11"/>
      <c r="MX34" s="11"/>
      <c r="MY34" s="11"/>
      <c r="MZ34" s="11"/>
      <c r="NA34" s="11"/>
      <c r="NB34" s="11"/>
      <c r="NC34" s="11"/>
      <c r="ND34" s="11"/>
      <c r="NE34" s="11"/>
      <c r="NF34" s="11"/>
      <c r="NG34" s="11"/>
      <c r="NH34" s="11"/>
      <c r="NI34" s="11"/>
      <c r="NJ34" s="11"/>
      <c r="NK34" s="11"/>
      <c r="NL34" s="11"/>
      <c r="NM34" s="11"/>
      <c r="NN34" s="11"/>
      <c r="NO34" s="11"/>
      <c r="NP34" s="11"/>
      <c r="NQ34" s="11"/>
      <c r="NR34" s="11"/>
      <c r="NS34" s="11"/>
      <c r="NT34" s="11"/>
      <c r="NU34" s="11"/>
      <c r="NV34" s="11"/>
      <c r="NW34" s="11"/>
      <c r="NX34" s="11"/>
      <c r="NY34" s="11"/>
      <c r="NZ34" s="11"/>
      <c r="OA34" s="11"/>
      <c r="OB34" s="11"/>
      <c r="OC34" s="11"/>
      <c r="OD34" s="11"/>
      <c r="OE34" s="11"/>
      <c r="OF34" s="11"/>
      <c r="OG34" s="11"/>
      <c r="OH34" s="11"/>
      <c r="OI34" s="11"/>
      <c r="OJ34" s="11"/>
      <c r="OK34" s="11"/>
      <c r="OL34" s="11"/>
      <c r="OM34" s="11"/>
      <c r="ON34" s="11"/>
      <c r="OO34" s="11"/>
      <c r="OP34" s="11"/>
      <c r="OQ34" s="11"/>
      <c r="OR34" s="11"/>
      <c r="OS34" s="11"/>
      <c r="OT34" s="11"/>
      <c r="OU34" s="11"/>
      <c r="OV34" s="11"/>
      <c r="OW34" s="11"/>
      <c r="OX34" s="11"/>
      <c r="OY34" s="11"/>
      <c r="OZ34" s="11"/>
      <c r="PA34" s="11"/>
      <c r="PB34" s="11"/>
      <c r="PC34" s="11"/>
      <c r="PD34" s="11"/>
      <c r="PE34" s="11"/>
      <c r="PF34" s="11"/>
      <c r="PG34" s="11"/>
      <c r="PH34" s="11"/>
      <c r="PI34" s="11"/>
      <c r="PJ34" s="11"/>
      <c r="PK34" s="11"/>
      <c r="PL34" s="11"/>
      <c r="PM34" s="11"/>
      <c r="PN34" s="11"/>
      <c r="PO34" s="11"/>
      <c r="PP34" s="11"/>
      <c r="PQ34" s="11"/>
      <c r="PR34" s="11"/>
      <c r="PS34" s="11"/>
      <c r="PT34" s="11"/>
      <c r="PU34" s="11"/>
      <c r="PV34" s="11"/>
      <c r="PW34" s="11"/>
      <c r="PX34" s="11"/>
      <c r="PY34" s="11"/>
      <c r="PZ34" s="11"/>
      <c r="QA34" s="11"/>
      <c r="QB34" s="11"/>
      <c r="QC34" s="11"/>
      <c r="QD34" s="11"/>
      <c r="QE34" s="11"/>
      <c r="QF34" s="11"/>
      <c r="QG34" s="11"/>
      <c r="QH34" s="11"/>
      <c r="QI34" s="11"/>
      <c r="QJ34" s="11"/>
      <c r="QK34" s="11"/>
      <c r="QL34" s="11"/>
      <c r="QM34" s="11"/>
      <c r="QN34" s="11"/>
      <c r="QO34" s="11"/>
      <c r="QP34" s="11"/>
      <c r="QQ34" s="11"/>
      <c r="QR34" s="11"/>
      <c r="QS34" s="11"/>
      <c r="QT34" s="11"/>
      <c r="QU34" s="11"/>
      <c r="QV34" s="11"/>
      <c r="QW34" s="11"/>
      <c r="QX34" s="11"/>
      <c r="QY34" s="11"/>
      <c r="QZ34" s="11"/>
      <c r="RA34" s="11"/>
      <c r="RB34" s="11"/>
      <c r="RC34" s="11"/>
      <c r="RD34" s="11"/>
      <c r="RE34" s="11"/>
      <c r="RF34" s="11"/>
      <c r="RG34" s="11"/>
      <c r="RH34" s="11"/>
      <c r="RI34" s="11"/>
      <c r="RJ34" s="11"/>
      <c r="RK34" s="11"/>
      <c r="RL34" s="11"/>
      <c r="RM34" s="11"/>
      <c r="RN34" s="11"/>
      <c r="RO34" s="11"/>
      <c r="RP34" s="11"/>
      <c r="RQ34" s="11"/>
      <c r="RR34" s="11"/>
      <c r="RS34" s="11"/>
      <c r="RT34" s="11"/>
      <c r="RU34" s="11"/>
      <c r="RV34" s="11"/>
      <c r="RW34" s="11"/>
      <c r="RX34" s="11"/>
      <c r="RY34" s="11"/>
      <c r="RZ34" s="11"/>
      <c r="SA34" s="11"/>
      <c r="SB34" s="11"/>
      <c r="SC34" s="11"/>
      <c r="SD34" s="11"/>
      <c r="SE34" s="11"/>
      <c r="SF34" s="11"/>
      <c r="SG34" s="11"/>
      <c r="SH34" s="11"/>
      <c r="SI34" s="11"/>
      <c r="SJ34" s="11"/>
      <c r="SK34" s="11"/>
      <c r="SL34" s="11"/>
      <c r="SM34" s="11"/>
      <c r="SN34" s="11"/>
      <c r="SO34" s="11"/>
      <c r="SP34" s="11"/>
      <c r="SQ34" s="11"/>
      <c r="SR34" s="11"/>
      <c r="SS34" s="11"/>
      <c r="ST34" s="11"/>
      <c r="SU34" s="11"/>
      <c r="SV34" s="11"/>
      <c r="SW34" s="11"/>
      <c r="SX34" s="11"/>
      <c r="SY34" s="11"/>
      <c r="SZ34" s="11"/>
      <c r="TA34" s="11"/>
      <c r="TB34" s="11"/>
      <c r="TC34" s="11"/>
      <c r="TD34" s="11"/>
      <c r="TE34" s="11"/>
      <c r="TF34" s="11"/>
      <c r="TG34" s="11"/>
      <c r="TH34" s="11"/>
      <c r="TI34" s="11"/>
      <c r="TJ34" s="11"/>
      <c r="TK34" s="11"/>
      <c r="TL34" s="11"/>
      <c r="TM34" s="11"/>
      <c r="TN34" s="11"/>
      <c r="TO34" s="11"/>
      <c r="TP34" s="11"/>
      <c r="TQ34" s="11"/>
      <c r="TR34" s="11"/>
      <c r="TS34" s="11"/>
      <c r="TT34" s="11"/>
      <c r="TU34" s="11"/>
      <c r="TV34" s="11"/>
      <c r="TW34" s="11"/>
      <c r="TX34" s="11"/>
      <c r="TY34" s="11"/>
      <c r="TZ34" s="11"/>
      <c r="UA34" s="11"/>
      <c r="UB34" s="11"/>
      <c r="UC34" s="11"/>
      <c r="UD34" s="11"/>
      <c r="UE34" s="11"/>
      <c r="UF34" s="11"/>
      <c r="UG34" s="11"/>
      <c r="UH34" s="11"/>
      <c r="UI34" s="11"/>
      <c r="UJ34" s="11"/>
      <c r="UK34" s="11"/>
      <c r="UL34" s="11"/>
      <c r="UM34" s="11"/>
      <c r="UN34" s="11"/>
      <c r="UO34" s="11"/>
      <c r="UP34" s="11"/>
      <c r="UQ34" s="11"/>
      <c r="UR34" s="11"/>
      <c r="US34" s="11"/>
      <c r="UT34" s="11"/>
      <c r="UU34" s="11"/>
      <c r="UV34" s="11"/>
      <c r="UW34" s="11"/>
      <c r="UX34" s="11"/>
      <c r="UY34" s="11"/>
      <c r="UZ34" s="11"/>
      <c r="VA34" s="11"/>
      <c r="VB34" s="11"/>
      <c r="VC34" s="11"/>
      <c r="VD34" s="11"/>
      <c r="VE34" s="11"/>
      <c r="VF34" s="11"/>
      <c r="VG34" s="11"/>
      <c r="VH34" s="11"/>
      <c r="VI34" s="11"/>
      <c r="VJ34" s="11"/>
      <c r="VK34" s="11"/>
      <c r="VL34" s="11"/>
      <c r="VM34" s="11"/>
      <c r="VN34" s="11"/>
      <c r="VO34" s="11"/>
      <c r="VP34" s="11"/>
      <c r="VQ34" s="11"/>
      <c r="VR34" s="11"/>
      <c r="VS34" s="11"/>
      <c r="VT34" s="11"/>
      <c r="VU34" s="11"/>
      <c r="VV34" s="11"/>
      <c r="VW34" s="11"/>
      <c r="VX34" s="11"/>
      <c r="VY34" s="11"/>
      <c r="VZ34" s="11"/>
      <c r="WA34" s="11"/>
      <c r="WB34" s="11"/>
      <c r="WC34" s="11"/>
      <c r="WD34" s="11"/>
      <c r="WE34" s="11"/>
      <c r="WF34" s="11"/>
      <c r="WG34" s="11"/>
      <c r="WH34" s="11"/>
      <c r="WI34" s="11"/>
      <c r="WJ34" s="11"/>
      <c r="WK34" s="11"/>
      <c r="WL34" s="11"/>
      <c r="WM34" s="11"/>
      <c r="WN34" s="11"/>
      <c r="WO34" s="11"/>
      <c r="WP34" s="11"/>
      <c r="WQ34" s="11"/>
      <c r="WR34" s="11"/>
      <c r="WS34" s="11"/>
      <c r="WT34" s="11"/>
      <c r="WU34" s="11"/>
      <c r="WV34" s="11"/>
      <c r="WW34" s="11"/>
      <c r="WX34" s="11"/>
      <c r="WY34" s="11"/>
      <c r="WZ34" s="11"/>
      <c r="XA34" s="11"/>
      <c r="XB34" s="11"/>
      <c r="XC34" s="11"/>
      <c r="XD34" s="11"/>
      <c r="XE34" s="11"/>
      <c r="XF34" s="11"/>
      <c r="XG34" s="11"/>
      <c r="XH34" s="11"/>
      <c r="XI34" s="11"/>
      <c r="XJ34" s="11"/>
      <c r="XK34" s="11"/>
      <c r="XL34" s="11"/>
      <c r="XM34" s="11"/>
      <c r="XN34" s="11"/>
      <c r="XO34" s="11"/>
      <c r="XP34" s="11"/>
      <c r="XQ34" s="11"/>
      <c r="XR34" s="11"/>
      <c r="XS34" s="11"/>
      <c r="XT34" s="11"/>
      <c r="XU34" s="11"/>
      <c r="XV34" s="11"/>
      <c r="XW34" s="11"/>
      <c r="XX34" s="11"/>
      <c r="XY34" s="11"/>
      <c r="XZ34" s="11"/>
      <c r="YA34" s="11"/>
      <c r="YB34" s="11"/>
      <c r="YC34" s="11"/>
      <c r="YD34" s="11"/>
      <c r="YE34" s="11"/>
      <c r="YF34" s="11"/>
      <c r="YG34" s="11"/>
      <c r="YH34" s="11"/>
      <c r="YI34" s="11"/>
      <c r="YJ34" s="11"/>
      <c r="YK34" s="11"/>
      <c r="YL34" s="11"/>
      <c r="YM34" s="11"/>
      <c r="YN34" s="11"/>
      <c r="YO34" s="11"/>
      <c r="YP34" s="11"/>
      <c r="YQ34" s="11"/>
      <c r="YR34" s="11"/>
      <c r="YS34" s="11"/>
      <c r="YT34" s="11"/>
      <c r="YU34" s="11"/>
      <c r="YV34" s="11"/>
      <c r="YW34" s="11"/>
      <c r="YX34" s="11"/>
      <c r="YY34" s="11"/>
      <c r="YZ34" s="11"/>
      <c r="ZA34" s="11"/>
      <c r="ZB34" s="11"/>
      <c r="ZC34" s="11"/>
      <c r="ZD34" s="11"/>
      <c r="ZE34" s="11"/>
      <c r="ZF34" s="11"/>
      <c r="ZG34" s="11"/>
      <c r="ZH34" s="11"/>
      <c r="ZI34" s="11"/>
      <c r="ZJ34" s="11"/>
      <c r="ZK34" s="11"/>
      <c r="ZL34" s="11"/>
      <c r="ZM34" s="11"/>
      <c r="ZN34" s="11"/>
      <c r="ZO34" s="11"/>
      <c r="ZP34" s="11"/>
      <c r="ZQ34" s="11"/>
      <c r="ZR34" s="11"/>
      <c r="ZS34" s="11"/>
      <c r="ZT34" s="11"/>
      <c r="ZU34" s="11"/>
      <c r="ZV34" s="11"/>
      <c r="ZW34" s="11"/>
      <c r="ZX34" s="11"/>
      <c r="ZY34" s="11"/>
      <c r="ZZ34" s="11"/>
      <c r="AAA34" s="11"/>
      <c r="AAB34" s="11"/>
      <c r="AAC34" s="11"/>
      <c r="AAD34" s="11"/>
      <c r="AAE34" s="11"/>
      <c r="AAF34" s="11"/>
      <c r="AAG34" s="11"/>
      <c r="AAH34" s="11"/>
      <c r="AAI34" s="11"/>
      <c r="AAJ34" s="11"/>
      <c r="AAK34" s="11"/>
      <c r="AAL34" s="11"/>
    </row>
    <row r="35" spans="26:714" s="6" customFormat="1" x14ac:dyDescent="0.3">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c r="CW35" s="11"/>
      <c r="CX35" s="11"/>
      <c r="CY35" s="11"/>
      <c r="CZ35" s="11"/>
      <c r="DA35" s="11"/>
      <c r="DB35" s="11"/>
      <c r="DC35" s="11"/>
      <c r="DD35" s="11"/>
      <c r="DE35" s="11"/>
      <c r="DF35" s="11"/>
      <c r="DG35" s="11"/>
      <c r="DH35" s="11"/>
      <c r="DI35" s="11"/>
      <c r="DJ35" s="11"/>
      <c r="DK35" s="11"/>
      <c r="DL35" s="11"/>
      <c r="DM35" s="11"/>
      <c r="DN35" s="11"/>
      <c r="DO35" s="11"/>
      <c r="DP35" s="11"/>
      <c r="DQ35" s="11"/>
      <c r="DR35" s="11"/>
      <c r="DS35" s="11"/>
      <c r="DT35" s="11"/>
      <c r="DU35" s="11"/>
      <c r="DV35" s="11"/>
      <c r="DW35" s="11"/>
      <c r="DX35" s="11"/>
      <c r="DY35" s="11"/>
      <c r="DZ35" s="11"/>
      <c r="EA35" s="11"/>
      <c r="EB35" s="11"/>
      <c r="EC35" s="11"/>
      <c r="ED35" s="11"/>
      <c r="EE35" s="11"/>
      <c r="EF35" s="11"/>
      <c r="EG35" s="11"/>
      <c r="EH35" s="11"/>
      <c r="EI35" s="11"/>
      <c r="EJ35" s="11"/>
      <c r="EK35" s="11"/>
      <c r="EL35" s="11"/>
      <c r="EM35" s="11"/>
      <c r="EN35" s="11"/>
      <c r="EO35" s="11"/>
      <c r="EP35" s="11"/>
      <c r="EQ35" s="11"/>
      <c r="ER35" s="11"/>
      <c r="ES35" s="11"/>
      <c r="ET35" s="11"/>
      <c r="EU35" s="11"/>
      <c r="EV35" s="11"/>
      <c r="EW35" s="11"/>
      <c r="EX35" s="11"/>
      <c r="EY35" s="11"/>
      <c r="EZ35" s="11"/>
      <c r="FA35" s="11"/>
      <c r="FB35" s="11"/>
      <c r="FC35" s="11"/>
      <c r="FD35" s="11"/>
      <c r="FE35" s="11"/>
      <c r="FF35" s="11"/>
      <c r="FG35" s="11"/>
      <c r="FH35" s="11"/>
      <c r="FI35" s="11"/>
      <c r="FJ35" s="11"/>
      <c r="FK35" s="11"/>
      <c r="FL35" s="11"/>
      <c r="FM35" s="11"/>
      <c r="FN35" s="11"/>
      <c r="FO35" s="11"/>
      <c r="FP35" s="11"/>
      <c r="FQ35" s="11"/>
      <c r="FR35" s="11"/>
      <c r="FS35" s="11"/>
      <c r="FT35" s="11"/>
      <c r="FU35" s="11"/>
      <c r="FV35" s="11"/>
      <c r="FW35" s="11"/>
      <c r="FX35" s="11"/>
      <c r="FY35" s="11"/>
      <c r="FZ35" s="11"/>
      <c r="GA35" s="11"/>
      <c r="GB35" s="11"/>
      <c r="GC35" s="11"/>
      <c r="GD35" s="11"/>
      <c r="GE35" s="11"/>
      <c r="GF35" s="11"/>
      <c r="GG35" s="11"/>
      <c r="GH35" s="11"/>
      <c r="GI35" s="11"/>
      <c r="GJ35" s="11"/>
      <c r="GK35" s="11"/>
      <c r="GL35" s="11"/>
      <c r="GM35" s="11"/>
      <c r="GN35" s="11"/>
      <c r="GO35" s="11"/>
      <c r="GP35" s="11"/>
      <c r="GQ35" s="11"/>
      <c r="GR35" s="11"/>
      <c r="GS35" s="11"/>
      <c r="GT35" s="11"/>
      <c r="GU35" s="11"/>
      <c r="GV35" s="11"/>
      <c r="GW35" s="11"/>
      <c r="GX35" s="11"/>
      <c r="GY35" s="11"/>
      <c r="GZ35" s="11"/>
      <c r="HA35" s="11"/>
      <c r="HB35" s="11"/>
      <c r="HC35" s="11"/>
      <c r="HD35" s="11"/>
      <c r="HE35" s="11"/>
      <c r="HF35" s="11"/>
      <c r="HG35" s="11"/>
      <c r="HH35" s="11"/>
      <c r="HI35" s="11"/>
      <c r="HJ35" s="11"/>
      <c r="HK35" s="11"/>
      <c r="HL35" s="11"/>
      <c r="HM35" s="11"/>
      <c r="HN35" s="11"/>
      <c r="HO35" s="11"/>
      <c r="HP35" s="11"/>
      <c r="HQ35" s="11"/>
      <c r="HR35" s="11"/>
      <c r="HS35" s="11"/>
      <c r="HT35" s="11"/>
      <c r="HU35" s="11"/>
      <c r="HV35" s="11"/>
      <c r="HW35" s="11"/>
      <c r="HX35" s="11"/>
      <c r="HY35" s="11"/>
      <c r="HZ35" s="11"/>
      <c r="IA35" s="11"/>
      <c r="IB35" s="11"/>
      <c r="IC35" s="11"/>
      <c r="ID35" s="11"/>
      <c r="IE35" s="11"/>
      <c r="IF35" s="11"/>
      <c r="IG35" s="11"/>
      <c r="IH35" s="11"/>
      <c r="II35" s="11"/>
      <c r="IJ35" s="11"/>
      <c r="IK35" s="11"/>
      <c r="IL35" s="11"/>
      <c r="IM35" s="11"/>
      <c r="IN35" s="11"/>
      <c r="IO35" s="11"/>
      <c r="IP35" s="11"/>
      <c r="IQ35" s="11"/>
      <c r="IR35" s="11"/>
      <c r="IS35" s="11"/>
      <c r="IT35" s="11"/>
      <c r="IU35" s="11"/>
      <c r="IV35" s="11"/>
      <c r="IW35" s="11"/>
      <c r="IX35" s="11"/>
      <c r="IY35" s="11"/>
      <c r="IZ35" s="11"/>
      <c r="JA35" s="11"/>
      <c r="JB35" s="11"/>
      <c r="JC35" s="11"/>
      <c r="JD35" s="11"/>
      <c r="JE35" s="11"/>
      <c r="JF35" s="11"/>
      <c r="JG35" s="11"/>
      <c r="JH35" s="11"/>
      <c r="JI35" s="11"/>
      <c r="JJ35" s="11"/>
      <c r="JK35" s="11"/>
      <c r="JL35" s="11"/>
      <c r="JM35" s="11"/>
      <c r="JN35" s="11"/>
      <c r="JO35" s="11"/>
      <c r="JP35" s="11"/>
      <c r="JQ35" s="11"/>
      <c r="JR35" s="11"/>
      <c r="JS35" s="11"/>
      <c r="JT35" s="11"/>
      <c r="JU35" s="11"/>
      <c r="JV35" s="11"/>
      <c r="JW35" s="11"/>
      <c r="JX35" s="11"/>
      <c r="JY35" s="11"/>
      <c r="JZ35" s="11"/>
      <c r="KA35" s="11"/>
      <c r="KB35" s="11"/>
      <c r="KC35" s="11"/>
      <c r="KD35" s="11"/>
      <c r="KE35" s="11"/>
      <c r="KF35" s="11"/>
      <c r="KG35" s="11"/>
      <c r="KH35" s="11"/>
      <c r="KI35" s="11"/>
      <c r="KJ35" s="11"/>
      <c r="KK35" s="11"/>
      <c r="KL35" s="11"/>
      <c r="KM35" s="11"/>
      <c r="KN35" s="11"/>
      <c r="KO35" s="11"/>
      <c r="KP35" s="11"/>
      <c r="KQ35" s="11"/>
      <c r="KR35" s="11"/>
      <c r="KS35" s="11"/>
      <c r="KT35" s="11"/>
      <c r="KU35" s="11"/>
      <c r="KV35" s="11"/>
      <c r="KW35" s="11"/>
      <c r="KX35" s="11"/>
      <c r="KY35" s="11"/>
      <c r="KZ35" s="11"/>
      <c r="LA35" s="11"/>
      <c r="LB35" s="11"/>
      <c r="LC35" s="11"/>
      <c r="LD35" s="11"/>
      <c r="LE35" s="11"/>
      <c r="LF35" s="11"/>
      <c r="LG35" s="11"/>
      <c r="LH35" s="11"/>
      <c r="LI35" s="11"/>
      <c r="LJ35" s="11"/>
      <c r="LK35" s="11"/>
      <c r="LL35" s="11"/>
      <c r="LM35" s="11"/>
      <c r="LN35" s="11"/>
      <c r="LO35" s="11"/>
      <c r="LP35" s="11"/>
      <c r="LQ35" s="11"/>
      <c r="LR35" s="11"/>
      <c r="LS35" s="11"/>
      <c r="LT35" s="11"/>
      <c r="LU35" s="11"/>
      <c r="LV35" s="11"/>
      <c r="LW35" s="11"/>
      <c r="LX35" s="11"/>
      <c r="LY35" s="11"/>
      <c r="LZ35" s="11"/>
      <c r="MA35" s="11"/>
      <c r="MB35" s="11"/>
      <c r="MC35" s="11"/>
      <c r="MD35" s="11"/>
      <c r="ME35" s="11"/>
      <c r="MF35" s="11"/>
      <c r="MG35" s="11"/>
      <c r="MH35" s="11"/>
      <c r="MI35" s="11"/>
      <c r="MJ35" s="11"/>
      <c r="MK35" s="11"/>
      <c r="ML35" s="11"/>
      <c r="MM35" s="11"/>
      <c r="MN35" s="11"/>
      <c r="MO35" s="11"/>
      <c r="MP35" s="11"/>
      <c r="MQ35" s="11"/>
      <c r="MR35" s="11"/>
      <c r="MS35" s="11"/>
      <c r="MT35" s="11"/>
      <c r="MU35" s="11"/>
      <c r="MV35" s="11"/>
      <c r="MW35" s="11"/>
      <c r="MX35" s="11"/>
      <c r="MY35" s="11"/>
      <c r="MZ35" s="11"/>
      <c r="NA35" s="11"/>
      <c r="NB35" s="11"/>
      <c r="NC35" s="11"/>
      <c r="ND35" s="11"/>
      <c r="NE35" s="11"/>
      <c r="NF35" s="11"/>
      <c r="NG35" s="11"/>
      <c r="NH35" s="11"/>
      <c r="NI35" s="11"/>
      <c r="NJ35" s="11"/>
      <c r="NK35" s="11"/>
      <c r="NL35" s="11"/>
      <c r="NM35" s="11"/>
      <c r="NN35" s="11"/>
      <c r="NO35" s="11"/>
      <c r="NP35" s="11"/>
      <c r="NQ35" s="11"/>
      <c r="NR35" s="11"/>
      <c r="NS35" s="11"/>
      <c r="NT35" s="11"/>
      <c r="NU35" s="11"/>
      <c r="NV35" s="11"/>
      <c r="NW35" s="11"/>
      <c r="NX35" s="11"/>
      <c r="NY35" s="11"/>
      <c r="NZ35" s="11"/>
      <c r="OA35" s="11"/>
      <c r="OB35" s="11"/>
      <c r="OC35" s="11"/>
      <c r="OD35" s="11"/>
      <c r="OE35" s="11"/>
      <c r="OF35" s="11"/>
      <c r="OG35" s="11"/>
      <c r="OH35" s="11"/>
      <c r="OI35" s="11"/>
      <c r="OJ35" s="11"/>
      <c r="OK35" s="11"/>
      <c r="OL35" s="11"/>
      <c r="OM35" s="11"/>
      <c r="ON35" s="11"/>
      <c r="OO35" s="11"/>
      <c r="OP35" s="11"/>
      <c r="OQ35" s="11"/>
      <c r="OR35" s="11"/>
      <c r="OS35" s="11"/>
      <c r="OT35" s="11"/>
      <c r="OU35" s="11"/>
      <c r="OV35" s="11"/>
      <c r="OW35" s="11"/>
      <c r="OX35" s="11"/>
      <c r="OY35" s="11"/>
      <c r="OZ35" s="11"/>
      <c r="PA35" s="11"/>
      <c r="PB35" s="11"/>
      <c r="PC35" s="11"/>
      <c r="PD35" s="11"/>
      <c r="PE35" s="11"/>
      <c r="PF35" s="11"/>
      <c r="PG35" s="11"/>
      <c r="PH35" s="11"/>
      <c r="PI35" s="11"/>
      <c r="PJ35" s="11"/>
      <c r="PK35" s="11"/>
      <c r="PL35" s="11"/>
      <c r="PM35" s="11"/>
      <c r="PN35" s="11"/>
      <c r="PO35" s="11"/>
      <c r="PP35" s="11"/>
      <c r="PQ35" s="11"/>
      <c r="PR35" s="11"/>
      <c r="PS35" s="11"/>
      <c r="PT35" s="11"/>
      <c r="PU35" s="11"/>
      <c r="PV35" s="11"/>
      <c r="PW35" s="11"/>
      <c r="PX35" s="11"/>
      <c r="PY35" s="11"/>
      <c r="PZ35" s="11"/>
      <c r="QA35" s="11"/>
      <c r="QB35" s="11"/>
      <c r="QC35" s="11"/>
      <c r="QD35" s="11"/>
      <c r="QE35" s="11"/>
      <c r="QF35" s="11"/>
      <c r="QG35" s="11"/>
      <c r="QH35" s="11"/>
      <c r="QI35" s="11"/>
      <c r="QJ35" s="11"/>
      <c r="QK35" s="11"/>
      <c r="QL35" s="11"/>
      <c r="QM35" s="11"/>
      <c r="QN35" s="11"/>
      <c r="QO35" s="11"/>
      <c r="QP35" s="11"/>
      <c r="QQ35" s="11"/>
      <c r="QR35" s="11"/>
      <c r="QS35" s="11"/>
      <c r="QT35" s="11"/>
      <c r="QU35" s="11"/>
      <c r="QV35" s="11"/>
      <c r="QW35" s="11"/>
      <c r="QX35" s="11"/>
      <c r="QY35" s="11"/>
      <c r="QZ35" s="11"/>
      <c r="RA35" s="11"/>
      <c r="RB35" s="11"/>
      <c r="RC35" s="11"/>
      <c r="RD35" s="11"/>
      <c r="RE35" s="11"/>
      <c r="RF35" s="11"/>
      <c r="RG35" s="11"/>
      <c r="RH35" s="11"/>
      <c r="RI35" s="11"/>
      <c r="RJ35" s="11"/>
      <c r="RK35" s="11"/>
      <c r="RL35" s="11"/>
      <c r="RM35" s="11"/>
      <c r="RN35" s="11"/>
      <c r="RO35" s="11"/>
      <c r="RP35" s="11"/>
      <c r="RQ35" s="11"/>
      <c r="RR35" s="11"/>
      <c r="RS35" s="11"/>
      <c r="RT35" s="11"/>
      <c r="RU35" s="11"/>
      <c r="RV35" s="11"/>
      <c r="RW35" s="11"/>
      <c r="RX35" s="11"/>
      <c r="RY35" s="11"/>
      <c r="RZ35" s="11"/>
      <c r="SA35" s="11"/>
      <c r="SB35" s="11"/>
      <c r="SC35" s="11"/>
      <c r="SD35" s="11"/>
      <c r="SE35" s="11"/>
      <c r="SF35" s="11"/>
      <c r="SG35" s="11"/>
      <c r="SH35" s="11"/>
      <c r="SI35" s="11"/>
      <c r="SJ35" s="11"/>
      <c r="SK35" s="11"/>
      <c r="SL35" s="11"/>
      <c r="SM35" s="11"/>
      <c r="SN35" s="11"/>
      <c r="SO35" s="11"/>
      <c r="SP35" s="11"/>
      <c r="SQ35" s="11"/>
      <c r="SR35" s="11"/>
      <c r="SS35" s="11"/>
      <c r="ST35" s="11"/>
      <c r="SU35" s="11"/>
      <c r="SV35" s="11"/>
      <c r="SW35" s="11"/>
      <c r="SX35" s="11"/>
      <c r="SY35" s="11"/>
      <c r="SZ35" s="11"/>
      <c r="TA35" s="11"/>
      <c r="TB35" s="11"/>
      <c r="TC35" s="11"/>
      <c r="TD35" s="11"/>
      <c r="TE35" s="11"/>
      <c r="TF35" s="11"/>
      <c r="TG35" s="11"/>
      <c r="TH35" s="11"/>
      <c r="TI35" s="11"/>
      <c r="TJ35" s="11"/>
      <c r="TK35" s="11"/>
      <c r="TL35" s="11"/>
      <c r="TM35" s="11"/>
      <c r="TN35" s="11"/>
      <c r="TO35" s="11"/>
      <c r="TP35" s="11"/>
      <c r="TQ35" s="11"/>
      <c r="TR35" s="11"/>
      <c r="TS35" s="11"/>
      <c r="TT35" s="11"/>
      <c r="TU35" s="11"/>
      <c r="TV35" s="11"/>
      <c r="TW35" s="11"/>
      <c r="TX35" s="11"/>
      <c r="TY35" s="11"/>
      <c r="TZ35" s="11"/>
      <c r="UA35" s="11"/>
      <c r="UB35" s="11"/>
      <c r="UC35" s="11"/>
      <c r="UD35" s="11"/>
      <c r="UE35" s="11"/>
      <c r="UF35" s="11"/>
      <c r="UG35" s="11"/>
      <c r="UH35" s="11"/>
      <c r="UI35" s="11"/>
      <c r="UJ35" s="11"/>
      <c r="UK35" s="11"/>
      <c r="UL35" s="11"/>
      <c r="UM35" s="11"/>
      <c r="UN35" s="11"/>
      <c r="UO35" s="11"/>
      <c r="UP35" s="11"/>
      <c r="UQ35" s="11"/>
      <c r="UR35" s="11"/>
      <c r="US35" s="11"/>
      <c r="UT35" s="11"/>
      <c r="UU35" s="11"/>
      <c r="UV35" s="11"/>
      <c r="UW35" s="11"/>
      <c r="UX35" s="11"/>
      <c r="UY35" s="11"/>
      <c r="UZ35" s="11"/>
      <c r="VA35" s="11"/>
      <c r="VB35" s="11"/>
      <c r="VC35" s="11"/>
      <c r="VD35" s="11"/>
      <c r="VE35" s="11"/>
      <c r="VF35" s="11"/>
      <c r="VG35" s="11"/>
      <c r="VH35" s="11"/>
      <c r="VI35" s="11"/>
      <c r="VJ35" s="11"/>
      <c r="VK35" s="11"/>
      <c r="VL35" s="11"/>
      <c r="VM35" s="11"/>
      <c r="VN35" s="11"/>
      <c r="VO35" s="11"/>
      <c r="VP35" s="11"/>
      <c r="VQ35" s="11"/>
      <c r="VR35" s="11"/>
      <c r="VS35" s="11"/>
      <c r="VT35" s="11"/>
      <c r="VU35" s="11"/>
      <c r="VV35" s="11"/>
      <c r="VW35" s="11"/>
      <c r="VX35" s="11"/>
      <c r="VY35" s="11"/>
      <c r="VZ35" s="11"/>
      <c r="WA35" s="11"/>
      <c r="WB35" s="11"/>
      <c r="WC35" s="11"/>
      <c r="WD35" s="11"/>
      <c r="WE35" s="11"/>
      <c r="WF35" s="11"/>
      <c r="WG35" s="11"/>
      <c r="WH35" s="11"/>
      <c r="WI35" s="11"/>
      <c r="WJ35" s="11"/>
      <c r="WK35" s="11"/>
      <c r="WL35" s="11"/>
      <c r="WM35" s="11"/>
      <c r="WN35" s="11"/>
      <c r="WO35" s="11"/>
      <c r="WP35" s="11"/>
      <c r="WQ35" s="11"/>
      <c r="WR35" s="11"/>
      <c r="WS35" s="11"/>
      <c r="WT35" s="11"/>
      <c r="WU35" s="11"/>
      <c r="WV35" s="11"/>
      <c r="WW35" s="11"/>
      <c r="WX35" s="11"/>
      <c r="WY35" s="11"/>
      <c r="WZ35" s="11"/>
      <c r="XA35" s="11"/>
      <c r="XB35" s="11"/>
      <c r="XC35" s="11"/>
      <c r="XD35" s="11"/>
      <c r="XE35" s="11"/>
      <c r="XF35" s="11"/>
      <c r="XG35" s="11"/>
      <c r="XH35" s="11"/>
      <c r="XI35" s="11"/>
      <c r="XJ35" s="11"/>
      <c r="XK35" s="11"/>
      <c r="XL35" s="11"/>
      <c r="XM35" s="11"/>
      <c r="XN35" s="11"/>
      <c r="XO35" s="11"/>
      <c r="XP35" s="11"/>
      <c r="XQ35" s="11"/>
      <c r="XR35" s="11"/>
      <c r="XS35" s="11"/>
      <c r="XT35" s="11"/>
      <c r="XU35" s="11"/>
      <c r="XV35" s="11"/>
      <c r="XW35" s="11"/>
      <c r="XX35" s="11"/>
      <c r="XY35" s="11"/>
      <c r="XZ35" s="11"/>
      <c r="YA35" s="11"/>
      <c r="YB35" s="11"/>
      <c r="YC35" s="11"/>
      <c r="YD35" s="11"/>
      <c r="YE35" s="11"/>
      <c r="YF35" s="11"/>
      <c r="YG35" s="11"/>
      <c r="YH35" s="11"/>
      <c r="YI35" s="11"/>
      <c r="YJ35" s="11"/>
      <c r="YK35" s="11"/>
      <c r="YL35" s="11"/>
      <c r="YM35" s="11"/>
      <c r="YN35" s="11"/>
      <c r="YO35" s="11"/>
      <c r="YP35" s="11"/>
      <c r="YQ35" s="11"/>
      <c r="YR35" s="11"/>
      <c r="YS35" s="11"/>
      <c r="YT35" s="11"/>
      <c r="YU35" s="11"/>
      <c r="YV35" s="11"/>
      <c r="YW35" s="11"/>
      <c r="YX35" s="11"/>
      <c r="YY35" s="11"/>
      <c r="YZ35" s="11"/>
      <c r="ZA35" s="11"/>
      <c r="ZB35" s="11"/>
      <c r="ZC35" s="11"/>
      <c r="ZD35" s="11"/>
      <c r="ZE35" s="11"/>
      <c r="ZF35" s="11"/>
      <c r="ZG35" s="11"/>
      <c r="ZH35" s="11"/>
      <c r="ZI35" s="11"/>
      <c r="ZJ35" s="11"/>
      <c r="ZK35" s="11"/>
      <c r="ZL35" s="11"/>
      <c r="ZM35" s="11"/>
      <c r="ZN35" s="11"/>
      <c r="ZO35" s="11"/>
      <c r="ZP35" s="11"/>
      <c r="ZQ35" s="11"/>
      <c r="ZR35" s="11"/>
      <c r="ZS35" s="11"/>
      <c r="ZT35" s="11"/>
      <c r="ZU35" s="11"/>
      <c r="ZV35" s="11"/>
      <c r="ZW35" s="11"/>
      <c r="ZX35" s="11"/>
      <c r="ZY35" s="11"/>
      <c r="ZZ35" s="11"/>
      <c r="AAA35" s="11"/>
      <c r="AAB35" s="11"/>
      <c r="AAC35" s="11"/>
      <c r="AAD35" s="11"/>
      <c r="AAE35" s="11"/>
      <c r="AAF35" s="11"/>
      <c r="AAG35" s="11"/>
      <c r="AAH35" s="11"/>
      <c r="AAI35" s="11"/>
      <c r="AAJ35" s="11"/>
      <c r="AAK35" s="11"/>
      <c r="AAL35" s="11"/>
    </row>
    <row r="36" spans="26:714" s="6" customFormat="1" x14ac:dyDescent="0.3">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c r="CW36" s="11"/>
      <c r="CX36" s="11"/>
      <c r="CY36" s="11"/>
      <c r="CZ36" s="11"/>
      <c r="DA36" s="11"/>
      <c r="DB36" s="11"/>
      <c r="DC36" s="11"/>
      <c r="DD36" s="11"/>
      <c r="DE36" s="11"/>
      <c r="DF36" s="11"/>
      <c r="DG36" s="11"/>
      <c r="DH36" s="11"/>
      <c r="DI36" s="11"/>
      <c r="DJ36" s="11"/>
      <c r="DK36" s="11"/>
      <c r="DL36" s="11"/>
      <c r="DM36" s="11"/>
      <c r="DN36" s="11"/>
      <c r="DO36" s="11"/>
      <c r="DP36" s="11"/>
      <c r="DQ36" s="11"/>
      <c r="DR36" s="11"/>
      <c r="DS36" s="11"/>
      <c r="DT36" s="11"/>
      <c r="DU36" s="11"/>
      <c r="DV36" s="11"/>
      <c r="DW36" s="11"/>
      <c r="DX36" s="11"/>
      <c r="DY36" s="11"/>
      <c r="DZ36" s="11"/>
      <c r="EA36" s="11"/>
      <c r="EB36" s="11"/>
      <c r="EC36" s="11"/>
      <c r="ED36" s="11"/>
      <c r="EE36" s="11"/>
      <c r="EF36" s="11"/>
      <c r="EG36" s="11"/>
      <c r="EH36" s="11"/>
      <c r="EI36" s="11"/>
      <c r="EJ36" s="11"/>
      <c r="EK36" s="11"/>
      <c r="EL36" s="11"/>
      <c r="EM36" s="11"/>
      <c r="EN36" s="11"/>
      <c r="EO36" s="11"/>
      <c r="EP36" s="11"/>
      <c r="EQ36" s="11"/>
      <c r="ER36" s="11"/>
      <c r="ES36" s="11"/>
      <c r="ET36" s="11"/>
      <c r="EU36" s="11"/>
      <c r="EV36" s="11"/>
      <c r="EW36" s="11"/>
      <c r="EX36" s="11"/>
      <c r="EY36" s="11"/>
      <c r="EZ36" s="11"/>
      <c r="FA36" s="11"/>
      <c r="FB36" s="11"/>
      <c r="FC36" s="11"/>
      <c r="FD36" s="11"/>
      <c r="FE36" s="11"/>
      <c r="FF36" s="11"/>
      <c r="FG36" s="11"/>
      <c r="FH36" s="11"/>
      <c r="FI36" s="11"/>
      <c r="FJ36" s="11"/>
      <c r="FK36" s="11"/>
      <c r="FL36" s="11"/>
      <c r="FM36" s="11"/>
      <c r="FN36" s="11"/>
      <c r="FO36" s="11"/>
      <c r="FP36" s="11"/>
      <c r="FQ36" s="11"/>
      <c r="FR36" s="11"/>
      <c r="FS36" s="11"/>
      <c r="FT36" s="11"/>
      <c r="FU36" s="11"/>
      <c r="FV36" s="11"/>
      <c r="FW36" s="11"/>
      <c r="FX36" s="11"/>
      <c r="FY36" s="11"/>
      <c r="FZ36" s="11"/>
      <c r="GA36" s="11"/>
      <c r="GB36" s="11"/>
      <c r="GC36" s="11"/>
      <c r="GD36" s="11"/>
      <c r="GE36" s="11"/>
      <c r="GF36" s="11"/>
      <c r="GG36" s="11"/>
      <c r="GH36" s="11"/>
      <c r="GI36" s="11"/>
      <c r="GJ36" s="11"/>
      <c r="GK36" s="11"/>
      <c r="GL36" s="11"/>
      <c r="GM36" s="11"/>
      <c r="GN36" s="11"/>
      <c r="GO36" s="11"/>
      <c r="GP36" s="11"/>
      <c r="GQ36" s="11"/>
      <c r="GR36" s="11"/>
      <c r="GS36" s="11"/>
      <c r="GT36" s="11"/>
      <c r="GU36" s="11"/>
      <c r="GV36" s="11"/>
      <c r="GW36" s="11"/>
      <c r="GX36" s="11"/>
      <c r="GY36" s="11"/>
      <c r="GZ36" s="11"/>
      <c r="HA36" s="11"/>
      <c r="HB36" s="11"/>
      <c r="HC36" s="11"/>
      <c r="HD36" s="11"/>
      <c r="HE36" s="11"/>
      <c r="HF36" s="11"/>
      <c r="HG36" s="11"/>
      <c r="HH36" s="11"/>
      <c r="HI36" s="11"/>
      <c r="HJ36" s="11"/>
      <c r="HK36" s="11"/>
      <c r="HL36" s="11"/>
      <c r="HM36" s="11"/>
      <c r="HN36" s="11"/>
      <c r="HO36" s="11"/>
      <c r="HP36" s="11"/>
      <c r="HQ36" s="11"/>
      <c r="HR36" s="11"/>
      <c r="HS36" s="11"/>
      <c r="HT36" s="11"/>
      <c r="HU36" s="11"/>
      <c r="HV36" s="11"/>
      <c r="HW36" s="11"/>
      <c r="HX36" s="11"/>
      <c r="HY36" s="11"/>
      <c r="HZ36" s="11"/>
      <c r="IA36" s="11"/>
      <c r="IB36" s="11"/>
      <c r="IC36" s="11"/>
      <c r="ID36" s="11"/>
      <c r="IE36" s="11"/>
      <c r="IF36" s="11"/>
      <c r="IG36" s="11"/>
      <c r="IH36" s="11"/>
      <c r="II36" s="11"/>
      <c r="IJ36" s="11"/>
      <c r="IK36" s="11"/>
      <c r="IL36" s="11"/>
      <c r="IM36" s="11"/>
      <c r="IN36" s="11"/>
      <c r="IO36" s="11"/>
      <c r="IP36" s="11"/>
      <c r="IQ36" s="11"/>
      <c r="IR36" s="11"/>
      <c r="IS36" s="11"/>
      <c r="IT36" s="11"/>
      <c r="IU36" s="11"/>
      <c r="IV36" s="11"/>
      <c r="IW36" s="11"/>
      <c r="IX36" s="11"/>
      <c r="IY36" s="11"/>
      <c r="IZ36" s="11"/>
      <c r="JA36" s="11"/>
      <c r="JB36" s="11"/>
      <c r="JC36" s="11"/>
      <c r="JD36" s="11"/>
      <c r="JE36" s="11"/>
      <c r="JF36" s="11"/>
      <c r="JG36" s="11"/>
      <c r="JH36" s="11"/>
      <c r="JI36" s="11"/>
      <c r="JJ36" s="11"/>
      <c r="JK36" s="11"/>
      <c r="JL36" s="11"/>
      <c r="JM36" s="11"/>
      <c r="JN36" s="11"/>
      <c r="JO36" s="11"/>
      <c r="JP36" s="11"/>
      <c r="JQ36" s="11"/>
      <c r="JR36" s="11"/>
      <c r="JS36" s="11"/>
      <c r="JT36" s="11"/>
      <c r="JU36" s="11"/>
      <c r="JV36" s="11"/>
      <c r="JW36" s="11"/>
      <c r="JX36" s="11"/>
      <c r="JY36" s="11"/>
      <c r="JZ36" s="11"/>
      <c r="KA36" s="11"/>
      <c r="KB36" s="11"/>
      <c r="KC36" s="11"/>
      <c r="KD36" s="11"/>
      <c r="KE36" s="11"/>
      <c r="KF36" s="11"/>
      <c r="KG36" s="11"/>
      <c r="KH36" s="11"/>
      <c r="KI36" s="11"/>
      <c r="KJ36" s="11"/>
      <c r="KK36" s="11"/>
      <c r="KL36" s="11"/>
      <c r="KM36" s="11"/>
      <c r="KN36" s="11"/>
      <c r="KO36" s="11"/>
      <c r="KP36" s="11"/>
      <c r="KQ36" s="11"/>
      <c r="KR36" s="11"/>
      <c r="KS36" s="11"/>
      <c r="KT36" s="11"/>
      <c r="KU36" s="11"/>
      <c r="KV36" s="11"/>
      <c r="KW36" s="11"/>
      <c r="KX36" s="11"/>
      <c r="KY36" s="11"/>
      <c r="KZ36" s="11"/>
      <c r="LA36" s="11"/>
      <c r="LB36" s="11"/>
      <c r="LC36" s="11"/>
      <c r="LD36" s="11"/>
      <c r="LE36" s="11"/>
      <c r="LF36" s="11"/>
      <c r="LG36" s="11"/>
      <c r="LH36" s="11"/>
      <c r="LI36" s="11"/>
      <c r="LJ36" s="11"/>
      <c r="LK36" s="11"/>
      <c r="LL36" s="11"/>
      <c r="LM36" s="11"/>
      <c r="LN36" s="11"/>
      <c r="LO36" s="11"/>
      <c r="LP36" s="11"/>
      <c r="LQ36" s="11"/>
      <c r="LR36" s="11"/>
      <c r="LS36" s="11"/>
      <c r="LT36" s="11"/>
      <c r="LU36" s="11"/>
      <c r="LV36" s="11"/>
      <c r="LW36" s="11"/>
      <c r="LX36" s="11"/>
      <c r="LY36" s="11"/>
      <c r="LZ36" s="11"/>
      <c r="MA36" s="11"/>
      <c r="MB36" s="11"/>
      <c r="MC36" s="11"/>
      <c r="MD36" s="11"/>
      <c r="ME36" s="11"/>
      <c r="MF36" s="11"/>
      <c r="MG36" s="11"/>
      <c r="MH36" s="11"/>
      <c r="MI36" s="11"/>
      <c r="MJ36" s="11"/>
      <c r="MK36" s="11"/>
      <c r="ML36" s="11"/>
      <c r="MM36" s="11"/>
      <c r="MN36" s="11"/>
      <c r="MO36" s="11"/>
      <c r="MP36" s="11"/>
      <c r="MQ36" s="11"/>
      <c r="MR36" s="11"/>
      <c r="MS36" s="11"/>
      <c r="MT36" s="11"/>
      <c r="MU36" s="11"/>
      <c r="MV36" s="11"/>
      <c r="MW36" s="11"/>
      <c r="MX36" s="11"/>
      <c r="MY36" s="11"/>
      <c r="MZ36" s="11"/>
      <c r="NA36" s="11"/>
      <c r="NB36" s="11"/>
      <c r="NC36" s="11"/>
      <c r="ND36" s="11"/>
      <c r="NE36" s="11"/>
      <c r="NF36" s="11"/>
      <c r="NG36" s="11"/>
      <c r="NH36" s="11"/>
      <c r="NI36" s="11"/>
      <c r="NJ36" s="11"/>
      <c r="NK36" s="11"/>
      <c r="NL36" s="11"/>
      <c r="NM36" s="11"/>
      <c r="NN36" s="11"/>
      <c r="NO36" s="11"/>
      <c r="NP36" s="11"/>
      <c r="NQ36" s="11"/>
      <c r="NR36" s="11"/>
      <c r="NS36" s="11"/>
      <c r="NT36" s="11"/>
      <c r="NU36" s="11"/>
      <c r="NV36" s="11"/>
      <c r="NW36" s="11"/>
      <c r="NX36" s="11"/>
      <c r="NY36" s="11"/>
      <c r="NZ36" s="11"/>
      <c r="OA36" s="11"/>
      <c r="OB36" s="11"/>
      <c r="OC36" s="11"/>
      <c r="OD36" s="11"/>
      <c r="OE36" s="11"/>
      <c r="OF36" s="11"/>
      <c r="OG36" s="11"/>
      <c r="OH36" s="11"/>
      <c r="OI36" s="11"/>
      <c r="OJ36" s="11"/>
      <c r="OK36" s="11"/>
      <c r="OL36" s="11"/>
      <c r="OM36" s="11"/>
      <c r="ON36" s="11"/>
      <c r="OO36" s="11"/>
      <c r="OP36" s="11"/>
      <c r="OQ36" s="11"/>
      <c r="OR36" s="11"/>
      <c r="OS36" s="11"/>
      <c r="OT36" s="11"/>
      <c r="OU36" s="11"/>
      <c r="OV36" s="11"/>
      <c r="OW36" s="11"/>
      <c r="OX36" s="11"/>
      <c r="OY36" s="11"/>
      <c r="OZ36" s="11"/>
      <c r="PA36" s="11"/>
      <c r="PB36" s="11"/>
      <c r="PC36" s="11"/>
      <c r="PD36" s="11"/>
      <c r="PE36" s="11"/>
      <c r="PF36" s="11"/>
      <c r="PG36" s="11"/>
      <c r="PH36" s="11"/>
      <c r="PI36" s="11"/>
      <c r="PJ36" s="11"/>
      <c r="PK36" s="11"/>
      <c r="PL36" s="11"/>
      <c r="PM36" s="11"/>
      <c r="PN36" s="11"/>
      <c r="PO36" s="11"/>
      <c r="PP36" s="11"/>
      <c r="PQ36" s="11"/>
      <c r="PR36" s="11"/>
      <c r="PS36" s="11"/>
      <c r="PT36" s="11"/>
      <c r="PU36" s="11"/>
      <c r="PV36" s="11"/>
      <c r="PW36" s="11"/>
      <c r="PX36" s="11"/>
      <c r="PY36" s="11"/>
      <c r="PZ36" s="11"/>
      <c r="QA36" s="11"/>
      <c r="QB36" s="11"/>
      <c r="QC36" s="11"/>
      <c r="QD36" s="11"/>
      <c r="QE36" s="11"/>
      <c r="QF36" s="11"/>
      <c r="QG36" s="11"/>
      <c r="QH36" s="11"/>
      <c r="QI36" s="11"/>
      <c r="QJ36" s="11"/>
      <c r="QK36" s="11"/>
      <c r="QL36" s="11"/>
      <c r="QM36" s="11"/>
      <c r="QN36" s="11"/>
      <c r="QO36" s="11"/>
      <c r="QP36" s="11"/>
      <c r="QQ36" s="11"/>
      <c r="QR36" s="11"/>
      <c r="QS36" s="11"/>
      <c r="QT36" s="11"/>
      <c r="QU36" s="11"/>
      <c r="QV36" s="11"/>
      <c r="QW36" s="11"/>
      <c r="QX36" s="11"/>
      <c r="QY36" s="11"/>
      <c r="QZ36" s="11"/>
      <c r="RA36" s="11"/>
      <c r="RB36" s="11"/>
      <c r="RC36" s="11"/>
      <c r="RD36" s="11"/>
      <c r="RE36" s="11"/>
      <c r="RF36" s="11"/>
      <c r="RG36" s="11"/>
      <c r="RH36" s="11"/>
      <c r="RI36" s="11"/>
      <c r="RJ36" s="11"/>
      <c r="RK36" s="11"/>
      <c r="RL36" s="11"/>
      <c r="RM36" s="11"/>
      <c r="RN36" s="11"/>
      <c r="RO36" s="11"/>
      <c r="RP36" s="11"/>
      <c r="RQ36" s="11"/>
      <c r="RR36" s="11"/>
      <c r="RS36" s="11"/>
      <c r="RT36" s="11"/>
      <c r="RU36" s="11"/>
      <c r="RV36" s="11"/>
      <c r="RW36" s="11"/>
      <c r="RX36" s="11"/>
      <c r="RY36" s="11"/>
      <c r="RZ36" s="11"/>
      <c r="SA36" s="11"/>
      <c r="SB36" s="11"/>
      <c r="SC36" s="11"/>
      <c r="SD36" s="11"/>
      <c r="SE36" s="11"/>
      <c r="SF36" s="11"/>
      <c r="SG36" s="11"/>
      <c r="SH36" s="11"/>
      <c r="SI36" s="11"/>
      <c r="SJ36" s="11"/>
      <c r="SK36" s="11"/>
      <c r="SL36" s="11"/>
      <c r="SM36" s="11"/>
      <c r="SN36" s="11"/>
      <c r="SO36" s="11"/>
      <c r="SP36" s="11"/>
      <c r="SQ36" s="11"/>
      <c r="SR36" s="11"/>
      <c r="SS36" s="11"/>
      <c r="ST36" s="11"/>
      <c r="SU36" s="11"/>
      <c r="SV36" s="11"/>
      <c r="SW36" s="11"/>
      <c r="SX36" s="11"/>
      <c r="SY36" s="11"/>
      <c r="SZ36" s="11"/>
      <c r="TA36" s="11"/>
      <c r="TB36" s="11"/>
      <c r="TC36" s="11"/>
      <c r="TD36" s="11"/>
      <c r="TE36" s="11"/>
      <c r="TF36" s="11"/>
      <c r="TG36" s="11"/>
      <c r="TH36" s="11"/>
      <c r="TI36" s="11"/>
      <c r="TJ36" s="11"/>
      <c r="TK36" s="11"/>
      <c r="TL36" s="11"/>
      <c r="TM36" s="11"/>
      <c r="TN36" s="11"/>
      <c r="TO36" s="11"/>
      <c r="TP36" s="11"/>
      <c r="TQ36" s="11"/>
      <c r="TR36" s="11"/>
      <c r="TS36" s="11"/>
      <c r="TT36" s="11"/>
      <c r="TU36" s="11"/>
      <c r="TV36" s="11"/>
      <c r="TW36" s="11"/>
      <c r="TX36" s="11"/>
      <c r="TY36" s="11"/>
      <c r="TZ36" s="11"/>
      <c r="UA36" s="11"/>
      <c r="UB36" s="11"/>
      <c r="UC36" s="11"/>
      <c r="UD36" s="11"/>
      <c r="UE36" s="11"/>
      <c r="UF36" s="11"/>
      <c r="UG36" s="11"/>
      <c r="UH36" s="11"/>
      <c r="UI36" s="11"/>
      <c r="UJ36" s="11"/>
      <c r="UK36" s="11"/>
      <c r="UL36" s="11"/>
      <c r="UM36" s="11"/>
      <c r="UN36" s="11"/>
      <c r="UO36" s="11"/>
      <c r="UP36" s="11"/>
      <c r="UQ36" s="11"/>
      <c r="UR36" s="11"/>
      <c r="US36" s="11"/>
      <c r="UT36" s="11"/>
      <c r="UU36" s="11"/>
      <c r="UV36" s="11"/>
      <c r="UW36" s="11"/>
      <c r="UX36" s="11"/>
      <c r="UY36" s="11"/>
      <c r="UZ36" s="11"/>
      <c r="VA36" s="11"/>
      <c r="VB36" s="11"/>
      <c r="VC36" s="11"/>
      <c r="VD36" s="11"/>
      <c r="VE36" s="11"/>
      <c r="VF36" s="11"/>
      <c r="VG36" s="11"/>
      <c r="VH36" s="11"/>
      <c r="VI36" s="11"/>
      <c r="VJ36" s="11"/>
      <c r="VK36" s="11"/>
      <c r="VL36" s="11"/>
      <c r="VM36" s="11"/>
      <c r="VN36" s="11"/>
      <c r="VO36" s="11"/>
      <c r="VP36" s="11"/>
      <c r="VQ36" s="11"/>
      <c r="VR36" s="11"/>
      <c r="VS36" s="11"/>
      <c r="VT36" s="11"/>
      <c r="VU36" s="11"/>
      <c r="VV36" s="11"/>
      <c r="VW36" s="11"/>
      <c r="VX36" s="11"/>
      <c r="VY36" s="11"/>
      <c r="VZ36" s="11"/>
      <c r="WA36" s="11"/>
      <c r="WB36" s="11"/>
      <c r="WC36" s="11"/>
      <c r="WD36" s="11"/>
      <c r="WE36" s="11"/>
      <c r="WF36" s="11"/>
      <c r="WG36" s="11"/>
      <c r="WH36" s="11"/>
      <c r="WI36" s="11"/>
      <c r="WJ36" s="11"/>
      <c r="WK36" s="11"/>
      <c r="WL36" s="11"/>
      <c r="WM36" s="11"/>
      <c r="WN36" s="11"/>
      <c r="WO36" s="11"/>
      <c r="WP36" s="11"/>
      <c r="WQ36" s="11"/>
      <c r="WR36" s="11"/>
      <c r="WS36" s="11"/>
      <c r="WT36" s="11"/>
      <c r="WU36" s="11"/>
      <c r="WV36" s="11"/>
      <c r="WW36" s="11"/>
      <c r="WX36" s="11"/>
      <c r="WY36" s="11"/>
      <c r="WZ36" s="11"/>
      <c r="XA36" s="11"/>
      <c r="XB36" s="11"/>
      <c r="XC36" s="11"/>
      <c r="XD36" s="11"/>
      <c r="XE36" s="11"/>
      <c r="XF36" s="11"/>
      <c r="XG36" s="11"/>
      <c r="XH36" s="11"/>
      <c r="XI36" s="11"/>
      <c r="XJ36" s="11"/>
      <c r="XK36" s="11"/>
      <c r="XL36" s="11"/>
      <c r="XM36" s="11"/>
      <c r="XN36" s="11"/>
      <c r="XO36" s="11"/>
      <c r="XP36" s="11"/>
      <c r="XQ36" s="11"/>
      <c r="XR36" s="11"/>
      <c r="XS36" s="11"/>
      <c r="XT36" s="11"/>
      <c r="XU36" s="11"/>
      <c r="XV36" s="11"/>
      <c r="XW36" s="11"/>
      <c r="XX36" s="11"/>
      <c r="XY36" s="11"/>
      <c r="XZ36" s="11"/>
      <c r="YA36" s="11"/>
      <c r="YB36" s="11"/>
      <c r="YC36" s="11"/>
      <c r="YD36" s="11"/>
      <c r="YE36" s="11"/>
      <c r="YF36" s="11"/>
      <c r="YG36" s="11"/>
      <c r="YH36" s="11"/>
      <c r="YI36" s="11"/>
      <c r="YJ36" s="11"/>
      <c r="YK36" s="11"/>
      <c r="YL36" s="11"/>
      <c r="YM36" s="11"/>
      <c r="YN36" s="11"/>
      <c r="YO36" s="11"/>
      <c r="YP36" s="11"/>
      <c r="YQ36" s="11"/>
      <c r="YR36" s="11"/>
      <c r="YS36" s="11"/>
      <c r="YT36" s="11"/>
      <c r="YU36" s="11"/>
      <c r="YV36" s="11"/>
      <c r="YW36" s="11"/>
      <c r="YX36" s="11"/>
      <c r="YY36" s="11"/>
      <c r="YZ36" s="11"/>
      <c r="ZA36" s="11"/>
      <c r="ZB36" s="11"/>
      <c r="ZC36" s="11"/>
      <c r="ZD36" s="11"/>
      <c r="ZE36" s="11"/>
      <c r="ZF36" s="11"/>
      <c r="ZG36" s="11"/>
      <c r="ZH36" s="11"/>
      <c r="ZI36" s="11"/>
      <c r="ZJ36" s="11"/>
      <c r="ZK36" s="11"/>
      <c r="ZL36" s="11"/>
      <c r="ZM36" s="11"/>
      <c r="ZN36" s="11"/>
      <c r="ZO36" s="11"/>
      <c r="ZP36" s="11"/>
      <c r="ZQ36" s="11"/>
      <c r="ZR36" s="11"/>
      <c r="ZS36" s="11"/>
      <c r="ZT36" s="11"/>
      <c r="ZU36" s="11"/>
      <c r="ZV36" s="11"/>
      <c r="ZW36" s="11"/>
      <c r="ZX36" s="11"/>
      <c r="ZY36" s="11"/>
      <c r="ZZ36" s="11"/>
      <c r="AAA36" s="11"/>
      <c r="AAB36" s="11"/>
      <c r="AAC36" s="11"/>
      <c r="AAD36" s="11"/>
      <c r="AAE36" s="11"/>
      <c r="AAF36" s="11"/>
      <c r="AAG36" s="11"/>
      <c r="AAH36" s="11"/>
      <c r="AAI36" s="11"/>
      <c r="AAJ36" s="11"/>
      <c r="AAK36" s="11"/>
      <c r="AAL36" s="11"/>
    </row>
    <row r="37" spans="26:714" s="6" customFormat="1" x14ac:dyDescent="0.3">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U37" s="11"/>
      <c r="CV37" s="11"/>
      <c r="CW37" s="11"/>
      <c r="CX37" s="11"/>
      <c r="CY37" s="11"/>
      <c r="CZ37" s="11"/>
      <c r="DA37" s="11"/>
      <c r="DB37" s="11"/>
      <c r="DC37" s="11"/>
      <c r="DD37" s="11"/>
      <c r="DE37" s="11"/>
      <c r="DF37" s="11"/>
      <c r="DG37" s="11"/>
      <c r="DH37" s="11"/>
      <c r="DI37" s="11"/>
      <c r="DJ37" s="11"/>
      <c r="DK37" s="11"/>
      <c r="DL37" s="11"/>
      <c r="DM37" s="11"/>
      <c r="DN37" s="11"/>
      <c r="DO37" s="11"/>
      <c r="DP37" s="11"/>
      <c r="DQ37" s="11"/>
      <c r="DR37" s="11"/>
      <c r="DS37" s="11"/>
      <c r="DT37" s="11"/>
      <c r="DU37" s="11"/>
      <c r="DV37" s="11"/>
      <c r="DW37" s="11"/>
      <c r="DX37" s="11"/>
      <c r="DY37" s="11"/>
      <c r="DZ37" s="11"/>
      <c r="EA37" s="11"/>
      <c r="EB37" s="11"/>
      <c r="EC37" s="11"/>
      <c r="ED37" s="11"/>
      <c r="EE37" s="11"/>
      <c r="EF37" s="11"/>
      <c r="EG37" s="11"/>
      <c r="EH37" s="11"/>
      <c r="EI37" s="11"/>
      <c r="EJ37" s="11"/>
      <c r="EK37" s="11"/>
      <c r="EL37" s="11"/>
      <c r="EM37" s="11"/>
      <c r="EN37" s="11"/>
      <c r="EO37" s="11"/>
      <c r="EP37" s="11"/>
      <c r="EQ37" s="11"/>
      <c r="ER37" s="11"/>
      <c r="ES37" s="11"/>
      <c r="ET37" s="11"/>
      <c r="EU37" s="11"/>
      <c r="EV37" s="11"/>
      <c r="EW37" s="11"/>
      <c r="EX37" s="11"/>
      <c r="EY37" s="11"/>
      <c r="EZ37" s="11"/>
      <c r="FA37" s="11"/>
      <c r="FB37" s="11"/>
      <c r="FC37" s="11"/>
      <c r="FD37" s="11"/>
      <c r="FE37" s="11"/>
      <c r="FF37" s="11"/>
      <c r="FG37" s="11"/>
      <c r="FH37" s="11"/>
      <c r="FI37" s="11"/>
      <c r="FJ37" s="11"/>
      <c r="FK37" s="11"/>
      <c r="FL37" s="11"/>
      <c r="FM37" s="11"/>
      <c r="FN37" s="11"/>
      <c r="FO37" s="11"/>
      <c r="FP37" s="11"/>
      <c r="FQ37" s="11"/>
      <c r="FR37" s="11"/>
      <c r="FS37" s="11"/>
      <c r="FT37" s="11"/>
      <c r="FU37" s="11"/>
      <c r="FV37" s="11"/>
      <c r="FW37" s="11"/>
      <c r="FX37" s="11"/>
      <c r="FY37" s="11"/>
      <c r="FZ37" s="11"/>
      <c r="GA37" s="11"/>
      <c r="GB37" s="11"/>
      <c r="GC37" s="11"/>
      <c r="GD37" s="11"/>
      <c r="GE37" s="11"/>
      <c r="GF37" s="11"/>
      <c r="GG37" s="11"/>
      <c r="GH37" s="11"/>
      <c r="GI37" s="11"/>
      <c r="GJ37" s="11"/>
      <c r="GK37" s="11"/>
      <c r="GL37" s="11"/>
      <c r="GM37" s="11"/>
      <c r="GN37" s="11"/>
      <c r="GO37" s="11"/>
      <c r="GP37" s="11"/>
      <c r="GQ37" s="11"/>
      <c r="GR37" s="11"/>
      <c r="GS37" s="11"/>
      <c r="GT37" s="11"/>
      <c r="GU37" s="11"/>
      <c r="GV37" s="11"/>
      <c r="GW37" s="11"/>
      <c r="GX37" s="11"/>
      <c r="GY37" s="11"/>
      <c r="GZ37" s="11"/>
      <c r="HA37" s="11"/>
      <c r="HB37" s="11"/>
      <c r="HC37" s="11"/>
      <c r="HD37" s="11"/>
      <c r="HE37" s="11"/>
      <c r="HF37" s="11"/>
      <c r="HG37" s="11"/>
      <c r="HH37" s="11"/>
      <c r="HI37" s="11"/>
      <c r="HJ37" s="11"/>
      <c r="HK37" s="11"/>
      <c r="HL37" s="11"/>
      <c r="HM37" s="11"/>
      <c r="HN37" s="11"/>
      <c r="HO37" s="11"/>
      <c r="HP37" s="11"/>
      <c r="HQ37" s="11"/>
      <c r="HR37" s="11"/>
      <c r="HS37" s="11"/>
      <c r="HT37" s="11"/>
      <c r="HU37" s="11"/>
      <c r="HV37" s="11"/>
      <c r="HW37" s="11"/>
      <c r="HX37" s="11"/>
      <c r="HY37" s="11"/>
      <c r="HZ37" s="11"/>
      <c r="IA37" s="11"/>
      <c r="IB37" s="11"/>
      <c r="IC37" s="11"/>
      <c r="ID37" s="11"/>
      <c r="IE37" s="11"/>
      <c r="IF37" s="11"/>
      <c r="IG37" s="11"/>
      <c r="IH37" s="11"/>
      <c r="II37" s="11"/>
      <c r="IJ37" s="11"/>
      <c r="IK37" s="11"/>
      <c r="IL37" s="11"/>
      <c r="IM37" s="11"/>
      <c r="IN37" s="11"/>
      <c r="IO37" s="11"/>
      <c r="IP37" s="11"/>
      <c r="IQ37" s="11"/>
      <c r="IR37" s="11"/>
      <c r="IS37" s="11"/>
      <c r="IT37" s="11"/>
      <c r="IU37" s="11"/>
      <c r="IV37" s="11"/>
      <c r="IW37" s="11"/>
      <c r="IX37" s="11"/>
      <c r="IY37" s="11"/>
      <c r="IZ37" s="11"/>
      <c r="JA37" s="11"/>
      <c r="JB37" s="11"/>
      <c r="JC37" s="11"/>
      <c r="JD37" s="11"/>
      <c r="JE37" s="11"/>
      <c r="JF37" s="11"/>
      <c r="JG37" s="11"/>
      <c r="JH37" s="11"/>
      <c r="JI37" s="11"/>
      <c r="JJ37" s="11"/>
      <c r="JK37" s="11"/>
      <c r="JL37" s="11"/>
      <c r="JM37" s="11"/>
      <c r="JN37" s="11"/>
      <c r="JO37" s="11"/>
      <c r="JP37" s="11"/>
      <c r="JQ37" s="11"/>
      <c r="JR37" s="11"/>
      <c r="JS37" s="11"/>
      <c r="JT37" s="11"/>
      <c r="JU37" s="11"/>
      <c r="JV37" s="11"/>
      <c r="JW37" s="11"/>
      <c r="JX37" s="11"/>
      <c r="JY37" s="11"/>
      <c r="JZ37" s="11"/>
      <c r="KA37" s="11"/>
      <c r="KB37" s="11"/>
      <c r="KC37" s="11"/>
      <c r="KD37" s="11"/>
      <c r="KE37" s="11"/>
      <c r="KF37" s="11"/>
      <c r="KG37" s="11"/>
      <c r="KH37" s="11"/>
      <c r="KI37" s="11"/>
      <c r="KJ37" s="11"/>
      <c r="KK37" s="11"/>
      <c r="KL37" s="11"/>
      <c r="KM37" s="11"/>
      <c r="KN37" s="11"/>
      <c r="KO37" s="11"/>
      <c r="KP37" s="11"/>
      <c r="KQ37" s="11"/>
      <c r="KR37" s="11"/>
      <c r="KS37" s="11"/>
      <c r="KT37" s="11"/>
      <c r="KU37" s="11"/>
      <c r="KV37" s="11"/>
      <c r="KW37" s="11"/>
      <c r="KX37" s="11"/>
      <c r="KY37" s="11"/>
      <c r="KZ37" s="11"/>
      <c r="LA37" s="11"/>
      <c r="LB37" s="11"/>
      <c r="LC37" s="11"/>
      <c r="LD37" s="11"/>
      <c r="LE37" s="11"/>
      <c r="LF37" s="11"/>
      <c r="LG37" s="11"/>
      <c r="LH37" s="11"/>
      <c r="LI37" s="11"/>
      <c r="LJ37" s="11"/>
      <c r="LK37" s="11"/>
      <c r="LL37" s="11"/>
      <c r="LM37" s="11"/>
      <c r="LN37" s="11"/>
      <c r="LO37" s="11"/>
      <c r="LP37" s="11"/>
      <c r="LQ37" s="11"/>
      <c r="LR37" s="11"/>
      <c r="LS37" s="11"/>
      <c r="LT37" s="11"/>
      <c r="LU37" s="11"/>
      <c r="LV37" s="11"/>
      <c r="LW37" s="11"/>
      <c r="LX37" s="11"/>
      <c r="LY37" s="11"/>
      <c r="LZ37" s="11"/>
      <c r="MA37" s="11"/>
      <c r="MB37" s="11"/>
      <c r="MC37" s="11"/>
      <c r="MD37" s="11"/>
      <c r="ME37" s="11"/>
      <c r="MF37" s="11"/>
      <c r="MG37" s="11"/>
      <c r="MH37" s="11"/>
      <c r="MI37" s="11"/>
      <c r="MJ37" s="11"/>
      <c r="MK37" s="11"/>
      <c r="ML37" s="11"/>
      <c r="MM37" s="11"/>
      <c r="MN37" s="11"/>
      <c r="MO37" s="11"/>
      <c r="MP37" s="11"/>
      <c r="MQ37" s="11"/>
      <c r="MR37" s="11"/>
      <c r="MS37" s="11"/>
      <c r="MT37" s="11"/>
      <c r="MU37" s="11"/>
      <c r="MV37" s="11"/>
      <c r="MW37" s="11"/>
      <c r="MX37" s="11"/>
      <c r="MY37" s="11"/>
      <c r="MZ37" s="11"/>
      <c r="NA37" s="11"/>
      <c r="NB37" s="11"/>
      <c r="NC37" s="11"/>
      <c r="ND37" s="11"/>
      <c r="NE37" s="11"/>
      <c r="NF37" s="11"/>
      <c r="NG37" s="11"/>
      <c r="NH37" s="11"/>
      <c r="NI37" s="11"/>
      <c r="NJ37" s="11"/>
      <c r="NK37" s="11"/>
      <c r="NL37" s="11"/>
      <c r="NM37" s="11"/>
      <c r="NN37" s="11"/>
      <c r="NO37" s="11"/>
      <c r="NP37" s="11"/>
      <c r="NQ37" s="11"/>
      <c r="NR37" s="11"/>
      <c r="NS37" s="11"/>
      <c r="NT37" s="11"/>
      <c r="NU37" s="11"/>
      <c r="NV37" s="11"/>
      <c r="NW37" s="11"/>
      <c r="NX37" s="11"/>
      <c r="NY37" s="11"/>
      <c r="NZ37" s="11"/>
      <c r="OA37" s="11"/>
      <c r="OB37" s="11"/>
      <c r="OC37" s="11"/>
      <c r="OD37" s="11"/>
      <c r="OE37" s="11"/>
      <c r="OF37" s="11"/>
      <c r="OG37" s="11"/>
      <c r="OH37" s="11"/>
      <c r="OI37" s="11"/>
      <c r="OJ37" s="11"/>
      <c r="OK37" s="11"/>
      <c r="OL37" s="11"/>
      <c r="OM37" s="11"/>
      <c r="ON37" s="11"/>
      <c r="OO37" s="11"/>
      <c r="OP37" s="11"/>
      <c r="OQ37" s="11"/>
      <c r="OR37" s="11"/>
      <c r="OS37" s="11"/>
      <c r="OT37" s="11"/>
      <c r="OU37" s="11"/>
      <c r="OV37" s="11"/>
      <c r="OW37" s="11"/>
      <c r="OX37" s="11"/>
      <c r="OY37" s="11"/>
      <c r="OZ37" s="11"/>
      <c r="PA37" s="11"/>
      <c r="PB37" s="11"/>
      <c r="PC37" s="11"/>
      <c r="PD37" s="11"/>
      <c r="PE37" s="11"/>
      <c r="PF37" s="11"/>
      <c r="PG37" s="11"/>
      <c r="PH37" s="11"/>
      <c r="PI37" s="11"/>
      <c r="PJ37" s="11"/>
      <c r="PK37" s="11"/>
      <c r="PL37" s="11"/>
      <c r="PM37" s="11"/>
      <c r="PN37" s="11"/>
      <c r="PO37" s="11"/>
      <c r="PP37" s="11"/>
      <c r="PQ37" s="11"/>
      <c r="PR37" s="11"/>
      <c r="PS37" s="11"/>
      <c r="PT37" s="11"/>
      <c r="PU37" s="11"/>
      <c r="PV37" s="11"/>
      <c r="PW37" s="11"/>
      <c r="PX37" s="11"/>
      <c r="PY37" s="11"/>
      <c r="PZ37" s="11"/>
      <c r="QA37" s="11"/>
      <c r="QB37" s="11"/>
      <c r="QC37" s="11"/>
      <c r="QD37" s="11"/>
      <c r="QE37" s="11"/>
      <c r="QF37" s="11"/>
      <c r="QG37" s="11"/>
      <c r="QH37" s="11"/>
      <c r="QI37" s="11"/>
      <c r="QJ37" s="11"/>
      <c r="QK37" s="11"/>
      <c r="QL37" s="11"/>
      <c r="QM37" s="11"/>
      <c r="QN37" s="11"/>
      <c r="QO37" s="11"/>
      <c r="QP37" s="11"/>
      <c r="QQ37" s="11"/>
      <c r="QR37" s="11"/>
      <c r="QS37" s="11"/>
      <c r="QT37" s="11"/>
      <c r="QU37" s="11"/>
      <c r="QV37" s="11"/>
      <c r="QW37" s="11"/>
      <c r="QX37" s="11"/>
      <c r="QY37" s="11"/>
      <c r="QZ37" s="11"/>
      <c r="RA37" s="11"/>
      <c r="RB37" s="11"/>
      <c r="RC37" s="11"/>
      <c r="RD37" s="11"/>
      <c r="RE37" s="11"/>
      <c r="RF37" s="11"/>
      <c r="RG37" s="11"/>
      <c r="RH37" s="11"/>
      <c r="RI37" s="11"/>
      <c r="RJ37" s="11"/>
      <c r="RK37" s="11"/>
      <c r="RL37" s="11"/>
      <c r="RM37" s="11"/>
      <c r="RN37" s="11"/>
      <c r="RO37" s="11"/>
      <c r="RP37" s="11"/>
      <c r="RQ37" s="11"/>
      <c r="RR37" s="11"/>
      <c r="RS37" s="11"/>
      <c r="RT37" s="11"/>
      <c r="RU37" s="11"/>
      <c r="RV37" s="11"/>
      <c r="RW37" s="11"/>
      <c r="RX37" s="11"/>
      <c r="RY37" s="11"/>
      <c r="RZ37" s="11"/>
      <c r="SA37" s="11"/>
      <c r="SB37" s="11"/>
      <c r="SC37" s="11"/>
      <c r="SD37" s="11"/>
      <c r="SE37" s="11"/>
      <c r="SF37" s="11"/>
      <c r="SG37" s="11"/>
      <c r="SH37" s="11"/>
      <c r="SI37" s="11"/>
      <c r="SJ37" s="11"/>
      <c r="SK37" s="11"/>
      <c r="SL37" s="11"/>
      <c r="SM37" s="11"/>
      <c r="SN37" s="11"/>
      <c r="SO37" s="11"/>
      <c r="SP37" s="11"/>
      <c r="SQ37" s="11"/>
      <c r="SR37" s="11"/>
      <c r="SS37" s="11"/>
      <c r="ST37" s="11"/>
      <c r="SU37" s="11"/>
      <c r="SV37" s="11"/>
      <c r="SW37" s="11"/>
      <c r="SX37" s="11"/>
      <c r="SY37" s="11"/>
      <c r="SZ37" s="11"/>
      <c r="TA37" s="11"/>
      <c r="TB37" s="11"/>
      <c r="TC37" s="11"/>
      <c r="TD37" s="11"/>
      <c r="TE37" s="11"/>
      <c r="TF37" s="11"/>
      <c r="TG37" s="11"/>
      <c r="TH37" s="11"/>
      <c r="TI37" s="11"/>
      <c r="TJ37" s="11"/>
      <c r="TK37" s="11"/>
      <c r="TL37" s="11"/>
      <c r="TM37" s="11"/>
      <c r="TN37" s="11"/>
      <c r="TO37" s="11"/>
      <c r="TP37" s="11"/>
      <c r="TQ37" s="11"/>
      <c r="TR37" s="11"/>
      <c r="TS37" s="11"/>
      <c r="TT37" s="11"/>
      <c r="TU37" s="11"/>
      <c r="TV37" s="11"/>
      <c r="TW37" s="11"/>
      <c r="TX37" s="11"/>
      <c r="TY37" s="11"/>
      <c r="TZ37" s="11"/>
      <c r="UA37" s="11"/>
      <c r="UB37" s="11"/>
      <c r="UC37" s="11"/>
      <c r="UD37" s="11"/>
      <c r="UE37" s="11"/>
      <c r="UF37" s="11"/>
      <c r="UG37" s="11"/>
      <c r="UH37" s="11"/>
      <c r="UI37" s="11"/>
      <c r="UJ37" s="11"/>
      <c r="UK37" s="11"/>
      <c r="UL37" s="11"/>
      <c r="UM37" s="11"/>
      <c r="UN37" s="11"/>
      <c r="UO37" s="11"/>
      <c r="UP37" s="11"/>
      <c r="UQ37" s="11"/>
      <c r="UR37" s="11"/>
      <c r="US37" s="11"/>
      <c r="UT37" s="11"/>
      <c r="UU37" s="11"/>
      <c r="UV37" s="11"/>
      <c r="UW37" s="11"/>
      <c r="UX37" s="11"/>
      <c r="UY37" s="11"/>
      <c r="UZ37" s="11"/>
      <c r="VA37" s="11"/>
      <c r="VB37" s="11"/>
      <c r="VC37" s="11"/>
      <c r="VD37" s="11"/>
      <c r="VE37" s="11"/>
      <c r="VF37" s="11"/>
      <c r="VG37" s="11"/>
      <c r="VH37" s="11"/>
      <c r="VI37" s="11"/>
      <c r="VJ37" s="11"/>
      <c r="VK37" s="11"/>
      <c r="VL37" s="11"/>
      <c r="VM37" s="11"/>
      <c r="VN37" s="11"/>
      <c r="VO37" s="11"/>
      <c r="VP37" s="11"/>
      <c r="VQ37" s="11"/>
      <c r="VR37" s="11"/>
      <c r="VS37" s="11"/>
      <c r="VT37" s="11"/>
      <c r="VU37" s="11"/>
      <c r="VV37" s="11"/>
      <c r="VW37" s="11"/>
      <c r="VX37" s="11"/>
      <c r="VY37" s="11"/>
      <c r="VZ37" s="11"/>
      <c r="WA37" s="11"/>
      <c r="WB37" s="11"/>
      <c r="WC37" s="11"/>
      <c r="WD37" s="11"/>
      <c r="WE37" s="11"/>
      <c r="WF37" s="11"/>
      <c r="WG37" s="11"/>
      <c r="WH37" s="11"/>
      <c r="WI37" s="11"/>
      <c r="WJ37" s="11"/>
      <c r="WK37" s="11"/>
      <c r="WL37" s="11"/>
      <c r="WM37" s="11"/>
      <c r="WN37" s="11"/>
      <c r="WO37" s="11"/>
      <c r="WP37" s="11"/>
      <c r="WQ37" s="11"/>
      <c r="WR37" s="11"/>
      <c r="WS37" s="11"/>
      <c r="WT37" s="11"/>
      <c r="WU37" s="11"/>
      <c r="WV37" s="11"/>
      <c r="WW37" s="11"/>
      <c r="WX37" s="11"/>
      <c r="WY37" s="11"/>
      <c r="WZ37" s="11"/>
      <c r="XA37" s="11"/>
      <c r="XB37" s="11"/>
      <c r="XC37" s="11"/>
      <c r="XD37" s="11"/>
      <c r="XE37" s="11"/>
      <c r="XF37" s="11"/>
      <c r="XG37" s="11"/>
      <c r="XH37" s="11"/>
      <c r="XI37" s="11"/>
      <c r="XJ37" s="11"/>
      <c r="XK37" s="11"/>
      <c r="XL37" s="11"/>
      <c r="XM37" s="11"/>
      <c r="XN37" s="11"/>
      <c r="XO37" s="11"/>
      <c r="XP37" s="11"/>
      <c r="XQ37" s="11"/>
      <c r="XR37" s="11"/>
      <c r="XS37" s="11"/>
      <c r="XT37" s="11"/>
      <c r="XU37" s="11"/>
      <c r="XV37" s="11"/>
      <c r="XW37" s="11"/>
      <c r="XX37" s="11"/>
      <c r="XY37" s="11"/>
      <c r="XZ37" s="11"/>
      <c r="YA37" s="11"/>
      <c r="YB37" s="11"/>
      <c r="YC37" s="11"/>
      <c r="YD37" s="11"/>
      <c r="YE37" s="11"/>
      <c r="YF37" s="11"/>
      <c r="YG37" s="11"/>
      <c r="YH37" s="11"/>
      <c r="YI37" s="11"/>
      <c r="YJ37" s="11"/>
      <c r="YK37" s="11"/>
      <c r="YL37" s="11"/>
      <c r="YM37" s="11"/>
      <c r="YN37" s="11"/>
      <c r="YO37" s="11"/>
      <c r="YP37" s="11"/>
      <c r="YQ37" s="11"/>
      <c r="YR37" s="11"/>
      <c r="YS37" s="11"/>
      <c r="YT37" s="11"/>
      <c r="YU37" s="11"/>
      <c r="YV37" s="11"/>
      <c r="YW37" s="11"/>
      <c r="YX37" s="11"/>
      <c r="YY37" s="11"/>
      <c r="YZ37" s="11"/>
      <c r="ZA37" s="11"/>
      <c r="ZB37" s="11"/>
      <c r="ZC37" s="11"/>
      <c r="ZD37" s="11"/>
      <c r="ZE37" s="11"/>
      <c r="ZF37" s="11"/>
      <c r="ZG37" s="11"/>
      <c r="ZH37" s="11"/>
      <c r="ZI37" s="11"/>
      <c r="ZJ37" s="11"/>
      <c r="ZK37" s="11"/>
      <c r="ZL37" s="11"/>
      <c r="ZM37" s="11"/>
      <c r="ZN37" s="11"/>
      <c r="ZO37" s="11"/>
      <c r="ZP37" s="11"/>
      <c r="ZQ37" s="11"/>
      <c r="ZR37" s="11"/>
      <c r="ZS37" s="11"/>
      <c r="ZT37" s="11"/>
      <c r="ZU37" s="11"/>
      <c r="ZV37" s="11"/>
      <c r="ZW37" s="11"/>
      <c r="ZX37" s="11"/>
      <c r="ZY37" s="11"/>
      <c r="ZZ37" s="11"/>
      <c r="AAA37" s="11"/>
      <c r="AAB37" s="11"/>
      <c r="AAC37" s="11"/>
      <c r="AAD37" s="11"/>
      <c r="AAE37" s="11"/>
      <c r="AAF37" s="11"/>
      <c r="AAG37" s="11"/>
      <c r="AAH37" s="11"/>
      <c r="AAI37" s="11"/>
      <c r="AAJ37" s="11"/>
      <c r="AAK37" s="11"/>
      <c r="AAL37" s="11"/>
    </row>
    <row r="38" spans="26:714" s="6" customFormat="1" x14ac:dyDescent="0.3">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c r="CS38" s="11"/>
      <c r="CT38" s="11"/>
      <c r="CU38" s="11"/>
      <c r="CV38" s="11"/>
      <c r="CW38" s="11"/>
      <c r="CX38" s="11"/>
      <c r="CY38" s="11"/>
      <c r="CZ38" s="11"/>
      <c r="DA38" s="11"/>
      <c r="DB38" s="11"/>
      <c r="DC38" s="11"/>
      <c r="DD38" s="11"/>
      <c r="DE38" s="11"/>
      <c r="DF38" s="11"/>
      <c r="DG38" s="11"/>
      <c r="DH38" s="11"/>
      <c r="DI38" s="11"/>
      <c r="DJ38" s="11"/>
      <c r="DK38" s="11"/>
      <c r="DL38" s="11"/>
      <c r="DM38" s="11"/>
      <c r="DN38" s="11"/>
      <c r="DO38" s="11"/>
      <c r="DP38" s="11"/>
      <c r="DQ38" s="11"/>
      <c r="DR38" s="11"/>
      <c r="DS38" s="11"/>
      <c r="DT38" s="11"/>
      <c r="DU38" s="11"/>
      <c r="DV38" s="11"/>
      <c r="DW38" s="11"/>
      <c r="DX38" s="11"/>
      <c r="DY38" s="11"/>
      <c r="DZ38" s="11"/>
      <c r="EA38" s="11"/>
      <c r="EB38" s="11"/>
      <c r="EC38" s="11"/>
      <c r="ED38" s="11"/>
      <c r="EE38" s="11"/>
      <c r="EF38" s="11"/>
      <c r="EG38" s="11"/>
      <c r="EH38" s="11"/>
      <c r="EI38" s="11"/>
      <c r="EJ38" s="11"/>
      <c r="EK38" s="11"/>
      <c r="EL38" s="11"/>
      <c r="EM38" s="11"/>
      <c r="EN38" s="11"/>
      <c r="EO38" s="11"/>
      <c r="EP38" s="11"/>
      <c r="EQ38" s="11"/>
      <c r="ER38" s="11"/>
      <c r="ES38" s="11"/>
      <c r="ET38" s="11"/>
      <c r="EU38" s="11"/>
      <c r="EV38" s="11"/>
      <c r="EW38" s="11"/>
      <c r="EX38" s="11"/>
      <c r="EY38" s="11"/>
      <c r="EZ38" s="11"/>
      <c r="FA38" s="11"/>
      <c r="FB38" s="11"/>
      <c r="FC38" s="11"/>
      <c r="FD38" s="11"/>
      <c r="FE38" s="11"/>
      <c r="FF38" s="11"/>
      <c r="FG38" s="11"/>
      <c r="FH38" s="11"/>
      <c r="FI38" s="11"/>
      <c r="FJ38" s="11"/>
      <c r="FK38" s="11"/>
      <c r="FL38" s="11"/>
      <c r="FM38" s="11"/>
      <c r="FN38" s="11"/>
      <c r="FO38" s="11"/>
      <c r="FP38" s="11"/>
      <c r="FQ38" s="11"/>
      <c r="FR38" s="11"/>
      <c r="FS38" s="11"/>
      <c r="FT38" s="11"/>
      <c r="FU38" s="11"/>
      <c r="FV38" s="11"/>
      <c r="FW38" s="11"/>
      <c r="FX38" s="11"/>
      <c r="FY38" s="11"/>
      <c r="FZ38" s="11"/>
      <c r="GA38" s="11"/>
      <c r="GB38" s="11"/>
      <c r="GC38" s="11"/>
      <c r="GD38" s="11"/>
      <c r="GE38" s="11"/>
      <c r="GF38" s="11"/>
      <c r="GG38" s="11"/>
      <c r="GH38" s="11"/>
      <c r="GI38" s="11"/>
      <c r="GJ38" s="11"/>
      <c r="GK38" s="11"/>
      <c r="GL38" s="11"/>
      <c r="GM38" s="11"/>
      <c r="GN38" s="11"/>
      <c r="GO38" s="11"/>
      <c r="GP38" s="11"/>
      <c r="GQ38" s="11"/>
      <c r="GR38" s="11"/>
      <c r="GS38" s="11"/>
      <c r="GT38" s="11"/>
      <c r="GU38" s="11"/>
      <c r="GV38" s="11"/>
      <c r="GW38" s="11"/>
      <c r="GX38" s="11"/>
      <c r="GY38" s="11"/>
      <c r="GZ38" s="11"/>
      <c r="HA38" s="11"/>
      <c r="HB38" s="11"/>
      <c r="HC38" s="11"/>
      <c r="HD38" s="11"/>
      <c r="HE38" s="11"/>
      <c r="HF38" s="11"/>
      <c r="HG38" s="11"/>
      <c r="HH38" s="11"/>
      <c r="HI38" s="11"/>
      <c r="HJ38" s="11"/>
      <c r="HK38" s="11"/>
      <c r="HL38" s="11"/>
      <c r="HM38" s="11"/>
      <c r="HN38" s="11"/>
      <c r="HO38" s="11"/>
      <c r="HP38" s="11"/>
      <c r="HQ38" s="11"/>
      <c r="HR38" s="11"/>
      <c r="HS38" s="11"/>
      <c r="HT38" s="11"/>
      <c r="HU38" s="11"/>
      <c r="HV38" s="11"/>
      <c r="HW38" s="11"/>
      <c r="HX38" s="11"/>
      <c r="HY38" s="11"/>
      <c r="HZ38" s="11"/>
      <c r="IA38" s="11"/>
      <c r="IB38" s="11"/>
      <c r="IC38" s="11"/>
      <c r="ID38" s="11"/>
      <c r="IE38" s="11"/>
      <c r="IF38" s="11"/>
      <c r="IG38" s="11"/>
      <c r="IH38" s="11"/>
      <c r="II38" s="11"/>
      <c r="IJ38" s="11"/>
      <c r="IK38" s="11"/>
      <c r="IL38" s="11"/>
      <c r="IM38" s="11"/>
      <c r="IN38" s="11"/>
      <c r="IO38" s="11"/>
      <c r="IP38" s="11"/>
      <c r="IQ38" s="11"/>
      <c r="IR38" s="11"/>
      <c r="IS38" s="11"/>
      <c r="IT38" s="11"/>
      <c r="IU38" s="11"/>
      <c r="IV38" s="11"/>
      <c r="IW38" s="11"/>
      <c r="IX38" s="11"/>
      <c r="IY38" s="11"/>
      <c r="IZ38" s="11"/>
      <c r="JA38" s="11"/>
      <c r="JB38" s="11"/>
      <c r="JC38" s="11"/>
      <c r="JD38" s="11"/>
      <c r="JE38" s="11"/>
      <c r="JF38" s="11"/>
      <c r="JG38" s="11"/>
      <c r="JH38" s="11"/>
      <c r="JI38" s="11"/>
      <c r="JJ38" s="11"/>
      <c r="JK38" s="11"/>
      <c r="JL38" s="11"/>
      <c r="JM38" s="11"/>
      <c r="JN38" s="11"/>
      <c r="JO38" s="11"/>
      <c r="JP38" s="11"/>
      <c r="JQ38" s="11"/>
      <c r="JR38" s="11"/>
      <c r="JS38" s="11"/>
      <c r="JT38" s="11"/>
      <c r="JU38" s="11"/>
      <c r="JV38" s="11"/>
      <c r="JW38" s="11"/>
      <c r="JX38" s="11"/>
      <c r="JY38" s="11"/>
      <c r="JZ38" s="11"/>
      <c r="KA38" s="11"/>
      <c r="KB38" s="11"/>
      <c r="KC38" s="11"/>
      <c r="KD38" s="11"/>
      <c r="KE38" s="11"/>
      <c r="KF38" s="11"/>
      <c r="KG38" s="11"/>
      <c r="KH38" s="11"/>
      <c r="KI38" s="11"/>
      <c r="KJ38" s="11"/>
      <c r="KK38" s="11"/>
      <c r="KL38" s="11"/>
      <c r="KM38" s="11"/>
      <c r="KN38" s="11"/>
      <c r="KO38" s="11"/>
      <c r="KP38" s="11"/>
      <c r="KQ38" s="11"/>
      <c r="KR38" s="11"/>
      <c r="KS38" s="11"/>
      <c r="KT38" s="11"/>
      <c r="KU38" s="11"/>
      <c r="KV38" s="11"/>
      <c r="KW38" s="11"/>
      <c r="KX38" s="11"/>
      <c r="KY38" s="11"/>
      <c r="KZ38" s="11"/>
      <c r="LA38" s="11"/>
      <c r="LB38" s="11"/>
      <c r="LC38" s="11"/>
      <c r="LD38" s="11"/>
      <c r="LE38" s="11"/>
      <c r="LF38" s="11"/>
      <c r="LG38" s="11"/>
      <c r="LH38" s="11"/>
      <c r="LI38" s="11"/>
      <c r="LJ38" s="11"/>
      <c r="LK38" s="11"/>
      <c r="LL38" s="11"/>
      <c r="LM38" s="11"/>
      <c r="LN38" s="11"/>
      <c r="LO38" s="11"/>
      <c r="LP38" s="11"/>
      <c r="LQ38" s="11"/>
      <c r="LR38" s="11"/>
      <c r="LS38" s="11"/>
      <c r="LT38" s="11"/>
      <c r="LU38" s="11"/>
      <c r="LV38" s="11"/>
      <c r="LW38" s="11"/>
      <c r="LX38" s="11"/>
      <c r="LY38" s="11"/>
      <c r="LZ38" s="11"/>
      <c r="MA38" s="11"/>
      <c r="MB38" s="11"/>
      <c r="MC38" s="11"/>
      <c r="MD38" s="11"/>
      <c r="ME38" s="11"/>
      <c r="MF38" s="11"/>
      <c r="MG38" s="11"/>
      <c r="MH38" s="11"/>
      <c r="MI38" s="11"/>
      <c r="MJ38" s="11"/>
      <c r="MK38" s="11"/>
      <c r="ML38" s="11"/>
      <c r="MM38" s="11"/>
      <c r="MN38" s="11"/>
      <c r="MO38" s="11"/>
      <c r="MP38" s="11"/>
      <c r="MQ38" s="11"/>
      <c r="MR38" s="11"/>
      <c r="MS38" s="11"/>
      <c r="MT38" s="11"/>
      <c r="MU38" s="11"/>
      <c r="MV38" s="11"/>
      <c r="MW38" s="11"/>
      <c r="MX38" s="11"/>
      <c r="MY38" s="11"/>
      <c r="MZ38" s="11"/>
      <c r="NA38" s="11"/>
      <c r="NB38" s="11"/>
      <c r="NC38" s="11"/>
      <c r="ND38" s="11"/>
      <c r="NE38" s="11"/>
      <c r="NF38" s="11"/>
      <c r="NG38" s="11"/>
      <c r="NH38" s="11"/>
      <c r="NI38" s="11"/>
      <c r="NJ38" s="11"/>
      <c r="NK38" s="11"/>
      <c r="NL38" s="11"/>
      <c r="NM38" s="11"/>
      <c r="NN38" s="11"/>
      <c r="NO38" s="11"/>
      <c r="NP38" s="11"/>
      <c r="NQ38" s="11"/>
      <c r="NR38" s="11"/>
      <c r="NS38" s="11"/>
      <c r="NT38" s="11"/>
      <c r="NU38" s="11"/>
      <c r="NV38" s="11"/>
      <c r="NW38" s="11"/>
      <c r="NX38" s="11"/>
      <c r="NY38" s="11"/>
      <c r="NZ38" s="11"/>
      <c r="OA38" s="11"/>
      <c r="OB38" s="11"/>
      <c r="OC38" s="11"/>
      <c r="OD38" s="11"/>
      <c r="OE38" s="11"/>
      <c r="OF38" s="11"/>
      <c r="OG38" s="11"/>
      <c r="OH38" s="11"/>
      <c r="OI38" s="11"/>
      <c r="OJ38" s="11"/>
      <c r="OK38" s="11"/>
      <c r="OL38" s="11"/>
      <c r="OM38" s="11"/>
      <c r="ON38" s="11"/>
      <c r="OO38" s="11"/>
      <c r="OP38" s="11"/>
      <c r="OQ38" s="11"/>
      <c r="OR38" s="11"/>
      <c r="OS38" s="11"/>
      <c r="OT38" s="11"/>
      <c r="OU38" s="11"/>
      <c r="OV38" s="11"/>
      <c r="OW38" s="11"/>
      <c r="OX38" s="11"/>
      <c r="OY38" s="11"/>
      <c r="OZ38" s="11"/>
      <c r="PA38" s="11"/>
      <c r="PB38" s="11"/>
      <c r="PC38" s="11"/>
      <c r="PD38" s="11"/>
      <c r="PE38" s="11"/>
      <c r="PF38" s="11"/>
      <c r="PG38" s="11"/>
      <c r="PH38" s="11"/>
      <c r="PI38" s="11"/>
      <c r="PJ38" s="11"/>
      <c r="PK38" s="11"/>
      <c r="PL38" s="11"/>
      <c r="PM38" s="11"/>
      <c r="PN38" s="11"/>
      <c r="PO38" s="11"/>
      <c r="PP38" s="11"/>
      <c r="PQ38" s="11"/>
      <c r="PR38" s="11"/>
      <c r="PS38" s="11"/>
      <c r="PT38" s="11"/>
      <c r="PU38" s="11"/>
      <c r="PV38" s="11"/>
      <c r="PW38" s="11"/>
      <c r="PX38" s="11"/>
      <c r="PY38" s="11"/>
      <c r="PZ38" s="11"/>
      <c r="QA38" s="11"/>
      <c r="QB38" s="11"/>
      <c r="QC38" s="11"/>
      <c r="QD38" s="11"/>
      <c r="QE38" s="11"/>
      <c r="QF38" s="11"/>
      <c r="QG38" s="11"/>
      <c r="QH38" s="11"/>
      <c r="QI38" s="11"/>
      <c r="QJ38" s="11"/>
      <c r="QK38" s="11"/>
      <c r="QL38" s="11"/>
      <c r="QM38" s="11"/>
      <c r="QN38" s="11"/>
      <c r="QO38" s="11"/>
      <c r="QP38" s="11"/>
      <c r="QQ38" s="11"/>
      <c r="QR38" s="11"/>
      <c r="QS38" s="11"/>
      <c r="QT38" s="11"/>
      <c r="QU38" s="11"/>
      <c r="QV38" s="11"/>
      <c r="QW38" s="11"/>
      <c r="QX38" s="11"/>
      <c r="QY38" s="11"/>
      <c r="QZ38" s="11"/>
      <c r="RA38" s="11"/>
      <c r="RB38" s="11"/>
      <c r="RC38" s="11"/>
      <c r="RD38" s="11"/>
      <c r="RE38" s="11"/>
      <c r="RF38" s="11"/>
      <c r="RG38" s="11"/>
      <c r="RH38" s="11"/>
      <c r="RI38" s="11"/>
      <c r="RJ38" s="11"/>
      <c r="RK38" s="11"/>
      <c r="RL38" s="11"/>
      <c r="RM38" s="11"/>
      <c r="RN38" s="11"/>
      <c r="RO38" s="11"/>
      <c r="RP38" s="11"/>
      <c r="RQ38" s="11"/>
      <c r="RR38" s="11"/>
      <c r="RS38" s="11"/>
      <c r="RT38" s="11"/>
      <c r="RU38" s="11"/>
      <c r="RV38" s="11"/>
      <c r="RW38" s="11"/>
      <c r="RX38" s="11"/>
      <c r="RY38" s="11"/>
      <c r="RZ38" s="11"/>
      <c r="SA38" s="11"/>
      <c r="SB38" s="11"/>
      <c r="SC38" s="11"/>
      <c r="SD38" s="11"/>
      <c r="SE38" s="11"/>
      <c r="SF38" s="11"/>
      <c r="SG38" s="11"/>
      <c r="SH38" s="11"/>
      <c r="SI38" s="11"/>
      <c r="SJ38" s="11"/>
      <c r="SK38" s="11"/>
      <c r="SL38" s="11"/>
      <c r="SM38" s="11"/>
      <c r="SN38" s="11"/>
      <c r="SO38" s="11"/>
      <c r="SP38" s="11"/>
      <c r="SQ38" s="11"/>
      <c r="SR38" s="11"/>
      <c r="SS38" s="11"/>
      <c r="ST38" s="11"/>
      <c r="SU38" s="11"/>
      <c r="SV38" s="11"/>
      <c r="SW38" s="11"/>
      <c r="SX38" s="11"/>
      <c r="SY38" s="11"/>
      <c r="SZ38" s="11"/>
      <c r="TA38" s="11"/>
      <c r="TB38" s="11"/>
      <c r="TC38" s="11"/>
      <c r="TD38" s="11"/>
      <c r="TE38" s="11"/>
      <c r="TF38" s="11"/>
      <c r="TG38" s="11"/>
      <c r="TH38" s="11"/>
      <c r="TI38" s="11"/>
      <c r="TJ38" s="11"/>
      <c r="TK38" s="11"/>
      <c r="TL38" s="11"/>
      <c r="TM38" s="11"/>
      <c r="TN38" s="11"/>
      <c r="TO38" s="11"/>
      <c r="TP38" s="11"/>
      <c r="TQ38" s="11"/>
      <c r="TR38" s="11"/>
      <c r="TS38" s="11"/>
      <c r="TT38" s="11"/>
      <c r="TU38" s="11"/>
      <c r="TV38" s="11"/>
      <c r="TW38" s="11"/>
      <c r="TX38" s="11"/>
      <c r="TY38" s="11"/>
      <c r="TZ38" s="11"/>
      <c r="UA38" s="11"/>
      <c r="UB38" s="11"/>
      <c r="UC38" s="11"/>
      <c r="UD38" s="11"/>
      <c r="UE38" s="11"/>
      <c r="UF38" s="11"/>
      <c r="UG38" s="11"/>
      <c r="UH38" s="11"/>
      <c r="UI38" s="11"/>
      <c r="UJ38" s="11"/>
      <c r="UK38" s="11"/>
      <c r="UL38" s="11"/>
      <c r="UM38" s="11"/>
      <c r="UN38" s="11"/>
      <c r="UO38" s="11"/>
      <c r="UP38" s="11"/>
      <c r="UQ38" s="11"/>
      <c r="UR38" s="11"/>
      <c r="US38" s="11"/>
      <c r="UT38" s="11"/>
      <c r="UU38" s="11"/>
      <c r="UV38" s="11"/>
      <c r="UW38" s="11"/>
      <c r="UX38" s="11"/>
      <c r="UY38" s="11"/>
      <c r="UZ38" s="11"/>
      <c r="VA38" s="11"/>
      <c r="VB38" s="11"/>
      <c r="VC38" s="11"/>
      <c r="VD38" s="11"/>
      <c r="VE38" s="11"/>
      <c r="VF38" s="11"/>
      <c r="VG38" s="11"/>
      <c r="VH38" s="11"/>
      <c r="VI38" s="11"/>
      <c r="VJ38" s="11"/>
      <c r="VK38" s="11"/>
      <c r="VL38" s="11"/>
      <c r="VM38" s="11"/>
      <c r="VN38" s="11"/>
      <c r="VO38" s="11"/>
      <c r="VP38" s="11"/>
      <c r="VQ38" s="11"/>
      <c r="VR38" s="11"/>
      <c r="VS38" s="11"/>
      <c r="VT38" s="11"/>
      <c r="VU38" s="11"/>
      <c r="VV38" s="11"/>
      <c r="VW38" s="11"/>
      <c r="VX38" s="11"/>
      <c r="VY38" s="11"/>
      <c r="VZ38" s="11"/>
      <c r="WA38" s="11"/>
      <c r="WB38" s="11"/>
      <c r="WC38" s="11"/>
      <c r="WD38" s="11"/>
      <c r="WE38" s="11"/>
      <c r="WF38" s="11"/>
      <c r="WG38" s="11"/>
      <c r="WH38" s="11"/>
      <c r="WI38" s="11"/>
      <c r="WJ38" s="11"/>
      <c r="WK38" s="11"/>
      <c r="WL38" s="11"/>
      <c r="WM38" s="11"/>
      <c r="WN38" s="11"/>
      <c r="WO38" s="11"/>
      <c r="WP38" s="11"/>
      <c r="WQ38" s="11"/>
      <c r="WR38" s="11"/>
      <c r="WS38" s="11"/>
      <c r="WT38" s="11"/>
      <c r="WU38" s="11"/>
      <c r="WV38" s="11"/>
      <c r="WW38" s="11"/>
      <c r="WX38" s="11"/>
      <c r="WY38" s="11"/>
      <c r="WZ38" s="11"/>
      <c r="XA38" s="11"/>
      <c r="XB38" s="11"/>
      <c r="XC38" s="11"/>
      <c r="XD38" s="11"/>
      <c r="XE38" s="11"/>
      <c r="XF38" s="11"/>
      <c r="XG38" s="11"/>
      <c r="XH38" s="11"/>
      <c r="XI38" s="11"/>
      <c r="XJ38" s="11"/>
      <c r="XK38" s="11"/>
      <c r="XL38" s="11"/>
      <c r="XM38" s="11"/>
      <c r="XN38" s="11"/>
      <c r="XO38" s="11"/>
      <c r="XP38" s="11"/>
      <c r="XQ38" s="11"/>
      <c r="XR38" s="11"/>
      <c r="XS38" s="11"/>
      <c r="XT38" s="11"/>
      <c r="XU38" s="11"/>
      <c r="XV38" s="11"/>
      <c r="XW38" s="11"/>
      <c r="XX38" s="11"/>
      <c r="XY38" s="11"/>
      <c r="XZ38" s="11"/>
      <c r="YA38" s="11"/>
      <c r="YB38" s="11"/>
      <c r="YC38" s="11"/>
      <c r="YD38" s="11"/>
      <c r="YE38" s="11"/>
      <c r="YF38" s="11"/>
      <c r="YG38" s="11"/>
      <c r="YH38" s="11"/>
      <c r="YI38" s="11"/>
      <c r="YJ38" s="11"/>
      <c r="YK38" s="11"/>
      <c r="YL38" s="11"/>
      <c r="YM38" s="11"/>
      <c r="YN38" s="11"/>
      <c r="YO38" s="11"/>
      <c r="YP38" s="11"/>
      <c r="YQ38" s="11"/>
      <c r="YR38" s="11"/>
      <c r="YS38" s="11"/>
      <c r="YT38" s="11"/>
      <c r="YU38" s="11"/>
      <c r="YV38" s="11"/>
      <c r="YW38" s="11"/>
      <c r="YX38" s="11"/>
      <c r="YY38" s="11"/>
      <c r="YZ38" s="11"/>
      <c r="ZA38" s="11"/>
      <c r="ZB38" s="11"/>
      <c r="ZC38" s="11"/>
      <c r="ZD38" s="11"/>
      <c r="ZE38" s="11"/>
      <c r="ZF38" s="11"/>
      <c r="ZG38" s="11"/>
      <c r="ZH38" s="11"/>
      <c r="ZI38" s="11"/>
      <c r="ZJ38" s="11"/>
      <c r="ZK38" s="11"/>
      <c r="ZL38" s="11"/>
      <c r="ZM38" s="11"/>
      <c r="ZN38" s="11"/>
      <c r="ZO38" s="11"/>
      <c r="ZP38" s="11"/>
      <c r="ZQ38" s="11"/>
      <c r="ZR38" s="11"/>
      <c r="ZS38" s="11"/>
      <c r="ZT38" s="11"/>
      <c r="ZU38" s="11"/>
      <c r="ZV38" s="11"/>
      <c r="ZW38" s="11"/>
      <c r="ZX38" s="11"/>
      <c r="ZY38" s="11"/>
      <c r="ZZ38" s="11"/>
      <c r="AAA38" s="11"/>
      <c r="AAB38" s="11"/>
      <c r="AAC38" s="11"/>
      <c r="AAD38" s="11"/>
      <c r="AAE38" s="11"/>
      <c r="AAF38" s="11"/>
      <c r="AAG38" s="11"/>
      <c r="AAH38" s="11"/>
      <c r="AAI38" s="11"/>
      <c r="AAJ38" s="11"/>
      <c r="AAK38" s="11"/>
      <c r="AAL38" s="11"/>
    </row>
    <row r="39" spans="26:714" s="6" customFormat="1" x14ac:dyDescent="0.3">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U39" s="11"/>
      <c r="CV39" s="11"/>
      <c r="CW39" s="11"/>
      <c r="CX39" s="11"/>
      <c r="CY39" s="11"/>
      <c r="CZ39" s="11"/>
      <c r="DA39" s="11"/>
      <c r="DB39" s="11"/>
      <c r="DC39" s="11"/>
      <c r="DD39" s="11"/>
      <c r="DE39" s="11"/>
      <c r="DF39" s="11"/>
      <c r="DG39" s="11"/>
      <c r="DH39" s="11"/>
      <c r="DI39" s="11"/>
      <c r="DJ39" s="11"/>
      <c r="DK39" s="11"/>
      <c r="DL39" s="11"/>
      <c r="DM39" s="11"/>
      <c r="DN39" s="11"/>
      <c r="DO39" s="11"/>
      <c r="DP39" s="11"/>
      <c r="DQ39" s="11"/>
      <c r="DR39" s="11"/>
      <c r="DS39" s="11"/>
      <c r="DT39" s="11"/>
      <c r="DU39" s="11"/>
      <c r="DV39" s="11"/>
      <c r="DW39" s="11"/>
      <c r="DX39" s="11"/>
      <c r="DY39" s="11"/>
      <c r="DZ39" s="11"/>
      <c r="EA39" s="11"/>
      <c r="EB39" s="11"/>
      <c r="EC39" s="11"/>
      <c r="ED39" s="11"/>
      <c r="EE39" s="11"/>
      <c r="EF39" s="11"/>
      <c r="EG39" s="11"/>
      <c r="EH39" s="11"/>
      <c r="EI39" s="11"/>
      <c r="EJ39" s="11"/>
      <c r="EK39" s="11"/>
      <c r="EL39" s="11"/>
      <c r="EM39" s="11"/>
      <c r="EN39" s="11"/>
      <c r="EO39" s="11"/>
      <c r="EP39" s="11"/>
      <c r="EQ39" s="11"/>
      <c r="ER39" s="11"/>
      <c r="ES39" s="11"/>
      <c r="ET39" s="11"/>
      <c r="EU39" s="11"/>
      <c r="EV39" s="11"/>
      <c r="EW39" s="11"/>
      <c r="EX39" s="11"/>
      <c r="EY39" s="11"/>
      <c r="EZ39" s="11"/>
      <c r="FA39" s="11"/>
      <c r="FB39" s="11"/>
      <c r="FC39" s="11"/>
      <c r="FD39" s="11"/>
      <c r="FE39" s="11"/>
      <c r="FF39" s="11"/>
      <c r="FG39" s="11"/>
      <c r="FH39" s="11"/>
      <c r="FI39" s="11"/>
      <c r="FJ39" s="11"/>
      <c r="FK39" s="11"/>
      <c r="FL39" s="11"/>
      <c r="FM39" s="11"/>
      <c r="FN39" s="11"/>
      <c r="FO39" s="11"/>
      <c r="FP39" s="11"/>
      <c r="FQ39" s="11"/>
      <c r="FR39" s="11"/>
      <c r="FS39" s="11"/>
      <c r="FT39" s="11"/>
      <c r="FU39" s="11"/>
      <c r="FV39" s="11"/>
      <c r="FW39" s="11"/>
      <c r="FX39" s="11"/>
      <c r="FY39" s="11"/>
      <c r="FZ39" s="11"/>
      <c r="GA39" s="11"/>
      <c r="GB39" s="11"/>
      <c r="GC39" s="11"/>
      <c r="GD39" s="11"/>
      <c r="GE39" s="11"/>
      <c r="GF39" s="11"/>
      <c r="GG39" s="11"/>
      <c r="GH39" s="11"/>
      <c r="GI39" s="11"/>
      <c r="GJ39" s="11"/>
      <c r="GK39" s="11"/>
      <c r="GL39" s="11"/>
      <c r="GM39" s="11"/>
      <c r="GN39" s="11"/>
      <c r="GO39" s="11"/>
      <c r="GP39" s="11"/>
      <c r="GQ39" s="11"/>
      <c r="GR39" s="11"/>
      <c r="GS39" s="11"/>
      <c r="GT39" s="11"/>
      <c r="GU39" s="11"/>
      <c r="GV39" s="11"/>
      <c r="GW39" s="11"/>
      <c r="GX39" s="11"/>
      <c r="GY39" s="11"/>
      <c r="GZ39" s="11"/>
      <c r="HA39" s="11"/>
      <c r="HB39" s="11"/>
      <c r="HC39" s="11"/>
      <c r="HD39" s="11"/>
      <c r="HE39" s="11"/>
      <c r="HF39" s="11"/>
      <c r="HG39" s="11"/>
      <c r="HH39" s="11"/>
      <c r="HI39" s="11"/>
      <c r="HJ39" s="11"/>
      <c r="HK39" s="11"/>
      <c r="HL39" s="11"/>
      <c r="HM39" s="11"/>
      <c r="HN39" s="11"/>
      <c r="HO39" s="11"/>
      <c r="HP39" s="11"/>
      <c r="HQ39" s="11"/>
      <c r="HR39" s="11"/>
      <c r="HS39" s="11"/>
      <c r="HT39" s="11"/>
      <c r="HU39" s="11"/>
      <c r="HV39" s="11"/>
      <c r="HW39" s="11"/>
      <c r="HX39" s="11"/>
      <c r="HY39" s="11"/>
      <c r="HZ39" s="11"/>
      <c r="IA39" s="11"/>
      <c r="IB39" s="11"/>
      <c r="IC39" s="11"/>
      <c r="ID39" s="11"/>
      <c r="IE39" s="11"/>
      <c r="IF39" s="11"/>
      <c r="IG39" s="11"/>
      <c r="IH39" s="11"/>
      <c r="II39" s="11"/>
      <c r="IJ39" s="11"/>
      <c r="IK39" s="11"/>
      <c r="IL39" s="11"/>
      <c r="IM39" s="11"/>
      <c r="IN39" s="11"/>
      <c r="IO39" s="11"/>
      <c r="IP39" s="11"/>
      <c r="IQ39" s="11"/>
      <c r="IR39" s="11"/>
      <c r="IS39" s="11"/>
      <c r="IT39" s="11"/>
      <c r="IU39" s="11"/>
      <c r="IV39" s="11"/>
      <c r="IW39" s="11"/>
      <c r="IX39" s="11"/>
      <c r="IY39" s="11"/>
      <c r="IZ39" s="11"/>
      <c r="JA39" s="11"/>
      <c r="JB39" s="11"/>
      <c r="JC39" s="11"/>
      <c r="JD39" s="11"/>
      <c r="JE39" s="11"/>
      <c r="JF39" s="11"/>
      <c r="JG39" s="11"/>
      <c r="JH39" s="11"/>
      <c r="JI39" s="11"/>
      <c r="JJ39" s="11"/>
      <c r="JK39" s="11"/>
      <c r="JL39" s="11"/>
      <c r="JM39" s="11"/>
      <c r="JN39" s="11"/>
      <c r="JO39" s="11"/>
      <c r="JP39" s="11"/>
      <c r="JQ39" s="11"/>
      <c r="JR39" s="11"/>
      <c r="JS39" s="11"/>
      <c r="JT39" s="11"/>
      <c r="JU39" s="11"/>
      <c r="JV39" s="11"/>
      <c r="JW39" s="11"/>
      <c r="JX39" s="11"/>
      <c r="JY39" s="11"/>
      <c r="JZ39" s="11"/>
      <c r="KA39" s="11"/>
      <c r="KB39" s="11"/>
      <c r="KC39" s="11"/>
      <c r="KD39" s="11"/>
      <c r="KE39" s="11"/>
      <c r="KF39" s="11"/>
      <c r="KG39" s="11"/>
      <c r="KH39" s="11"/>
      <c r="KI39" s="11"/>
      <c r="KJ39" s="11"/>
      <c r="KK39" s="11"/>
      <c r="KL39" s="11"/>
      <c r="KM39" s="11"/>
      <c r="KN39" s="11"/>
      <c r="KO39" s="11"/>
      <c r="KP39" s="11"/>
      <c r="KQ39" s="11"/>
      <c r="KR39" s="11"/>
      <c r="KS39" s="11"/>
      <c r="KT39" s="11"/>
      <c r="KU39" s="11"/>
      <c r="KV39" s="11"/>
      <c r="KW39" s="11"/>
      <c r="KX39" s="11"/>
      <c r="KY39" s="11"/>
      <c r="KZ39" s="11"/>
      <c r="LA39" s="11"/>
      <c r="LB39" s="11"/>
      <c r="LC39" s="11"/>
      <c r="LD39" s="11"/>
      <c r="LE39" s="11"/>
      <c r="LF39" s="11"/>
      <c r="LG39" s="11"/>
      <c r="LH39" s="11"/>
      <c r="LI39" s="11"/>
      <c r="LJ39" s="11"/>
      <c r="LK39" s="11"/>
      <c r="LL39" s="11"/>
      <c r="LM39" s="11"/>
      <c r="LN39" s="11"/>
      <c r="LO39" s="11"/>
      <c r="LP39" s="11"/>
      <c r="LQ39" s="11"/>
      <c r="LR39" s="11"/>
      <c r="LS39" s="11"/>
      <c r="LT39" s="11"/>
      <c r="LU39" s="11"/>
      <c r="LV39" s="11"/>
      <c r="LW39" s="11"/>
      <c r="LX39" s="11"/>
      <c r="LY39" s="11"/>
      <c r="LZ39" s="11"/>
      <c r="MA39" s="11"/>
      <c r="MB39" s="11"/>
      <c r="MC39" s="11"/>
      <c r="MD39" s="11"/>
      <c r="ME39" s="11"/>
      <c r="MF39" s="11"/>
      <c r="MG39" s="11"/>
      <c r="MH39" s="11"/>
      <c r="MI39" s="11"/>
      <c r="MJ39" s="11"/>
      <c r="MK39" s="11"/>
      <c r="ML39" s="11"/>
      <c r="MM39" s="11"/>
      <c r="MN39" s="11"/>
      <c r="MO39" s="11"/>
      <c r="MP39" s="11"/>
      <c r="MQ39" s="11"/>
      <c r="MR39" s="11"/>
      <c r="MS39" s="11"/>
      <c r="MT39" s="11"/>
      <c r="MU39" s="11"/>
      <c r="MV39" s="11"/>
      <c r="MW39" s="11"/>
      <c r="MX39" s="11"/>
      <c r="MY39" s="11"/>
      <c r="MZ39" s="11"/>
      <c r="NA39" s="11"/>
      <c r="NB39" s="11"/>
      <c r="NC39" s="11"/>
      <c r="ND39" s="11"/>
      <c r="NE39" s="11"/>
      <c r="NF39" s="11"/>
      <c r="NG39" s="11"/>
      <c r="NH39" s="11"/>
      <c r="NI39" s="11"/>
      <c r="NJ39" s="11"/>
      <c r="NK39" s="11"/>
      <c r="NL39" s="11"/>
      <c r="NM39" s="11"/>
      <c r="NN39" s="11"/>
      <c r="NO39" s="11"/>
      <c r="NP39" s="11"/>
      <c r="NQ39" s="11"/>
      <c r="NR39" s="11"/>
      <c r="NS39" s="11"/>
      <c r="NT39" s="11"/>
      <c r="NU39" s="11"/>
      <c r="NV39" s="11"/>
      <c r="NW39" s="11"/>
      <c r="NX39" s="11"/>
      <c r="NY39" s="11"/>
      <c r="NZ39" s="11"/>
      <c r="OA39" s="11"/>
      <c r="OB39" s="11"/>
      <c r="OC39" s="11"/>
      <c r="OD39" s="11"/>
      <c r="OE39" s="11"/>
      <c r="OF39" s="11"/>
      <c r="OG39" s="11"/>
      <c r="OH39" s="11"/>
      <c r="OI39" s="11"/>
      <c r="OJ39" s="11"/>
      <c r="OK39" s="11"/>
      <c r="OL39" s="11"/>
      <c r="OM39" s="11"/>
      <c r="ON39" s="11"/>
      <c r="OO39" s="11"/>
      <c r="OP39" s="11"/>
      <c r="OQ39" s="11"/>
      <c r="OR39" s="11"/>
      <c r="OS39" s="11"/>
      <c r="OT39" s="11"/>
      <c r="OU39" s="11"/>
      <c r="OV39" s="11"/>
      <c r="OW39" s="11"/>
      <c r="OX39" s="11"/>
      <c r="OY39" s="11"/>
      <c r="OZ39" s="11"/>
      <c r="PA39" s="11"/>
      <c r="PB39" s="11"/>
      <c r="PC39" s="11"/>
      <c r="PD39" s="11"/>
      <c r="PE39" s="11"/>
      <c r="PF39" s="11"/>
      <c r="PG39" s="11"/>
      <c r="PH39" s="11"/>
      <c r="PI39" s="11"/>
      <c r="PJ39" s="11"/>
      <c r="PK39" s="11"/>
      <c r="PL39" s="11"/>
      <c r="PM39" s="11"/>
      <c r="PN39" s="11"/>
      <c r="PO39" s="11"/>
      <c r="PP39" s="11"/>
      <c r="PQ39" s="11"/>
      <c r="PR39" s="11"/>
      <c r="PS39" s="11"/>
      <c r="PT39" s="11"/>
      <c r="PU39" s="11"/>
      <c r="PV39" s="11"/>
      <c r="PW39" s="11"/>
      <c r="PX39" s="11"/>
      <c r="PY39" s="11"/>
      <c r="PZ39" s="11"/>
      <c r="QA39" s="11"/>
      <c r="QB39" s="11"/>
      <c r="QC39" s="11"/>
      <c r="QD39" s="11"/>
      <c r="QE39" s="11"/>
      <c r="QF39" s="11"/>
      <c r="QG39" s="11"/>
      <c r="QH39" s="11"/>
      <c r="QI39" s="11"/>
      <c r="QJ39" s="11"/>
      <c r="QK39" s="11"/>
      <c r="QL39" s="11"/>
      <c r="QM39" s="11"/>
      <c r="QN39" s="11"/>
      <c r="QO39" s="11"/>
      <c r="QP39" s="11"/>
      <c r="QQ39" s="11"/>
      <c r="QR39" s="11"/>
      <c r="QS39" s="11"/>
      <c r="QT39" s="11"/>
      <c r="QU39" s="11"/>
      <c r="QV39" s="11"/>
      <c r="QW39" s="11"/>
      <c r="QX39" s="11"/>
      <c r="QY39" s="11"/>
      <c r="QZ39" s="11"/>
      <c r="RA39" s="11"/>
      <c r="RB39" s="11"/>
      <c r="RC39" s="11"/>
      <c r="RD39" s="11"/>
      <c r="RE39" s="11"/>
      <c r="RF39" s="11"/>
      <c r="RG39" s="11"/>
      <c r="RH39" s="11"/>
      <c r="RI39" s="11"/>
      <c r="RJ39" s="11"/>
      <c r="RK39" s="11"/>
      <c r="RL39" s="11"/>
      <c r="RM39" s="11"/>
      <c r="RN39" s="11"/>
      <c r="RO39" s="11"/>
      <c r="RP39" s="11"/>
      <c r="RQ39" s="11"/>
      <c r="RR39" s="11"/>
      <c r="RS39" s="11"/>
      <c r="RT39" s="11"/>
      <c r="RU39" s="11"/>
      <c r="RV39" s="11"/>
      <c r="RW39" s="11"/>
      <c r="RX39" s="11"/>
      <c r="RY39" s="11"/>
      <c r="RZ39" s="11"/>
      <c r="SA39" s="11"/>
      <c r="SB39" s="11"/>
      <c r="SC39" s="11"/>
      <c r="SD39" s="11"/>
      <c r="SE39" s="11"/>
      <c r="SF39" s="11"/>
      <c r="SG39" s="11"/>
      <c r="SH39" s="11"/>
      <c r="SI39" s="11"/>
      <c r="SJ39" s="11"/>
      <c r="SK39" s="11"/>
      <c r="SL39" s="11"/>
      <c r="SM39" s="11"/>
      <c r="SN39" s="11"/>
      <c r="SO39" s="11"/>
      <c r="SP39" s="11"/>
      <c r="SQ39" s="11"/>
      <c r="SR39" s="11"/>
      <c r="SS39" s="11"/>
      <c r="ST39" s="11"/>
      <c r="SU39" s="11"/>
      <c r="SV39" s="11"/>
      <c r="SW39" s="11"/>
      <c r="SX39" s="11"/>
      <c r="SY39" s="11"/>
      <c r="SZ39" s="11"/>
      <c r="TA39" s="11"/>
      <c r="TB39" s="11"/>
      <c r="TC39" s="11"/>
      <c r="TD39" s="11"/>
      <c r="TE39" s="11"/>
      <c r="TF39" s="11"/>
      <c r="TG39" s="11"/>
      <c r="TH39" s="11"/>
      <c r="TI39" s="11"/>
      <c r="TJ39" s="11"/>
      <c r="TK39" s="11"/>
      <c r="TL39" s="11"/>
      <c r="TM39" s="11"/>
      <c r="TN39" s="11"/>
      <c r="TO39" s="11"/>
      <c r="TP39" s="11"/>
      <c r="TQ39" s="11"/>
      <c r="TR39" s="11"/>
      <c r="TS39" s="11"/>
      <c r="TT39" s="11"/>
      <c r="TU39" s="11"/>
      <c r="TV39" s="11"/>
      <c r="TW39" s="11"/>
      <c r="TX39" s="11"/>
      <c r="TY39" s="11"/>
      <c r="TZ39" s="11"/>
      <c r="UA39" s="11"/>
      <c r="UB39" s="11"/>
      <c r="UC39" s="11"/>
      <c r="UD39" s="11"/>
      <c r="UE39" s="11"/>
      <c r="UF39" s="11"/>
      <c r="UG39" s="11"/>
      <c r="UH39" s="11"/>
      <c r="UI39" s="11"/>
      <c r="UJ39" s="11"/>
      <c r="UK39" s="11"/>
      <c r="UL39" s="11"/>
      <c r="UM39" s="11"/>
      <c r="UN39" s="11"/>
      <c r="UO39" s="11"/>
      <c r="UP39" s="11"/>
      <c r="UQ39" s="11"/>
      <c r="UR39" s="11"/>
      <c r="US39" s="11"/>
      <c r="UT39" s="11"/>
      <c r="UU39" s="11"/>
      <c r="UV39" s="11"/>
      <c r="UW39" s="11"/>
      <c r="UX39" s="11"/>
      <c r="UY39" s="11"/>
      <c r="UZ39" s="11"/>
      <c r="VA39" s="11"/>
      <c r="VB39" s="11"/>
      <c r="VC39" s="11"/>
      <c r="VD39" s="11"/>
      <c r="VE39" s="11"/>
      <c r="VF39" s="11"/>
      <c r="VG39" s="11"/>
      <c r="VH39" s="11"/>
      <c r="VI39" s="11"/>
      <c r="VJ39" s="11"/>
      <c r="VK39" s="11"/>
      <c r="VL39" s="11"/>
      <c r="VM39" s="11"/>
      <c r="VN39" s="11"/>
      <c r="VO39" s="11"/>
      <c r="VP39" s="11"/>
      <c r="VQ39" s="11"/>
      <c r="VR39" s="11"/>
      <c r="VS39" s="11"/>
      <c r="VT39" s="11"/>
      <c r="VU39" s="11"/>
      <c r="VV39" s="11"/>
      <c r="VW39" s="11"/>
      <c r="VX39" s="11"/>
      <c r="VY39" s="11"/>
      <c r="VZ39" s="11"/>
      <c r="WA39" s="11"/>
      <c r="WB39" s="11"/>
      <c r="WC39" s="11"/>
      <c r="WD39" s="11"/>
      <c r="WE39" s="11"/>
      <c r="WF39" s="11"/>
      <c r="WG39" s="11"/>
      <c r="WH39" s="11"/>
      <c r="WI39" s="11"/>
      <c r="WJ39" s="11"/>
      <c r="WK39" s="11"/>
      <c r="WL39" s="11"/>
      <c r="WM39" s="11"/>
      <c r="WN39" s="11"/>
      <c r="WO39" s="11"/>
      <c r="WP39" s="11"/>
      <c r="WQ39" s="11"/>
      <c r="WR39" s="11"/>
      <c r="WS39" s="11"/>
      <c r="WT39" s="11"/>
      <c r="WU39" s="11"/>
      <c r="WV39" s="11"/>
      <c r="WW39" s="11"/>
      <c r="WX39" s="11"/>
      <c r="WY39" s="11"/>
      <c r="WZ39" s="11"/>
      <c r="XA39" s="11"/>
      <c r="XB39" s="11"/>
      <c r="XC39" s="11"/>
      <c r="XD39" s="11"/>
      <c r="XE39" s="11"/>
      <c r="XF39" s="11"/>
      <c r="XG39" s="11"/>
      <c r="XH39" s="11"/>
      <c r="XI39" s="11"/>
      <c r="XJ39" s="11"/>
      <c r="XK39" s="11"/>
      <c r="XL39" s="11"/>
      <c r="XM39" s="11"/>
      <c r="XN39" s="11"/>
      <c r="XO39" s="11"/>
      <c r="XP39" s="11"/>
      <c r="XQ39" s="11"/>
      <c r="XR39" s="11"/>
      <c r="XS39" s="11"/>
      <c r="XT39" s="11"/>
      <c r="XU39" s="11"/>
      <c r="XV39" s="11"/>
      <c r="XW39" s="11"/>
      <c r="XX39" s="11"/>
      <c r="XY39" s="11"/>
      <c r="XZ39" s="11"/>
      <c r="YA39" s="11"/>
      <c r="YB39" s="11"/>
      <c r="YC39" s="11"/>
      <c r="YD39" s="11"/>
      <c r="YE39" s="11"/>
      <c r="YF39" s="11"/>
      <c r="YG39" s="11"/>
      <c r="YH39" s="11"/>
      <c r="YI39" s="11"/>
      <c r="YJ39" s="11"/>
      <c r="YK39" s="11"/>
      <c r="YL39" s="11"/>
      <c r="YM39" s="11"/>
      <c r="YN39" s="11"/>
      <c r="YO39" s="11"/>
      <c r="YP39" s="11"/>
      <c r="YQ39" s="11"/>
      <c r="YR39" s="11"/>
      <c r="YS39" s="11"/>
      <c r="YT39" s="11"/>
      <c r="YU39" s="11"/>
      <c r="YV39" s="11"/>
      <c r="YW39" s="11"/>
      <c r="YX39" s="11"/>
      <c r="YY39" s="11"/>
      <c r="YZ39" s="11"/>
      <c r="ZA39" s="11"/>
      <c r="ZB39" s="11"/>
      <c r="ZC39" s="11"/>
      <c r="ZD39" s="11"/>
      <c r="ZE39" s="11"/>
      <c r="ZF39" s="11"/>
      <c r="ZG39" s="11"/>
      <c r="ZH39" s="11"/>
      <c r="ZI39" s="11"/>
      <c r="ZJ39" s="11"/>
      <c r="ZK39" s="11"/>
      <c r="ZL39" s="11"/>
      <c r="ZM39" s="11"/>
      <c r="ZN39" s="11"/>
      <c r="ZO39" s="11"/>
      <c r="ZP39" s="11"/>
      <c r="ZQ39" s="11"/>
      <c r="ZR39" s="11"/>
      <c r="ZS39" s="11"/>
      <c r="ZT39" s="11"/>
      <c r="ZU39" s="11"/>
      <c r="ZV39" s="11"/>
      <c r="ZW39" s="11"/>
      <c r="ZX39" s="11"/>
      <c r="ZY39" s="11"/>
      <c r="ZZ39" s="11"/>
      <c r="AAA39" s="11"/>
      <c r="AAB39" s="11"/>
      <c r="AAC39" s="11"/>
      <c r="AAD39" s="11"/>
      <c r="AAE39" s="11"/>
      <c r="AAF39" s="11"/>
      <c r="AAG39" s="11"/>
      <c r="AAH39" s="11"/>
      <c r="AAI39" s="11"/>
      <c r="AAJ39" s="11"/>
      <c r="AAK39" s="11"/>
      <c r="AAL39" s="11"/>
    </row>
    <row r="40" spans="26:714" s="6" customFormat="1" x14ac:dyDescent="0.3">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U40" s="11"/>
      <c r="CV40" s="11"/>
      <c r="CW40" s="11"/>
      <c r="CX40" s="11"/>
      <c r="CY40" s="11"/>
      <c r="CZ40" s="11"/>
      <c r="DA40" s="11"/>
      <c r="DB40" s="11"/>
      <c r="DC40" s="11"/>
      <c r="DD40" s="11"/>
      <c r="DE40" s="11"/>
      <c r="DF40" s="11"/>
      <c r="DG40" s="11"/>
      <c r="DH40" s="11"/>
      <c r="DI40" s="11"/>
      <c r="DJ40" s="11"/>
      <c r="DK40" s="11"/>
      <c r="DL40" s="11"/>
      <c r="DM40" s="11"/>
      <c r="DN40" s="11"/>
      <c r="DO40" s="11"/>
      <c r="DP40" s="11"/>
      <c r="DQ40" s="11"/>
      <c r="DR40" s="11"/>
      <c r="DS40" s="11"/>
      <c r="DT40" s="11"/>
      <c r="DU40" s="11"/>
      <c r="DV40" s="11"/>
      <c r="DW40" s="11"/>
      <c r="DX40" s="11"/>
      <c r="DY40" s="11"/>
      <c r="DZ40" s="11"/>
      <c r="EA40" s="11"/>
      <c r="EB40" s="11"/>
      <c r="EC40" s="11"/>
      <c r="ED40" s="11"/>
      <c r="EE40" s="11"/>
      <c r="EF40" s="11"/>
      <c r="EG40" s="11"/>
      <c r="EH40" s="11"/>
      <c r="EI40" s="11"/>
      <c r="EJ40" s="11"/>
      <c r="EK40" s="11"/>
      <c r="EL40" s="11"/>
      <c r="EM40" s="11"/>
      <c r="EN40" s="11"/>
      <c r="EO40" s="11"/>
      <c r="EP40" s="11"/>
      <c r="EQ40" s="11"/>
      <c r="ER40" s="11"/>
      <c r="ES40" s="11"/>
      <c r="ET40" s="11"/>
      <c r="EU40" s="11"/>
      <c r="EV40" s="11"/>
      <c r="EW40" s="11"/>
      <c r="EX40" s="11"/>
      <c r="EY40" s="11"/>
      <c r="EZ40" s="11"/>
      <c r="FA40" s="11"/>
      <c r="FB40" s="11"/>
      <c r="FC40" s="11"/>
      <c r="FD40" s="11"/>
      <c r="FE40" s="11"/>
      <c r="FF40" s="11"/>
      <c r="FG40" s="11"/>
      <c r="FH40" s="11"/>
      <c r="FI40" s="11"/>
      <c r="FJ40" s="11"/>
      <c r="FK40" s="11"/>
      <c r="FL40" s="11"/>
      <c r="FM40" s="11"/>
      <c r="FN40" s="11"/>
      <c r="FO40" s="11"/>
      <c r="FP40" s="11"/>
      <c r="FQ40" s="11"/>
      <c r="FR40" s="11"/>
      <c r="FS40" s="11"/>
      <c r="FT40" s="11"/>
      <c r="FU40" s="11"/>
      <c r="FV40" s="11"/>
      <c r="FW40" s="11"/>
      <c r="FX40" s="11"/>
      <c r="FY40" s="11"/>
      <c r="FZ40" s="11"/>
      <c r="GA40" s="11"/>
      <c r="GB40" s="11"/>
      <c r="GC40" s="11"/>
      <c r="GD40" s="11"/>
      <c r="GE40" s="11"/>
      <c r="GF40" s="11"/>
      <c r="GG40" s="11"/>
      <c r="GH40" s="11"/>
      <c r="GI40" s="11"/>
      <c r="GJ40" s="11"/>
      <c r="GK40" s="11"/>
      <c r="GL40" s="11"/>
      <c r="GM40" s="11"/>
      <c r="GN40" s="11"/>
      <c r="GO40" s="11"/>
      <c r="GP40" s="11"/>
      <c r="GQ40" s="11"/>
      <c r="GR40" s="11"/>
      <c r="GS40" s="11"/>
      <c r="GT40" s="11"/>
      <c r="GU40" s="11"/>
      <c r="GV40" s="11"/>
      <c r="GW40" s="11"/>
      <c r="GX40" s="11"/>
      <c r="GY40" s="11"/>
      <c r="GZ40" s="11"/>
      <c r="HA40" s="11"/>
      <c r="HB40" s="11"/>
      <c r="HC40" s="11"/>
      <c r="HD40" s="11"/>
      <c r="HE40" s="11"/>
      <c r="HF40" s="11"/>
      <c r="HG40" s="11"/>
      <c r="HH40" s="11"/>
      <c r="HI40" s="11"/>
      <c r="HJ40" s="11"/>
      <c r="HK40" s="11"/>
      <c r="HL40" s="11"/>
      <c r="HM40" s="11"/>
      <c r="HN40" s="11"/>
      <c r="HO40" s="11"/>
      <c r="HP40" s="11"/>
      <c r="HQ40" s="11"/>
      <c r="HR40" s="11"/>
      <c r="HS40" s="11"/>
      <c r="HT40" s="11"/>
      <c r="HU40" s="11"/>
      <c r="HV40" s="11"/>
      <c r="HW40" s="11"/>
      <c r="HX40" s="11"/>
      <c r="HY40" s="11"/>
      <c r="HZ40" s="11"/>
      <c r="IA40" s="11"/>
      <c r="IB40" s="11"/>
      <c r="IC40" s="11"/>
      <c r="ID40" s="11"/>
      <c r="IE40" s="11"/>
      <c r="IF40" s="11"/>
      <c r="IG40" s="11"/>
      <c r="IH40" s="11"/>
      <c r="II40" s="11"/>
      <c r="IJ40" s="11"/>
      <c r="IK40" s="11"/>
      <c r="IL40" s="11"/>
      <c r="IM40" s="11"/>
      <c r="IN40" s="11"/>
      <c r="IO40" s="11"/>
      <c r="IP40" s="11"/>
      <c r="IQ40" s="11"/>
      <c r="IR40" s="11"/>
      <c r="IS40" s="11"/>
      <c r="IT40" s="11"/>
      <c r="IU40" s="11"/>
      <c r="IV40" s="11"/>
      <c r="IW40" s="11"/>
      <c r="IX40" s="11"/>
      <c r="IY40" s="11"/>
      <c r="IZ40" s="11"/>
      <c r="JA40" s="11"/>
      <c r="JB40" s="11"/>
      <c r="JC40" s="11"/>
      <c r="JD40" s="11"/>
      <c r="JE40" s="11"/>
      <c r="JF40" s="11"/>
      <c r="JG40" s="11"/>
      <c r="JH40" s="11"/>
      <c r="JI40" s="11"/>
      <c r="JJ40" s="11"/>
      <c r="JK40" s="11"/>
      <c r="JL40" s="11"/>
      <c r="JM40" s="11"/>
      <c r="JN40" s="11"/>
      <c r="JO40" s="11"/>
      <c r="JP40" s="11"/>
      <c r="JQ40" s="11"/>
      <c r="JR40" s="11"/>
      <c r="JS40" s="11"/>
      <c r="JT40" s="11"/>
      <c r="JU40" s="11"/>
      <c r="JV40" s="11"/>
      <c r="JW40" s="11"/>
      <c r="JX40" s="11"/>
      <c r="JY40" s="11"/>
      <c r="JZ40" s="11"/>
      <c r="KA40" s="11"/>
      <c r="KB40" s="11"/>
      <c r="KC40" s="11"/>
      <c r="KD40" s="11"/>
      <c r="KE40" s="11"/>
      <c r="KF40" s="11"/>
      <c r="KG40" s="11"/>
      <c r="KH40" s="11"/>
      <c r="KI40" s="11"/>
      <c r="KJ40" s="11"/>
      <c r="KK40" s="11"/>
      <c r="KL40" s="11"/>
      <c r="KM40" s="11"/>
      <c r="KN40" s="11"/>
      <c r="KO40" s="11"/>
      <c r="KP40" s="11"/>
      <c r="KQ40" s="11"/>
      <c r="KR40" s="11"/>
      <c r="KS40" s="11"/>
      <c r="KT40" s="11"/>
      <c r="KU40" s="11"/>
      <c r="KV40" s="11"/>
      <c r="KW40" s="11"/>
      <c r="KX40" s="11"/>
      <c r="KY40" s="11"/>
      <c r="KZ40" s="11"/>
      <c r="LA40" s="11"/>
      <c r="LB40" s="11"/>
      <c r="LC40" s="11"/>
      <c r="LD40" s="11"/>
      <c r="LE40" s="11"/>
      <c r="LF40" s="11"/>
      <c r="LG40" s="11"/>
      <c r="LH40" s="11"/>
      <c r="LI40" s="11"/>
      <c r="LJ40" s="11"/>
      <c r="LK40" s="11"/>
      <c r="LL40" s="11"/>
      <c r="LM40" s="11"/>
      <c r="LN40" s="11"/>
      <c r="LO40" s="11"/>
      <c r="LP40" s="11"/>
      <c r="LQ40" s="11"/>
      <c r="LR40" s="11"/>
      <c r="LS40" s="11"/>
      <c r="LT40" s="11"/>
      <c r="LU40" s="11"/>
      <c r="LV40" s="11"/>
      <c r="LW40" s="11"/>
      <c r="LX40" s="11"/>
      <c r="LY40" s="11"/>
      <c r="LZ40" s="11"/>
      <c r="MA40" s="11"/>
      <c r="MB40" s="11"/>
      <c r="MC40" s="11"/>
      <c r="MD40" s="11"/>
      <c r="ME40" s="11"/>
      <c r="MF40" s="11"/>
      <c r="MG40" s="11"/>
      <c r="MH40" s="11"/>
      <c r="MI40" s="11"/>
      <c r="MJ40" s="11"/>
      <c r="MK40" s="11"/>
      <c r="ML40" s="11"/>
      <c r="MM40" s="11"/>
      <c r="MN40" s="11"/>
      <c r="MO40" s="11"/>
      <c r="MP40" s="11"/>
      <c r="MQ40" s="11"/>
      <c r="MR40" s="11"/>
      <c r="MS40" s="11"/>
      <c r="MT40" s="11"/>
      <c r="MU40" s="11"/>
      <c r="MV40" s="11"/>
      <c r="MW40" s="11"/>
      <c r="MX40" s="11"/>
      <c r="MY40" s="11"/>
      <c r="MZ40" s="11"/>
      <c r="NA40" s="11"/>
      <c r="NB40" s="11"/>
      <c r="NC40" s="11"/>
      <c r="ND40" s="11"/>
      <c r="NE40" s="11"/>
      <c r="NF40" s="11"/>
      <c r="NG40" s="11"/>
      <c r="NH40" s="11"/>
      <c r="NI40" s="11"/>
      <c r="NJ40" s="11"/>
      <c r="NK40" s="11"/>
      <c r="NL40" s="11"/>
      <c r="NM40" s="11"/>
      <c r="NN40" s="11"/>
      <c r="NO40" s="11"/>
      <c r="NP40" s="11"/>
      <c r="NQ40" s="11"/>
      <c r="NR40" s="11"/>
      <c r="NS40" s="11"/>
      <c r="NT40" s="11"/>
      <c r="NU40" s="11"/>
      <c r="NV40" s="11"/>
      <c r="NW40" s="11"/>
      <c r="NX40" s="11"/>
      <c r="NY40" s="11"/>
      <c r="NZ40" s="11"/>
      <c r="OA40" s="11"/>
      <c r="OB40" s="11"/>
      <c r="OC40" s="11"/>
      <c r="OD40" s="11"/>
      <c r="OE40" s="11"/>
      <c r="OF40" s="11"/>
      <c r="OG40" s="11"/>
      <c r="OH40" s="11"/>
      <c r="OI40" s="11"/>
      <c r="OJ40" s="11"/>
      <c r="OK40" s="11"/>
      <c r="OL40" s="11"/>
      <c r="OM40" s="11"/>
      <c r="ON40" s="11"/>
      <c r="OO40" s="11"/>
      <c r="OP40" s="11"/>
      <c r="OQ40" s="11"/>
      <c r="OR40" s="11"/>
      <c r="OS40" s="11"/>
      <c r="OT40" s="11"/>
      <c r="OU40" s="11"/>
      <c r="OV40" s="11"/>
      <c r="OW40" s="11"/>
      <c r="OX40" s="11"/>
      <c r="OY40" s="11"/>
      <c r="OZ40" s="11"/>
      <c r="PA40" s="11"/>
      <c r="PB40" s="11"/>
      <c r="PC40" s="11"/>
      <c r="PD40" s="11"/>
      <c r="PE40" s="11"/>
      <c r="PF40" s="11"/>
      <c r="PG40" s="11"/>
      <c r="PH40" s="11"/>
      <c r="PI40" s="11"/>
      <c r="PJ40" s="11"/>
      <c r="PK40" s="11"/>
      <c r="PL40" s="11"/>
      <c r="PM40" s="11"/>
      <c r="PN40" s="11"/>
      <c r="PO40" s="11"/>
      <c r="PP40" s="11"/>
      <c r="PQ40" s="11"/>
      <c r="PR40" s="11"/>
      <c r="PS40" s="11"/>
      <c r="PT40" s="11"/>
      <c r="PU40" s="11"/>
      <c r="PV40" s="11"/>
      <c r="PW40" s="11"/>
      <c r="PX40" s="11"/>
      <c r="PY40" s="11"/>
      <c r="PZ40" s="11"/>
      <c r="QA40" s="11"/>
      <c r="QB40" s="11"/>
      <c r="QC40" s="11"/>
      <c r="QD40" s="11"/>
      <c r="QE40" s="11"/>
      <c r="QF40" s="11"/>
      <c r="QG40" s="11"/>
      <c r="QH40" s="11"/>
      <c r="QI40" s="11"/>
      <c r="QJ40" s="11"/>
      <c r="QK40" s="11"/>
      <c r="QL40" s="11"/>
      <c r="QM40" s="11"/>
      <c r="QN40" s="11"/>
      <c r="QO40" s="11"/>
      <c r="QP40" s="11"/>
      <c r="QQ40" s="11"/>
      <c r="QR40" s="11"/>
      <c r="QS40" s="11"/>
      <c r="QT40" s="11"/>
      <c r="QU40" s="11"/>
      <c r="QV40" s="11"/>
      <c r="QW40" s="11"/>
      <c r="QX40" s="11"/>
      <c r="QY40" s="11"/>
      <c r="QZ40" s="11"/>
      <c r="RA40" s="11"/>
      <c r="RB40" s="11"/>
      <c r="RC40" s="11"/>
      <c r="RD40" s="11"/>
      <c r="RE40" s="11"/>
      <c r="RF40" s="11"/>
      <c r="RG40" s="11"/>
      <c r="RH40" s="11"/>
      <c r="RI40" s="11"/>
      <c r="RJ40" s="11"/>
      <c r="RK40" s="11"/>
      <c r="RL40" s="11"/>
      <c r="RM40" s="11"/>
      <c r="RN40" s="11"/>
      <c r="RO40" s="11"/>
      <c r="RP40" s="11"/>
      <c r="RQ40" s="11"/>
      <c r="RR40" s="11"/>
      <c r="RS40" s="11"/>
      <c r="RT40" s="11"/>
      <c r="RU40" s="11"/>
      <c r="RV40" s="11"/>
      <c r="RW40" s="11"/>
      <c r="RX40" s="11"/>
      <c r="RY40" s="11"/>
      <c r="RZ40" s="11"/>
      <c r="SA40" s="11"/>
      <c r="SB40" s="11"/>
      <c r="SC40" s="11"/>
      <c r="SD40" s="11"/>
      <c r="SE40" s="11"/>
      <c r="SF40" s="11"/>
      <c r="SG40" s="11"/>
      <c r="SH40" s="11"/>
      <c r="SI40" s="11"/>
      <c r="SJ40" s="11"/>
      <c r="SK40" s="11"/>
      <c r="SL40" s="11"/>
      <c r="SM40" s="11"/>
      <c r="SN40" s="11"/>
      <c r="SO40" s="11"/>
      <c r="SP40" s="11"/>
      <c r="SQ40" s="11"/>
      <c r="SR40" s="11"/>
      <c r="SS40" s="11"/>
      <c r="ST40" s="11"/>
      <c r="SU40" s="11"/>
      <c r="SV40" s="11"/>
      <c r="SW40" s="11"/>
      <c r="SX40" s="11"/>
      <c r="SY40" s="11"/>
      <c r="SZ40" s="11"/>
      <c r="TA40" s="11"/>
      <c r="TB40" s="11"/>
      <c r="TC40" s="11"/>
      <c r="TD40" s="11"/>
      <c r="TE40" s="11"/>
      <c r="TF40" s="11"/>
      <c r="TG40" s="11"/>
      <c r="TH40" s="11"/>
      <c r="TI40" s="11"/>
      <c r="TJ40" s="11"/>
      <c r="TK40" s="11"/>
      <c r="TL40" s="11"/>
      <c r="TM40" s="11"/>
      <c r="TN40" s="11"/>
      <c r="TO40" s="11"/>
      <c r="TP40" s="11"/>
      <c r="TQ40" s="11"/>
      <c r="TR40" s="11"/>
      <c r="TS40" s="11"/>
      <c r="TT40" s="11"/>
      <c r="TU40" s="11"/>
      <c r="TV40" s="11"/>
      <c r="TW40" s="11"/>
      <c r="TX40" s="11"/>
      <c r="TY40" s="11"/>
      <c r="TZ40" s="11"/>
      <c r="UA40" s="11"/>
      <c r="UB40" s="11"/>
      <c r="UC40" s="11"/>
      <c r="UD40" s="11"/>
      <c r="UE40" s="11"/>
      <c r="UF40" s="11"/>
      <c r="UG40" s="11"/>
      <c r="UH40" s="11"/>
      <c r="UI40" s="11"/>
      <c r="UJ40" s="11"/>
      <c r="UK40" s="11"/>
      <c r="UL40" s="11"/>
      <c r="UM40" s="11"/>
      <c r="UN40" s="11"/>
      <c r="UO40" s="11"/>
      <c r="UP40" s="11"/>
      <c r="UQ40" s="11"/>
      <c r="UR40" s="11"/>
      <c r="US40" s="11"/>
      <c r="UT40" s="11"/>
      <c r="UU40" s="11"/>
      <c r="UV40" s="11"/>
      <c r="UW40" s="11"/>
      <c r="UX40" s="11"/>
      <c r="UY40" s="11"/>
      <c r="UZ40" s="11"/>
      <c r="VA40" s="11"/>
      <c r="VB40" s="11"/>
      <c r="VC40" s="11"/>
      <c r="VD40" s="11"/>
      <c r="VE40" s="11"/>
      <c r="VF40" s="11"/>
      <c r="VG40" s="11"/>
      <c r="VH40" s="11"/>
      <c r="VI40" s="11"/>
      <c r="VJ40" s="11"/>
      <c r="VK40" s="11"/>
      <c r="VL40" s="11"/>
      <c r="VM40" s="11"/>
      <c r="VN40" s="11"/>
      <c r="VO40" s="11"/>
      <c r="VP40" s="11"/>
      <c r="VQ40" s="11"/>
      <c r="VR40" s="11"/>
      <c r="VS40" s="11"/>
      <c r="VT40" s="11"/>
      <c r="VU40" s="11"/>
      <c r="VV40" s="11"/>
      <c r="VW40" s="11"/>
      <c r="VX40" s="11"/>
      <c r="VY40" s="11"/>
      <c r="VZ40" s="11"/>
      <c r="WA40" s="11"/>
      <c r="WB40" s="11"/>
      <c r="WC40" s="11"/>
      <c r="WD40" s="11"/>
      <c r="WE40" s="11"/>
      <c r="WF40" s="11"/>
      <c r="WG40" s="11"/>
      <c r="WH40" s="11"/>
      <c r="WI40" s="11"/>
      <c r="WJ40" s="11"/>
      <c r="WK40" s="11"/>
      <c r="WL40" s="11"/>
      <c r="WM40" s="11"/>
      <c r="WN40" s="11"/>
      <c r="WO40" s="11"/>
      <c r="WP40" s="11"/>
      <c r="WQ40" s="11"/>
      <c r="WR40" s="11"/>
      <c r="WS40" s="11"/>
      <c r="WT40" s="11"/>
      <c r="WU40" s="11"/>
      <c r="WV40" s="11"/>
      <c r="WW40" s="11"/>
      <c r="WX40" s="11"/>
      <c r="WY40" s="11"/>
      <c r="WZ40" s="11"/>
      <c r="XA40" s="11"/>
      <c r="XB40" s="11"/>
      <c r="XC40" s="11"/>
      <c r="XD40" s="11"/>
      <c r="XE40" s="11"/>
      <c r="XF40" s="11"/>
      <c r="XG40" s="11"/>
      <c r="XH40" s="11"/>
      <c r="XI40" s="11"/>
      <c r="XJ40" s="11"/>
      <c r="XK40" s="11"/>
      <c r="XL40" s="11"/>
      <c r="XM40" s="11"/>
      <c r="XN40" s="11"/>
      <c r="XO40" s="11"/>
      <c r="XP40" s="11"/>
      <c r="XQ40" s="11"/>
      <c r="XR40" s="11"/>
      <c r="XS40" s="11"/>
      <c r="XT40" s="11"/>
      <c r="XU40" s="11"/>
      <c r="XV40" s="11"/>
      <c r="XW40" s="11"/>
      <c r="XX40" s="11"/>
      <c r="XY40" s="11"/>
      <c r="XZ40" s="11"/>
      <c r="YA40" s="11"/>
      <c r="YB40" s="11"/>
      <c r="YC40" s="11"/>
      <c r="YD40" s="11"/>
      <c r="YE40" s="11"/>
      <c r="YF40" s="11"/>
      <c r="YG40" s="11"/>
      <c r="YH40" s="11"/>
      <c r="YI40" s="11"/>
      <c r="YJ40" s="11"/>
      <c r="YK40" s="11"/>
      <c r="YL40" s="11"/>
      <c r="YM40" s="11"/>
      <c r="YN40" s="11"/>
      <c r="YO40" s="11"/>
      <c r="YP40" s="11"/>
      <c r="YQ40" s="11"/>
      <c r="YR40" s="11"/>
      <c r="YS40" s="11"/>
      <c r="YT40" s="11"/>
      <c r="YU40" s="11"/>
      <c r="YV40" s="11"/>
      <c r="YW40" s="11"/>
      <c r="YX40" s="11"/>
      <c r="YY40" s="11"/>
      <c r="YZ40" s="11"/>
      <c r="ZA40" s="11"/>
      <c r="ZB40" s="11"/>
      <c r="ZC40" s="11"/>
      <c r="ZD40" s="11"/>
      <c r="ZE40" s="11"/>
      <c r="ZF40" s="11"/>
      <c r="ZG40" s="11"/>
      <c r="ZH40" s="11"/>
      <c r="ZI40" s="11"/>
      <c r="ZJ40" s="11"/>
      <c r="ZK40" s="11"/>
      <c r="ZL40" s="11"/>
      <c r="ZM40" s="11"/>
      <c r="ZN40" s="11"/>
      <c r="ZO40" s="11"/>
      <c r="ZP40" s="11"/>
      <c r="ZQ40" s="11"/>
      <c r="ZR40" s="11"/>
      <c r="ZS40" s="11"/>
      <c r="ZT40" s="11"/>
      <c r="ZU40" s="11"/>
      <c r="ZV40" s="11"/>
      <c r="ZW40" s="11"/>
      <c r="ZX40" s="11"/>
      <c r="ZY40" s="11"/>
      <c r="ZZ40" s="11"/>
      <c r="AAA40" s="11"/>
      <c r="AAB40" s="11"/>
      <c r="AAC40" s="11"/>
      <c r="AAD40" s="11"/>
      <c r="AAE40" s="11"/>
      <c r="AAF40" s="11"/>
      <c r="AAG40" s="11"/>
      <c r="AAH40" s="11"/>
      <c r="AAI40" s="11"/>
      <c r="AAJ40" s="11"/>
      <c r="AAK40" s="11"/>
      <c r="AAL40" s="11"/>
    </row>
    <row r="41" spans="26:714" s="6" customFormat="1" x14ac:dyDescent="0.3">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c r="DG41" s="11"/>
      <c r="DH41" s="11"/>
      <c r="DI41" s="11"/>
      <c r="DJ41" s="11"/>
      <c r="DK41" s="11"/>
      <c r="DL41" s="11"/>
      <c r="DM41" s="11"/>
      <c r="DN41" s="11"/>
      <c r="DO41" s="11"/>
      <c r="DP41" s="11"/>
      <c r="DQ41" s="11"/>
      <c r="DR41" s="11"/>
      <c r="DS41" s="11"/>
      <c r="DT41" s="11"/>
      <c r="DU41" s="11"/>
      <c r="DV41" s="11"/>
      <c r="DW41" s="11"/>
      <c r="DX41" s="11"/>
      <c r="DY41" s="11"/>
      <c r="DZ41" s="11"/>
      <c r="EA41" s="11"/>
      <c r="EB41" s="11"/>
      <c r="EC41" s="11"/>
      <c r="ED41" s="11"/>
      <c r="EE41" s="11"/>
      <c r="EF41" s="11"/>
      <c r="EG41" s="11"/>
      <c r="EH41" s="11"/>
      <c r="EI41" s="11"/>
      <c r="EJ41" s="11"/>
      <c r="EK41" s="11"/>
      <c r="EL41" s="11"/>
      <c r="EM41" s="11"/>
      <c r="EN41" s="11"/>
      <c r="EO41" s="11"/>
      <c r="EP41" s="11"/>
      <c r="EQ41" s="11"/>
      <c r="ER41" s="11"/>
      <c r="ES41" s="11"/>
      <c r="ET41" s="11"/>
      <c r="EU41" s="11"/>
      <c r="EV41" s="11"/>
      <c r="EW41" s="11"/>
      <c r="EX41" s="11"/>
      <c r="EY41" s="11"/>
      <c r="EZ41" s="11"/>
      <c r="FA41" s="11"/>
      <c r="FB41" s="11"/>
      <c r="FC41" s="11"/>
      <c r="FD41" s="11"/>
      <c r="FE41" s="11"/>
      <c r="FF41" s="11"/>
      <c r="FG41" s="11"/>
      <c r="FH41" s="11"/>
      <c r="FI41" s="11"/>
      <c r="FJ41" s="11"/>
      <c r="FK41" s="11"/>
      <c r="FL41" s="11"/>
      <c r="FM41" s="11"/>
      <c r="FN41" s="11"/>
      <c r="FO41" s="11"/>
      <c r="FP41" s="11"/>
      <c r="FQ41" s="11"/>
      <c r="FR41" s="11"/>
      <c r="FS41" s="11"/>
      <c r="FT41" s="11"/>
      <c r="FU41" s="11"/>
      <c r="FV41" s="11"/>
      <c r="FW41" s="11"/>
      <c r="FX41" s="11"/>
      <c r="FY41" s="11"/>
      <c r="FZ41" s="11"/>
      <c r="GA41" s="11"/>
      <c r="GB41" s="11"/>
      <c r="GC41" s="11"/>
      <c r="GD41" s="11"/>
      <c r="GE41" s="11"/>
      <c r="GF41" s="11"/>
      <c r="GG41" s="11"/>
      <c r="GH41" s="11"/>
      <c r="GI41" s="11"/>
      <c r="GJ41" s="11"/>
      <c r="GK41" s="11"/>
      <c r="GL41" s="11"/>
      <c r="GM41" s="11"/>
      <c r="GN41" s="11"/>
      <c r="GO41" s="11"/>
      <c r="GP41" s="11"/>
      <c r="GQ41" s="11"/>
      <c r="GR41" s="11"/>
      <c r="GS41" s="11"/>
      <c r="GT41" s="11"/>
      <c r="GU41" s="11"/>
      <c r="GV41" s="11"/>
      <c r="GW41" s="11"/>
      <c r="GX41" s="11"/>
      <c r="GY41" s="11"/>
      <c r="GZ41" s="11"/>
      <c r="HA41" s="11"/>
      <c r="HB41" s="11"/>
      <c r="HC41" s="11"/>
      <c r="HD41" s="11"/>
      <c r="HE41" s="11"/>
      <c r="HF41" s="11"/>
      <c r="HG41" s="11"/>
      <c r="HH41" s="11"/>
      <c r="HI41" s="11"/>
      <c r="HJ41" s="11"/>
      <c r="HK41" s="11"/>
      <c r="HL41" s="11"/>
      <c r="HM41" s="11"/>
      <c r="HN41" s="11"/>
      <c r="HO41" s="11"/>
      <c r="HP41" s="11"/>
      <c r="HQ41" s="11"/>
      <c r="HR41" s="11"/>
      <c r="HS41" s="11"/>
      <c r="HT41" s="11"/>
      <c r="HU41" s="11"/>
      <c r="HV41" s="11"/>
      <c r="HW41" s="11"/>
      <c r="HX41" s="11"/>
      <c r="HY41" s="11"/>
      <c r="HZ41" s="11"/>
      <c r="IA41" s="11"/>
      <c r="IB41" s="11"/>
      <c r="IC41" s="11"/>
      <c r="ID41" s="11"/>
      <c r="IE41" s="11"/>
      <c r="IF41" s="11"/>
      <c r="IG41" s="11"/>
      <c r="IH41" s="11"/>
      <c r="II41" s="11"/>
      <c r="IJ41" s="11"/>
      <c r="IK41" s="11"/>
      <c r="IL41" s="11"/>
      <c r="IM41" s="11"/>
      <c r="IN41" s="11"/>
      <c r="IO41" s="11"/>
      <c r="IP41" s="11"/>
      <c r="IQ41" s="11"/>
      <c r="IR41" s="11"/>
      <c r="IS41" s="11"/>
      <c r="IT41" s="11"/>
      <c r="IU41" s="11"/>
      <c r="IV41" s="11"/>
      <c r="IW41" s="11"/>
      <c r="IX41" s="11"/>
      <c r="IY41" s="11"/>
      <c r="IZ41" s="11"/>
      <c r="JA41" s="11"/>
      <c r="JB41" s="11"/>
      <c r="JC41" s="11"/>
      <c r="JD41" s="11"/>
      <c r="JE41" s="11"/>
      <c r="JF41" s="11"/>
      <c r="JG41" s="11"/>
      <c r="JH41" s="11"/>
      <c r="JI41" s="11"/>
      <c r="JJ41" s="11"/>
      <c r="JK41" s="11"/>
      <c r="JL41" s="11"/>
      <c r="JM41" s="11"/>
      <c r="JN41" s="11"/>
      <c r="JO41" s="11"/>
      <c r="JP41" s="11"/>
      <c r="JQ41" s="11"/>
      <c r="JR41" s="11"/>
      <c r="JS41" s="11"/>
      <c r="JT41" s="11"/>
      <c r="JU41" s="11"/>
      <c r="JV41" s="11"/>
      <c r="JW41" s="11"/>
      <c r="JX41" s="11"/>
      <c r="JY41" s="11"/>
      <c r="JZ41" s="11"/>
      <c r="KA41" s="11"/>
      <c r="KB41" s="11"/>
      <c r="KC41" s="11"/>
      <c r="KD41" s="11"/>
      <c r="KE41" s="11"/>
      <c r="KF41" s="11"/>
      <c r="KG41" s="11"/>
      <c r="KH41" s="11"/>
      <c r="KI41" s="11"/>
      <c r="KJ41" s="11"/>
      <c r="KK41" s="11"/>
      <c r="KL41" s="11"/>
      <c r="KM41" s="11"/>
      <c r="KN41" s="11"/>
      <c r="KO41" s="11"/>
      <c r="KP41" s="11"/>
      <c r="KQ41" s="11"/>
      <c r="KR41" s="11"/>
      <c r="KS41" s="11"/>
      <c r="KT41" s="11"/>
      <c r="KU41" s="11"/>
      <c r="KV41" s="11"/>
      <c r="KW41" s="11"/>
      <c r="KX41" s="11"/>
      <c r="KY41" s="11"/>
      <c r="KZ41" s="11"/>
      <c r="LA41" s="11"/>
      <c r="LB41" s="11"/>
      <c r="LC41" s="11"/>
      <c r="LD41" s="11"/>
      <c r="LE41" s="11"/>
      <c r="LF41" s="11"/>
      <c r="LG41" s="11"/>
      <c r="LH41" s="11"/>
      <c r="LI41" s="11"/>
      <c r="LJ41" s="11"/>
      <c r="LK41" s="11"/>
      <c r="LL41" s="11"/>
      <c r="LM41" s="11"/>
      <c r="LN41" s="11"/>
      <c r="LO41" s="11"/>
      <c r="LP41" s="11"/>
      <c r="LQ41" s="11"/>
      <c r="LR41" s="11"/>
      <c r="LS41" s="11"/>
      <c r="LT41" s="11"/>
      <c r="LU41" s="11"/>
      <c r="LV41" s="11"/>
      <c r="LW41" s="11"/>
      <c r="LX41" s="11"/>
      <c r="LY41" s="11"/>
      <c r="LZ41" s="11"/>
      <c r="MA41" s="11"/>
      <c r="MB41" s="11"/>
      <c r="MC41" s="11"/>
      <c r="MD41" s="11"/>
      <c r="ME41" s="11"/>
      <c r="MF41" s="11"/>
      <c r="MG41" s="11"/>
      <c r="MH41" s="11"/>
      <c r="MI41" s="11"/>
      <c r="MJ41" s="11"/>
      <c r="MK41" s="11"/>
      <c r="ML41" s="11"/>
      <c r="MM41" s="11"/>
      <c r="MN41" s="11"/>
      <c r="MO41" s="11"/>
      <c r="MP41" s="11"/>
      <c r="MQ41" s="11"/>
      <c r="MR41" s="11"/>
      <c r="MS41" s="11"/>
      <c r="MT41" s="11"/>
      <c r="MU41" s="11"/>
      <c r="MV41" s="11"/>
      <c r="MW41" s="11"/>
      <c r="MX41" s="11"/>
      <c r="MY41" s="11"/>
      <c r="MZ41" s="11"/>
      <c r="NA41" s="11"/>
      <c r="NB41" s="11"/>
      <c r="NC41" s="11"/>
      <c r="ND41" s="11"/>
      <c r="NE41" s="11"/>
      <c r="NF41" s="11"/>
      <c r="NG41" s="11"/>
      <c r="NH41" s="11"/>
      <c r="NI41" s="11"/>
      <c r="NJ41" s="11"/>
      <c r="NK41" s="11"/>
      <c r="NL41" s="11"/>
      <c r="NM41" s="11"/>
      <c r="NN41" s="11"/>
      <c r="NO41" s="11"/>
      <c r="NP41" s="11"/>
      <c r="NQ41" s="11"/>
      <c r="NR41" s="11"/>
      <c r="NS41" s="11"/>
      <c r="NT41" s="11"/>
      <c r="NU41" s="11"/>
      <c r="NV41" s="11"/>
      <c r="NW41" s="11"/>
      <c r="NX41" s="11"/>
      <c r="NY41" s="11"/>
      <c r="NZ41" s="11"/>
      <c r="OA41" s="11"/>
      <c r="OB41" s="11"/>
      <c r="OC41" s="11"/>
      <c r="OD41" s="11"/>
      <c r="OE41" s="11"/>
      <c r="OF41" s="11"/>
      <c r="OG41" s="11"/>
      <c r="OH41" s="11"/>
      <c r="OI41" s="11"/>
      <c r="OJ41" s="11"/>
      <c r="OK41" s="11"/>
      <c r="OL41" s="11"/>
      <c r="OM41" s="11"/>
      <c r="ON41" s="11"/>
      <c r="OO41" s="11"/>
      <c r="OP41" s="11"/>
      <c r="OQ41" s="11"/>
      <c r="OR41" s="11"/>
      <c r="OS41" s="11"/>
      <c r="OT41" s="11"/>
      <c r="OU41" s="11"/>
      <c r="OV41" s="11"/>
      <c r="OW41" s="11"/>
      <c r="OX41" s="11"/>
      <c r="OY41" s="11"/>
      <c r="OZ41" s="11"/>
      <c r="PA41" s="11"/>
      <c r="PB41" s="11"/>
      <c r="PC41" s="11"/>
      <c r="PD41" s="11"/>
      <c r="PE41" s="11"/>
      <c r="PF41" s="11"/>
      <c r="PG41" s="11"/>
      <c r="PH41" s="11"/>
      <c r="PI41" s="11"/>
      <c r="PJ41" s="11"/>
      <c r="PK41" s="11"/>
      <c r="PL41" s="11"/>
      <c r="PM41" s="11"/>
      <c r="PN41" s="11"/>
      <c r="PO41" s="11"/>
      <c r="PP41" s="11"/>
      <c r="PQ41" s="11"/>
      <c r="PR41" s="11"/>
      <c r="PS41" s="11"/>
      <c r="PT41" s="11"/>
      <c r="PU41" s="11"/>
      <c r="PV41" s="11"/>
      <c r="PW41" s="11"/>
      <c r="PX41" s="11"/>
      <c r="PY41" s="11"/>
      <c r="PZ41" s="11"/>
      <c r="QA41" s="11"/>
      <c r="QB41" s="11"/>
      <c r="QC41" s="11"/>
      <c r="QD41" s="11"/>
      <c r="QE41" s="11"/>
      <c r="QF41" s="11"/>
      <c r="QG41" s="11"/>
      <c r="QH41" s="11"/>
      <c r="QI41" s="11"/>
      <c r="QJ41" s="11"/>
      <c r="QK41" s="11"/>
      <c r="QL41" s="11"/>
      <c r="QM41" s="11"/>
      <c r="QN41" s="11"/>
      <c r="QO41" s="11"/>
      <c r="QP41" s="11"/>
      <c r="QQ41" s="11"/>
      <c r="QR41" s="11"/>
      <c r="QS41" s="11"/>
      <c r="QT41" s="11"/>
      <c r="QU41" s="11"/>
      <c r="QV41" s="11"/>
      <c r="QW41" s="11"/>
      <c r="QX41" s="11"/>
      <c r="QY41" s="11"/>
      <c r="QZ41" s="11"/>
      <c r="RA41" s="11"/>
      <c r="RB41" s="11"/>
      <c r="RC41" s="11"/>
      <c r="RD41" s="11"/>
      <c r="RE41" s="11"/>
      <c r="RF41" s="11"/>
      <c r="RG41" s="11"/>
      <c r="RH41" s="11"/>
      <c r="RI41" s="11"/>
      <c r="RJ41" s="11"/>
      <c r="RK41" s="11"/>
      <c r="RL41" s="11"/>
      <c r="RM41" s="11"/>
      <c r="RN41" s="11"/>
      <c r="RO41" s="11"/>
      <c r="RP41" s="11"/>
      <c r="RQ41" s="11"/>
      <c r="RR41" s="11"/>
      <c r="RS41" s="11"/>
      <c r="RT41" s="11"/>
      <c r="RU41" s="11"/>
      <c r="RV41" s="11"/>
      <c r="RW41" s="11"/>
      <c r="RX41" s="11"/>
      <c r="RY41" s="11"/>
      <c r="RZ41" s="11"/>
      <c r="SA41" s="11"/>
      <c r="SB41" s="11"/>
      <c r="SC41" s="11"/>
      <c r="SD41" s="11"/>
      <c r="SE41" s="11"/>
      <c r="SF41" s="11"/>
      <c r="SG41" s="11"/>
      <c r="SH41" s="11"/>
      <c r="SI41" s="11"/>
      <c r="SJ41" s="11"/>
      <c r="SK41" s="11"/>
      <c r="SL41" s="11"/>
      <c r="SM41" s="11"/>
      <c r="SN41" s="11"/>
      <c r="SO41" s="11"/>
      <c r="SP41" s="11"/>
      <c r="SQ41" s="11"/>
      <c r="SR41" s="11"/>
      <c r="SS41" s="11"/>
      <c r="ST41" s="11"/>
      <c r="SU41" s="11"/>
      <c r="SV41" s="11"/>
      <c r="SW41" s="11"/>
      <c r="SX41" s="11"/>
      <c r="SY41" s="11"/>
      <c r="SZ41" s="11"/>
      <c r="TA41" s="11"/>
      <c r="TB41" s="11"/>
      <c r="TC41" s="11"/>
      <c r="TD41" s="11"/>
      <c r="TE41" s="11"/>
      <c r="TF41" s="11"/>
      <c r="TG41" s="11"/>
      <c r="TH41" s="11"/>
      <c r="TI41" s="11"/>
      <c r="TJ41" s="11"/>
      <c r="TK41" s="11"/>
      <c r="TL41" s="11"/>
      <c r="TM41" s="11"/>
      <c r="TN41" s="11"/>
      <c r="TO41" s="11"/>
      <c r="TP41" s="11"/>
      <c r="TQ41" s="11"/>
      <c r="TR41" s="11"/>
      <c r="TS41" s="11"/>
      <c r="TT41" s="11"/>
      <c r="TU41" s="11"/>
      <c r="TV41" s="11"/>
      <c r="TW41" s="11"/>
      <c r="TX41" s="11"/>
      <c r="TY41" s="11"/>
      <c r="TZ41" s="11"/>
      <c r="UA41" s="11"/>
      <c r="UB41" s="11"/>
      <c r="UC41" s="11"/>
      <c r="UD41" s="11"/>
      <c r="UE41" s="11"/>
      <c r="UF41" s="11"/>
      <c r="UG41" s="11"/>
      <c r="UH41" s="11"/>
      <c r="UI41" s="11"/>
      <c r="UJ41" s="11"/>
      <c r="UK41" s="11"/>
      <c r="UL41" s="11"/>
      <c r="UM41" s="11"/>
      <c r="UN41" s="11"/>
      <c r="UO41" s="11"/>
      <c r="UP41" s="11"/>
      <c r="UQ41" s="11"/>
      <c r="UR41" s="11"/>
      <c r="US41" s="11"/>
      <c r="UT41" s="11"/>
      <c r="UU41" s="11"/>
      <c r="UV41" s="11"/>
      <c r="UW41" s="11"/>
      <c r="UX41" s="11"/>
      <c r="UY41" s="11"/>
      <c r="UZ41" s="11"/>
      <c r="VA41" s="11"/>
      <c r="VB41" s="11"/>
      <c r="VC41" s="11"/>
      <c r="VD41" s="11"/>
      <c r="VE41" s="11"/>
      <c r="VF41" s="11"/>
      <c r="VG41" s="11"/>
      <c r="VH41" s="11"/>
      <c r="VI41" s="11"/>
      <c r="VJ41" s="11"/>
      <c r="VK41" s="11"/>
      <c r="VL41" s="11"/>
      <c r="VM41" s="11"/>
      <c r="VN41" s="11"/>
      <c r="VO41" s="11"/>
      <c r="VP41" s="11"/>
      <c r="VQ41" s="11"/>
      <c r="VR41" s="11"/>
      <c r="VS41" s="11"/>
      <c r="VT41" s="11"/>
      <c r="VU41" s="11"/>
      <c r="VV41" s="11"/>
      <c r="VW41" s="11"/>
      <c r="VX41" s="11"/>
      <c r="VY41" s="11"/>
      <c r="VZ41" s="11"/>
      <c r="WA41" s="11"/>
      <c r="WB41" s="11"/>
      <c r="WC41" s="11"/>
      <c r="WD41" s="11"/>
      <c r="WE41" s="11"/>
      <c r="WF41" s="11"/>
      <c r="WG41" s="11"/>
      <c r="WH41" s="11"/>
      <c r="WI41" s="11"/>
      <c r="WJ41" s="11"/>
      <c r="WK41" s="11"/>
      <c r="WL41" s="11"/>
      <c r="WM41" s="11"/>
      <c r="WN41" s="11"/>
      <c r="WO41" s="11"/>
      <c r="WP41" s="11"/>
      <c r="WQ41" s="11"/>
      <c r="WR41" s="11"/>
      <c r="WS41" s="11"/>
      <c r="WT41" s="11"/>
      <c r="WU41" s="11"/>
      <c r="WV41" s="11"/>
      <c r="WW41" s="11"/>
      <c r="WX41" s="11"/>
      <c r="WY41" s="11"/>
      <c r="WZ41" s="11"/>
      <c r="XA41" s="11"/>
      <c r="XB41" s="11"/>
      <c r="XC41" s="11"/>
      <c r="XD41" s="11"/>
      <c r="XE41" s="11"/>
      <c r="XF41" s="11"/>
      <c r="XG41" s="11"/>
      <c r="XH41" s="11"/>
      <c r="XI41" s="11"/>
      <c r="XJ41" s="11"/>
      <c r="XK41" s="11"/>
      <c r="XL41" s="11"/>
      <c r="XM41" s="11"/>
      <c r="XN41" s="11"/>
      <c r="XO41" s="11"/>
      <c r="XP41" s="11"/>
      <c r="XQ41" s="11"/>
      <c r="XR41" s="11"/>
      <c r="XS41" s="11"/>
      <c r="XT41" s="11"/>
      <c r="XU41" s="11"/>
      <c r="XV41" s="11"/>
      <c r="XW41" s="11"/>
      <c r="XX41" s="11"/>
      <c r="XY41" s="11"/>
      <c r="XZ41" s="11"/>
      <c r="YA41" s="11"/>
      <c r="YB41" s="11"/>
      <c r="YC41" s="11"/>
      <c r="YD41" s="11"/>
      <c r="YE41" s="11"/>
      <c r="YF41" s="11"/>
      <c r="YG41" s="11"/>
      <c r="YH41" s="11"/>
      <c r="YI41" s="11"/>
      <c r="YJ41" s="11"/>
      <c r="YK41" s="11"/>
      <c r="YL41" s="11"/>
      <c r="YM41" s="11"/>
      <c r="YN41" s="11"/>
      <c r="YO41" s="11"/>
      <c r="YP41" s="11"/>
      <c r="YQ41" s="11"/>
      <c r="YR41" s="11"/>
      <c r="YS41" s="11"/>
      <c r="YT41" s="11"/>
      <c r="YU41" s="11"/>
      <c r="YV41" s="11"/>
      <c r="YW41" s="11"/>
      <c r="YX41" s="11"/>
      <c r="YY41" s="11"/>
      <c r="YZ41" s="11"/>
      <c r="ZA41" s="11"/>
      <c r="ZB41" s="11"/>
      <c r="ZC41" s="11"/>
      <c r="ZD41" s="11"/>
      <c r="ZE41" s="11"/>
      <c r="ZF41" s="11"/>
      <c r="ZG41" s="11"/>
      <c r="ZH41" s="11"/>
      <c r="ZI41" s="11"/>
      <c r="ZJ41" s="11"/>
      <c r="ZK41" s="11"/>
      <c r="ZL41" s="11"/>
      <c r="ZM41" s="11"/>
      <c r="ZN41" s="11"/>
      <c r="ZO41" s="11"/>
      <c r="ZP41" s="11"/>
      <c r="ZQ41" s="11"/>
      <c r="ZR41" s="11"/>
      <c r="ZS41" s="11"/>
      <c r="ZT41" s="11"/>
      <c r="ZU41" s="11"/>
      <c r="ZV41" s="11"/>
      <c r="ZW41" s="11"/>
      <c r="ZX41" s="11"/>
      <c r="ZY41" s="11"/>
      <c r="ZZ41" s="11"/>
      <c r="AAA41" s="11"/>
      <c r="AAB41" s="11"/>
      <c r="AAC41" s="11"/>
      <c r="AAD41" s="11"/>
      <c r="AAE41" s="11"/>
      <c r="AAF41" s="11"/>
      <c r="AAG41" s="11"/>
      <c r="AAH41" s="11"/>
      <c r="AAI41" s="11"/>
      <c r="AAJ41" s="11"/>
      <c r="AAK41" s="11"/>
      <c r="AAL41" s="11"/>
    </row>
    <row r="42" spans="26:714" s="6" customFormat="1" x14ac:dyDescent="0.3">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U42" s="11"/>
      <c r="CV42" s="11"/>
      <c r="CW42" s="11"/>
      <c r="CX42" s="11"/>
      <c r="CY42" s="11"/>
      <c r="CZ42" s="11"/>
      <c r="DA42" s="11"/>
      <c r="DB42" s="11"/>
      <c r="DC42" s="11"/>
      <c r="DD42" s="11"/>
      <c r="DE42" s="11"/>
      <c r="DF42" s="11"/>
      <c r="DG42" s="11"/>
      <c r="DH42" s="11"/>
      <c r="DI42" s="11"/>
      <c r="DJ42" s="11"/>
      <c r="DK42" s="11"/>
      <c r="DL42" s="11"/>
      <c r="DM42" s="11"/>
      <c r="DN42" s="11"/>
      <c r="DO42" s="11"/>
      <c r="DP42" s="11"/>
      <c r="DQ42" s="11"/>
      <c r="DR42" s="11"/>
      <c r="DS42" s="11"/>
      <c r="DT42" s="11"/>
      <c r="DU42" s="11"/>
      <c r="DV42" s="11"/>
      <c r="DW42" s="11"/>
      <c r="DX42" s="11"/>
      <c r="DY42" s="11"/>
      <c r="DZ42" s="11"/>
      <c r="EA42" s="11"/>
      <c r="EB42" s="11"/>
      <c r="EC42" s="11"/>
      <c r="ED42" s="11"/>
      <c r="EE42" s="11"/>
      <c r="EF42" s="11"/>
      <c r="EG42" s="11"/>
      <c r="EH42" s="11"/>
      <c r="EI42" s="11"/>
      <c r="EJ42" s="11"/>
      <c r="EK42" s="11"/>
      <c r="EL42" s="11"/>
      <c r="EM42" s="11"/>
      <c r="EN42" s="11"/>
      <c r="EO42" s="11"/>
      <c r="EP42" s="11"/>
      <c r="EQ42" s="11"/>
      <c r="ER42" s="11"/>
      <c r="ES42" s="11"/>
      <c r="ET42" s="11"/>
      <c r="EU42" s="11"/>
      <c r="EV42" s="11"/>
      <c r="EW42" s="11"/>
      <c r="EX42" s="11"/>
      <c r="EY42" s="11"/>
      <c r="EZ42" s="11"/>
      <c r="FA42" s="11"/>
      <c r="FB42" s="11"/>
      <c r="FC42" s="11"/>
      <c r="FD42" s="11"/>
      <c r="FE42" s="11"/>
      <c r="FF42" s="11"/>
      <c r="FG42" s="11"/>
      <c r="FH42" s="11"/>
      <c r="FI42" s="11"/>
      <c r="FJ42" s="11"/>
      <c r="FK42" s="11"/>
      <c r="FL42" s="11"/>
      <c r="FM42" s="11"/>
      <c r="FN42" s="11"/>
      <c r="FO42" s="11"/>
      <c r="FP42" s="11"/>
      <c r="FQ42" s="11"/>
      <c r="FR42" s="11"/>
      <c r="FS42" s="11"/>
      <c r="FT42" s="11"/>
      <c r="FU42" s="11"/>
      <c r="FV42" s="11"/>
      <c r="FW42" s="11"/>
      <c r="FX42" s="11"/>
      <c r="FY42" s="11"/>
      <c r="FZ42" s="11"/>
      <c r="GA42" s="11"/>
      <c r="GB42" s="11"/>
      <c r="GC42" s="11"/>
      <c r="GD42" s="11"/>
      <c r="GE42" s="11"/>
      <c r="GF42" s="11"/>
      <c r="GG42" s="11"/>
      <c r="GH42" s="11"/>
      <c r="GI42" s="11"/>
      <c r="GJ42" s="11"/>
      <c r="GK42" s="11"/>
      <c r="GL42" s="11"/>
      <c r="GM42" s="11"/>
      <c r="GN42" s="11"/>
      <c r="GO42" s="11"/>
      <c r="GP42" s="11"/>
      <c r="GQ42" s="11"/>
      <c r="GR42" s="11"/>
      <c r="GS42" s="11"/>
      <c r="GT42" s="11"/>
      <c r="GU42" s="11"/>
      <c r="GV42" s="11"/>
      <c r="GW42" s="11"/>
      <c r="GX42" s="11"/>
      <c r="GY42" s="11"/>
      <c r="GZ42" s="11"/>
      <c r="HA42" s="11"/>
      <c r="HB42" s="11"/>
      <c r="HC42" s="11"/>
      <c r="HD42" s="11"/>
      <c r="HE42" s="11"/>
      <c r="HF42" s="11"/>
      <c r="HG42" s="11"/>
      <c r="HH42" s="11"/>
      <c r="HI42" s="11"/>
      <c r="HJ42" s="11"/>
      <c r="HK42" s="11"/>
      <c r="HL42" s="11"/>
      <c r="HM42" s="11"/>
      <c r="HN42" s="11"/>
      <c r="HO42" s="11"/>
      <c r="HP42" s="11"/>
      <c r="HQ42" s="11"/>
      <c r="HR42" s="11"/>
      <c r="HS42" s="11"/>
      <c r="HT42" s="11"/>
      <c r="HU42" s="11"/>
      <c r="HV42" s="11"/>
      <c r="HW42" s="11"/>
      <c r="HX42" s="11"/>
      <c r="HY42" s="11"/>
      <c r="HZ42" s="11"/>
      <c r="IA42" s="11"/>
      <c r="IB42" s="11"/>
      <c r="IC42" s="11"/>
      <c r="ID42" s="11"/>
      <c r="IE42" s="11"/>
      <c r="IF42" s="11"/>
      <c r="IG42" s="11"/>
      <c r="IH42" s="11"/>
      <c r="II42" s="11"/>
      <c r="IJ42" s="11"/>
      <c r="IK42" s="11"/>
      <c r="IL42" s="11"/>
      <c r="IM42" s="11"/>
      <c r="IN42" s="11"/>
      <c r="IO42" s="11"/>
      <c r="IP42" s="11"/>
      <c r="IQ42" s="11"/>
      <c r="IR42" s="11"/>
      <c r="IS42" s="11"/>
      <c r="IT42" s="11"/>
      <c r="IU42" s="11"/>
      <c r="IV42" s="11"/>
      <c r="IW42" s="11"/>
      <c r="IX42" s="11"/>
      <c r="IY42" s="11"/>
      <c r="IZ42" s="11"/>
      <c r="JA42" s="11"/>
      <c r="JB42" s="11"/>
      <c r="JC42" s="11"/>
      <c r="JD42" s="11"/>
      <c r="JE42" s="11"/>
      <c r="JF42" s="11"/>
      <c r="JG42" s="11"/>
      <c r="JH42" s="11"/>
      <c r="JI42" s="11"/>
      <c r="JJ42" s="11"/>
      <c r="JK42" s="11"/>
      <c r="JL42" s="11"/>
      <c r="JM42" s="11"/>
      <c r="JN42" s="11"/>
      <c r="JO42" s="11"/>
      <c r="JP42" s="11"/>
      <c r="JQ42" s="11"/>
      <c r="JR42" s="11"/>
      <c r="JS42" s="11"/>
      <c r="JT42" s="11"/>
      <c r="JU42" s="11"/>
      <c r="JV42" s="11"/>
      <c r="JW42" s="11"/>
      <c r="JX42" s="11"/>
      <c r="JY42" s="11"/>
      <c r="JZ42" s="11"/>
      <c r="KA42" s="11"/>
      <c r="KB42" s="11"/>
      <c r="KC42" s="11"/>
      <c r="KD42" s="11"/>
      <c r="KE42" s="11"/>
      <c r="KF42" s="11"/>
      <c r="KG42" s="11"/>
      <c r="KH42" s="11"/>
      <c r="KI42" s="11"/>
      <c r="KJ42" s="11"/>
      <c r="KK42" s="11"/>
      <c r="KL42" s="11"/>
      <c r="KM42" s="11"/>
      <c r="KN42" s="11"/>
      <c r="KO42" s="11"/>
      <c r="KP42" s="11"/>
      <c r="KQ42" s="11"/>
      <c r="KR42" s="11"/>
      <c r="KS42" s="11"/>
      <c r="KT42" s="11"/>
      <c r="KU42" s="11"/>
      <c r="KV42" s="11"/>
      <c r="KW42" s="11"/>
      <c r="KX42" s="11"/>
      <c r="KY42" s="11"/>
      <c r="KZ42" s="11"/>
      <c r="LA42" s="11"/>
      <c r="LB42" s="11"/>
      <c r="LC42" s="11"/>
      <c r="LD42" s="11"/>
      <c r="LE42" s="11"/>
      <c r="LF42" s="11"/>
      <c r="LG42" s="11"/>
      <c r="LH42" s="11"/>
      <c r="LI42" s="11"/>
      <c r="LJ42" s="11"/>
      <c r="LK42" s="11"/>
      <c r="LL42" s="11"/>
      <c r="LM42" s="11"/>
      <c r="LN42" s="11"/>
      <c r="LO42" s="11"/>
      <c r="LP42" s="11"/>
      <c r="LQ42" s="11"/>
      <c r="LR42" s="11"/>
      <c r="LS42" s="11"/>
      <c r="LT42" s="11"/>
      <c r="LU42" s="11"/>
      <c r="LV42" s="11"/>
      <c r="LW42" s="11"/>
      <c r="LX42" s="11"/>
      <c r="LY42" s="11"/>
      <c r="LZ42" s="11"/>
      <c r="MA42" s="11"/>
      <c r="MB42" s="11"/>
      <c r="MC42" s="11"/>
      <c r="MD42" s="11"/>
      <c r="ME42" s="11"/>
      <c r="MF42" s="11"/>
      <c r="MG42" s="11"/>
      <c r="MH42" s="11"/>
      <c r="MI42" s="11"/>
      <c r="MJ42" s="11"/>
      <c r="MK42" s="11"/>
      <c r="ML42" s="11"/>
      <c r="MM42" s="11"/>
      <c r="MN42" s="11"/>
      <c r="MO42" s="11"/>
      <c r="MP42" s="11"/>
      <c r="MQ42" s="11"/>
      <c r="MR42" s="11"/>
      <c r="MS42" s="11"/>
      <c r="MT42" s="11"/>
      <c r="MU42" s="11"/>
      <c r="MV42" s="11"/>
      <c r="MW42" s="11"/>
      <c r="MX42" s="11"/>
      <c r="MY42" s="11"/>
      <c r="MZ42" s="11"/>
      <c r="NA42" s="11"/>
      <c r="NB42" s="11"/>
      <c r="NC42" s="11"/>
      <c r="ND42" s="11"/>
      <c r="NE42" s="11"/>
      <c r="NF42" s="11"/>
      <c r="NG42" s="11"/>
      <c r="NH42" s="11"/>
      <c r="NI42" s="11"/>
      <c r="NJ42" s="11"/>
      <c r="NK42" s="11"/>
      <c r="NL42" s="11"/>
      <c r="NM42" s="11"/>
      <c r="NN42" s="11"/>
      <c r="NO42" s="11"/>
      <c r="NP42" s="11"/>
      <c r="NQ42" s="11"/>
      <c r="NR42" s="11"/>
      <c r="NS42" s="11"/>
      <c r="NT42" s="11"/>
      <c r="NU42" s="11"/>
      <c r="NV42" s="11"/>
      <c r="NW42" s="11"/>
      <c r="NX42" s="11"/>
      <c r="NY42" s="11"/>
      <c r="NZ42" s="11"/>
      <c r="OA42" s="11"/>
      <c r="OB42" s="11"/>
      <c r="OC42" s="11"/>
      <c r="OD42" s="11"/>
      <c r="OE42" s="11"/>
      <c r="OF42" s="11"/>
      <c r="OG42" s="11"/>
      <c r="OH42" s="11"/>
      <c r="OI42" s="11"/>
      <c r="OJ42" s="11"/>
      <c r="OK42" s="11"/>
      <c r="OL42" s="11"/>
      <c r="OM42" s="11"/>
      <c r="ON42" s="11"/>
      <c r="OO42" s="11"/>
      <c r="OP42" s="11"/>
      <c r="OQ42" s="11"/>
      <c r="OR42" s="11"/>
      <c r="OS42" s="11"/>
      <c r="OT42" s="11"/>
      <c r="OU42" s="11"/>
      <c r="OV42" s="11"/>
      <c r="OW42" s="11"/>
      <c r="OX42" s="11"/>
      <c r="OY42" s="11"/>
      <c r="OZ42" s="11"/>
      <c r="PA42" s="11"/>
      <c r="PB42" s="11"/>
      <c r="PC42" s="11"/>
      <c r="PD42" s="11"/>
      <c r="PE42" s="11"/>
      <c r="PF42" s="11"/>
      <c r="PG42" s="11"/>
      <c r="PH42" s="11"/>
      <c r="PI42" s="11"/>
      <c r="PJ42" s="11"/>
      <c r="PK42" s="11"/>
      <c r="PL42" s="11"/>
      <c r="PM42" s="11"/>
      <c r="PN42" s="11"/>
      <c r="PO42" s="11"/>
      <c r="PP42" s="11"/>
      <c r="PQ42" s="11"/>
      <c r="PR42" s="11"/>
      <c r="PS42" s="11"/>
      <c r="PT42" s="11"/>
      <c r="PU42" s="11"/>
      <c r="PV42" s="11"/>
      <c r="PW42" s="11"/>
      <c r="PX42" s="11"/>
      <c r="PY42" s="11"/>
      <c r="PZ42" s="11"/>
      <c r="QA42" s="11"/>
      <c r="QB42" s="11"/>
      <c r="QC42" s="11"/>
      <c r="QD42" s="11"/>
      <c r="QE42" s="11"/>
      <c r="QF42" s="11"/>
      <c r="QG42" s="11"/>
      <c r="QH42" s="11"/>
      <c r="QI42" s="11"/>
      <c r="QJ42" s="11"/>
      <c r="QK42" s="11"/>
      <c r="QL42" s="11"/>
      <c r="QM42" s="11"/>
      <c r="QN42" s="11"/>
      <c r="QO42" s="11"/>
      <c r="QP42" s="11"/>
      <c r="QQ42" s="11"/>
      <c r="QR42" s="11"/>
      <c r="QS42" s="11"/>
      <c r="QT42" s="11"/>
      <c r="QU42" s="11"/>
      <c r="QV42" s="11"/>
      <c r="QW42" s="11"/>
      <c r="QX42" s="11"/>
      <c r="QY42" s="11"/>
      <c r="QZ42" s="11"/>
      <c r="RA42" s="11"/>
      <c r="RB42" s="11"/>
      <c r="RC42" s="11"/>
      <c r="RD42" s="11"/>
      <c r="RE42" s="11"/>
      <c r="RF42" s="11"/>
      <c r="RG42" s="11"/>
      <c r="RH42" s="11"/>
      <c r="RI42" s="11"/>
      <c r="RJ42" s="11"/>
      <c r="RK42" s="11"/>
      <c r="RL42" s="11"/>
      <c r="RM42" s="11"/>
      <c r="RN42" s="11"/>
      <c r="RO42" s="11"/>
      <c r="RP42" s="11"/>
      <c r="RQ42" s="11"/>
      <c r="RR42" s="11"/>
      <c r="RS42" s="11"/>
      <c r="RT42" s="11"/>
      <c r="RU42" s="11"/>
      <c r="RV42" s="11"/>
      <c r="RW42" s="11"/>
      <c r="RX42" s="11"/>
      <c r="RY42" s="11"/>
      <c r="RZ42" s="11"/>
      <c r="SA42" s="11"/>
      <c r="SB42" s="11"/>
      <c r="SC42" s="11"/>
      <c r="SD42" s="11"/>
      <c r="SE42" s="11"/>
      <c r="SF42" s="11"/>
      <c r="SG42" s="11"/>
      <c r="SH42" s="11"/>
      <c r="SI42" s="11"/>
      <c r="SJ42" s="11"/>
      <c r="SK42" s="11"/>
      <c r="SL42" s="11"/>
      <c r="SM42" s="11"/>
      <c r="SN42" s="11"/>
      <c r="SO42" s="11"/>
      <c r="SP42" s="11"/>
      <c r="SQ42" s="11"/>
      <c r="SR42" s="11"/>
      <c r="SS42" s="11"/>
      <c r="ST42" s="11"/>
      <c r="SU42" s="11"/>
      <c r="SV42" s="11"/>
      <c r="SW42" s="11"/>
      <c r="SX42" s="11"/>
      <c r="SY42" s="11"/>
      <c r="SZ42" s="11"/>
      <c r="TA42" s="11"/>
      <c r="TB42" s="11"/>
      <c r="TC42" s="11"/>
      <c r="TD42" s="11"/>
      <c r="TE42" s="11"/>
      <c r="TF42" s="11"/>
      <c r="TG42" s="11"/>
      <c r="TH42" s="11"/>
      <c r="TI42" s="11"/>
      <c r="TJ42" s="11"/>
      <c r="TK42" s="11"/>
      <c r="TL42" s="11"/>
      <c r="TM42" s="11"/>
      <c r="TN42" s="11"/>
      <c r="TO42" s="11"/>
      <c r="TP42" s="11"/>
      <c r="TQ42" s="11"/>
      <c r="TR42" s="11"/>
      <c r="TS42" s="11"/>
      <c r="TT42" s="11"/>
      <c r="TU42" s="11"/>
      <c r="TV42" s="11"/>
      <c r="TW42" s="11"/>
      <c r="TX42" s="11"/>
      <c r="TY42" s="11"/>
      <c r="TZ42" s="11"/>
      <c r="UA42" s="11"/>
      <c r="UB42" s="11"/>
      <c r="UC42" s="11"/>
      <c r="UD42" s="11"/>
      <c r="UE42" s="11"/>
      <c r="UF42" s="11"/>
      <c r="UG42" s="11"/>
      <c r="UH42" s="11"/>
      <c r="UI42" s="11"/>
      <c r="UJ42" s="11"/>
      <c r="UK42" s="11"/>
      <c r="UL42" s="11"/>
      <c r="UM42" s="11"/>
      <c r="UN42" s="11"/>
      <c r="UO42" s="11"/>
      <c r="UP42" s="11"/>
      <c r="UQ42" s="11"/>
      <c r="UR42" s="11"/>
      <c r="US42" s="11"/>
      <c r="UT42" s="11"/>
      <c r="UU42" s="11"/>
      <c r="UV42" s="11"/>
      <c r="UW42" s="11"/>
      <c r="UX42" s="11"/>
      <c r="UY42" s="11"/>
      <c r="UZ42" s="11"/>
      <c r="VA42" s="11"/>
      <c r="VB42" s="11"/>
      <c r="VC42" s="11"/>
      <c r="VD42" s="11"/>
      <c r="VE42" s="11"/>
      <c r="VF42" s="11"/>
      <c r="VG42" s="11"/>
      <c r="VH42" s="11"/>
      <c r="VI42" s="11"/>
      <c r="VJ42" s="11"/>
      <c r="VK42" s="11"/>
      <c r="VL42" s="11"/>
      <c r="VM42" s="11"/>
      <c r="VN42" s="11"/>
      <c r="VO42" s="11"/>
      <c r="VP42" s="11"/>
      <c r="VQ42" s="11"/>
      <c r="VR42" s="11"/>
      <c r="VS42" s="11"/>
      <c r="VT42" s="11"/>
      <c r="VU42" s="11"/>
      <c r="VV42" s="11"/>
      <c r="VW42" s="11"/>
      <c r="VX42" s="11"/>
      <c r="VY42" s="11"/>
      <c r="VZ42" s="11"/>
      <c r="WA42" s="11"/>
      <c r="WB42" s="11"/>
      <c r="WC42" s="11"/>
      <c r="WD42" s="11"/>
      <c r="WE42" s="11"/>
      <c r="WF42" s="11"/>
      <c r="WG42" s="11"/>
      <c r="WH42" s="11"/>
      <c r="WI42" s="11"/>
      <c r="WJ42" s="11"/>
      <c r="WK42" s="11"/>
      <c r="WL42" s="11"/>
      <c r="WM42" s="11"/>
      <c r="WN42" s="11"/>
      <c r="WO42" s="11"/>
      <c r="WP42" s="11"/>
      <c r="WQ42" s="11"/>
      <c r="WR42" s="11"/>
      <c r="WS42" s="11"/>
      <c r="WT42" s="11"/>
      <c r="WU42" s="11"/>
      <c r="WV42" s="11"/>
      <c r="WW42" s="11"/>
      <c r="WX42" s="11"/>
      <c r="WY42" s="11"/>
      <c r="WZ42" s="11"/>
      <c r="XA42" s="11"/>
      <c r="XB42" s="11"/>
      <c r="XC42" s="11"/>
      <c r="XD42" s="11"/>
      <c r="XE42" s="11"/>
      <c r="XF42" s="11"/>
      <c r="XG42" s="11"/>
      <c r="XH42" s="11"/>
      <c r="XI42" s="11"/>
      <c r="XJ42" s="11"/>
      <c r="XK42" s="11"/>
      <c r="XL42" s="11"/>
      <c r="XM42" s="11"/>
      <c r="XN42" s="11"/>
      <c r="XO42" s="11"/>
      <c r="XP42" s="11"/>
      <c r="XQ42" s="11"/>
      <c r="XR42" s="11"/>
      <c r="XS42" s="11"/>
      <c r="XT42" s="11"/>
      <c r="XU42" s="11"/>
      <c r="XV42" s="11"/>
      <c r="XW42" s="11"/>
      <c r="XX42" s="11"/>
      <c r="XY42" s="11"/>
      <c r="XZ42" s="11"/>
      <c r="YA42" s="11"/>
      <c r="YB42" s="11"/>
      <c r="YC42" s="11"/>
      <c r="YD42" s="11"/>
      <c r="YE42" s="11"/>
      <c r="YF42" s="11"/>
      <c r="YG42" s="11"/>
      <c r="YH42" s="11"/>
      <c r="YI42" s="11"/>
      <c r="YJ42" s="11"/>
      <c r="YK42" s="11"/>
      <c r="YL42" s="11"/>
      <c r="YM42" s="11"/>
      <c r="YN42" s="11"/>
      <c r="YO42" s="11"/>
      <c r="YP42" s="11"/>
      <c r="YQ42" s="11"/>
      <c r="YR42" s="11"/>
      <c r="YS42" s="11"/>
      <c r="YT42" s="11"/>
      <c r="YU42" s="11"/>
      <c r="YV42" s="11"/>
      <c r="YW42" s="11"/>
      <c r="YX42" s="11"/>
      <c r="YY42" s="11"/>
      <c r="YZ42" s="11"/>
      <c r="ZA42" s="11"/>
      <c r="ZB42" s="11"/>
      <c r="ZC42" s="11"/>
      <c r="ZD42" s="11"/>
      <c r="ZE42" s="11"/>
      <c r="ZF42" s="11"/>
      <c r="ZG42" s="11"/>
      <c r="ZH42" s="11"/>
      <c r="ZI42" s="11"/>
      <c r="ZJ42" s="11"/>
      <c r="ZK42" s="11"/>
      <c r="ZL42" s="11"/>
      <c r="ZM42" s="11"/>
      <c r="ZN42" s="11"/>
      <c r="ZO42" s="11"/>
      <c r="ZP42" s="11"/>
      <c r="ZQ42" s="11"/>
      <c r="ZR42" s="11"/>
      <c r="ZS42" s="11"/>
      <c r="ZT42" s="11"/>
      <c r="ZU42" s="11"/>
      <c r="ZV42" s="11"/>
      <c r="ZW42" s="11"/>
      <c r="ZX42" s="11"/>
      <c r="ZY42" s="11"/>
      <c r="ZZ42" s="11"/>
      <c r="AAA42" s="11"/>
      <c r="AAB42" s="11"/>
      <c r="AAC42" s="11"/>
      <c r="AAD42" s="11"/>
      <c r="AAE42" s="11"/>
      <c r="AAF42" s="11"/>
      <c r="AAG42" s="11"/>
      <c r="AAH42" s="11"/>
      <c r="AAI42" s="11"/>
      <c r="AAJ42" s="11"/>
      <c r="AAK42" s="11"/>
      <c r="AAL42" s="11"/>
    </row>
    <row r="43" spans="26:714" s="6" customFormat="1" x14ac:dyDescent="0.3">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c r="DV43" s="11"/>
      <c r="DW43" s="11"/>
      <c r="DX43" s="11"/>
      <c r="DY43" s="11"/>
      <c r="DZ43" s="11"/>
      <c r="EA43" s="11"/>
      <c r="EB43" s="11"/>
      <c r="EC43" s="11"/>
      <c r="ED43" s="11"/>
      <c r="EE43" s="11"/>
      <c r="EF43" s="11"/>
      <c r="EG43" s="11"/>
      <c r="EH43" s="11"/>
      <c r="EI43" s="11"/>
      <c r="EJ43" s="11"/>
      <c r="EK43" s="11"/>
      <c r="EL43" s="11"/>
      <c r="EM43" s="11"/>
      <c r="EN43" s="11"/>
      <c r="EO43" s="11"/>
      <c r="EP43" s="11"/>
      <c r="EQ43" s="11"/>
      <c r="ER43" s="11"/>
      <c r="ES43" s="11"/>
      <c r="ET43" s="11"/>
      <c r="EU43" s="11"/>
      <c r="EV43" s="11"/>
      <c r="EW43" s="11"/>
      <c r="EX43" s="11"/>
      <c r="EY43" s="11"/>
      <c r="EZ43" s="11"/>
      <c r="FA43" s="11"/>
      <c r="FB43" s="11"/>
      <c r="FC43" s="11"/>
      <c r="FD43" s="11"/>
      <c r="FE43" s="11"/>
      <c r="FF43" s="11"/>
      <c r="FG43" s="11"/>
      <c r="FH43" s="11"/>
      <c r="FI43" s="11"/>
      <c r="FJ43" s="11"/>
      <c r="FK43" s="11"/>
      <c r="FL43" s="11"/>
      <c r="FM43" s="11"/>
      <c r="FN43" s="11"/>
      <c r="FO43" s="11"/>
      <c r="FP43" s="11"/>
      <c r="FQ43" s="11"/>
      <c r="FR43" s="11"/>
      <c r="FS43" s="11"/>
      <c r="FT43" s="11"/>
      <c r="FU43" s="11"/>
      <c r="FV43" s="11"/>
      <c r="FW43" s="11"/>
      <c r="FX43" s="11"/>
      <c r="FY43" s="11"/>
      <c r="FZ43" s="11"/>
      <c r="GA43" s="11"/>
      <c r="GB43" s="11"/>
      <c r="GC43" s="11"/>
      <c r="GD43" s="11"/>
      <c r="GE43" s="11"/>
      <c r="GF43" s="11"/>
      <c r="GG43" s="11"/>
      <c r="GH43" s="11"/>
      <c r="GI43" s="11"/>
      <c r="GJ43" s="11"/>
      <c r="GK43" s="11"/>
      <c r="GL43" s="11"/>
      <c r="GM43" s="11"/>
      <c r="GN43" s="11"/>
      <c r="GO43" s="11"/>
      <c r="GP43" s="11"/>
      <c r="GQ43" s="11"/>
      <c r="GR43" s="11"/>
      <c r="GS43" s="11"/>
      <c r="GT43" s="11"/>
      <c r="GU43" s="11"/>
      <c r="GV43" s="11"/>
      <c r="GW43" s="11"/>
      <c r="GX43" s="11"/>
      <c r="GY43" s="11"/>
      <c r="GZ43" s="11"/>
      <c r="HA43" s="11"/>
      <c r="HB43" s="11"/>
      <c r="HC43" s="11"/>
      <c r="HD43" s="11"/>
      <c r="HE43" s="11"/>
      <c r="HF43" s="11"/>
      <c r="HG43" s="11"/>
      <c r="HH43" s="11"/>
      <c r="HI43" s="11"/>
      <c r="HJ43" s="11"/>
      <c r="HK43" s="11"/>
      <c r="HL43" s="11"/>
      <c r="HM43" s="11"/>
      <c r="HN43" s="11"/>
      <c r="HO43" s="11"/>
      <c r="HP43" s="11"/>
      <c r="HQ43" s="11"/>
      <c r="HR43" s="11"/>
      <c r="HS43" s="11"/>
      <c r="HT43" s="11"/>
      <c r="HU43" s="11"/>
      <c r="HV43" s="11"/>
      <c r="HW43" s="11"/>
      <c r="HX43" s="11"/>
      <c r="HY43" s="11"/>
      <c r="HZ43" s="11"/>
      <c r="IA43" s="11"/>
      <c r="IB43" s="11"/>
      <c r="IC43" s="11"/>
      <c r="ID43" s="11"/>
      <c r="IE43" s="11"/>
      <c r="IF43" s="11"/>
      <c r="IG43" s="11"/>
      <c r="IH43" s="11"/>
      <c r="II43" s="11"/>
      <c r="IJ43" s="11"/>
      <c r="IK43" s="11"/>
      <c r="IL43" s="11"/>
      <c r="IM43" s="11"/>
      <c r="IN43" s="11"/>
      <c r="IO43" s="11"/>
      <c r="IP43" s="11"/>
      <c r="IQ43" s="11"/>
      <c r="IR43" s="11"/>
      <c r="IS43" s="11"/>
      <c r="IT43" s="11"/>
      <c r="IU43" s="11"/>
      <c r="IV43" s="11"/>
      <c r="IW43" s="11"/>
      <c r="IX43" s="11"/>
      <c r="IY43" s="11"/>
      <c r="IZ43" s="11"/>
      <c r="JA43" s="11"/>
      <c r="JB43" s="11"/>
      <c r="JC43" s="11"/>
      <c r="JD43" s="11"/>
      <c r="JE43" s="11"/>
      <c r="JF43" s="11"/>
      <c r="JG43" s="11"/>
      <c r="JH43" s="11"/>
      <c r="JI43" s="11"/>
      <c r="JJ43" s="11"/>
      <c r="JK43" s="11"/>
      <c r="JL43" s="11"/>
      <c r="JM43" s="11"/>
      <c r="JN43" s="11"/>
      <c r="JO43" s="11"/>
      <c r="JP43" s="11"/>
      <c r="JQ43" s="11"/>
      <c r="JR43" s="11"/>
      <c r="JS43" s="11"/>
      <c r="JT43" s="11"/>
      <c r="JU43" s="11"/>
      <c r="JV43" s="11"/>
      <c r="JW43" s="11"/>
      <c r="JX43" s="11"/>
      <c r="JY43" s="11"/>
      <c r="JZ43" s="11"/>
      <c r="KA43" s="11"/>
      <c r="KB43" s="11"/>
      <c r="KC43" s="11"/>
      <c r="KD43" s="11"/>
      <c r="KE43" s="11"/>
      <c r="KF43" s="11"/>
      <c r="KG43" s="11"/>
      <c r="KH43" s="11"/>
      <c r="KI43" s="11"/>
      <c r="KJ43" s="11"/>
      <c r="KK43" s="11"/>
      <c r="KL43" s="11"/>
      <c r="KM43" s="11"/>
      <c r="KN43" s="11"/>
      <c r="KO43" s="11"/>
      <c r="KP43" s="11"/>
      <c r="KQ43" s="11"/>
      <c r="KR43" s="11"/>
      <c r="KS43" s="11"/>
      <c r="KT43" s="11"/>
      <c r="KU43" s="11"/>
      <c r="KV43" s="11"/>
      <c r="KW43" s="11"/>
      <c r="KX43" s="11"/>
      <c r="KY43" s="11"/>
      <c r="KZ43" s="11"/>
      <c r="LA43" s="11"/>
      <c r="LB43" s="11"/>
      <c r="LC43" s="11"/>
      <c r="LD43" s="11"/>
      <c r="LE43" s="11"/>
      <c r="LF43" s="11"/>
      <c r="LG43" s="11"/>
      <c r="LH43" s="11"/>
      <c r="LI43" s="11"/>
      <c r="LJ43" s="11"/>
      <c r="LK43" s="11"/>
      <c r="LL43" s="11"/>
      <c r="LM43" s="11"/>
      <c r="LN43" s="11"/>
      <c r="LO43" s="11"/>
      <c r="LP43" s="11"/>
      <c r="LQ43" s="11"/>
      <c r="LR43" s="11"/>
      <c r="LS43" s="11"/>
      <c r="LT43" s="11"/>
      <c r="LU43" s="11"/>
      <c r="LV43" s="11"/>
      <c r="LW43" s="11"/>
      <c r="LX43" s="11"/>
      <c r="LY43" s="11"/>
      <c r="LZ43" s="11"/>
      <c r="MA43" s="11"/>
      <c r="MB43" s="11"/>
      <c r="MC43" s="11"/>
      <c r="MD43" s="11"/>
      <c r="ME43" s="11"/>
      <c r="MF43" s="11"/>
      <c r="MG43" s="11"/>
      <c r="MH43" s="11"/>
      <c r="MI43" s="11"/>
      <c r="MJ43" s="11"/>
      <c r="MK43" s="11"/>
      <c r="ML43" s="11"/>
      <c r="MM43" s="11"/>
      <c r="MN43" s="11"/>
      <c r="MO43" s="11"/>
      <c r="MP43" s="11"/>
      <c r="MQ43" s="11"/>
      <c r="MR43" s="11"/>
      <c r="MS43" s="11"/>
      <c r="MT43" s="11"/>
      <c r="MU43" s="11"/>
      <c r="MV43" s="11"/>
      <c r="MW43" s="11"/>
      <c r="MX43" s="11"/>
      <c r="MY43" s="11"/>
      <c r="MZ43" s="11"/>
      <c r="NA43" s="11"/>
      <c r="NB43" s="11"/>
      <c r="NC43" s="11"/>
      <c r="ND43" s="11"/>
      <c r="NE43" s="11"/>
      <c r="NF43" s="11"/>
      <c r="NG43" s="11"/>
      <c r="NH43" s="11"/>
      <c r="NI43" s="11"/>
      <c r="NJ43" s="11"/>
      <c r="NK43" s="11"/>
      <c r="NL43" s="11"/>
      <c r="NM43" s="11"/>
      <c r="NN43" s="11"/>
      <c r="NO43" s="11"/>
      <c r="NP43" s="11"/>
      <c r="NQ43" s="11"/>
      <c r="NR43" s="11"/>
      <c r="NS43" s="11"/>
      <c r="NT43" s="11"/>
      <c r="NU43" s="11"/>
      <c r="NV43" s="11"/>
      <c r="NW43" s="11"/>
      <c r="NX43" s="11"/>
      <c r="NY43" s="11"/>
      <c r="NZ43" s="11"/>
      <c r="OA43" s="11"/>
      <c r="OB43" s="11"/>
      <c r="OC43" s="11"/>
      <c r="OD43" s="11"/>
      <c r="OE43" s="11"/>
      <c r="OF43" s="11"/>
      <c r="OG43" s="11"/>
      <c r="OH43" s="11"/>
      <c r="OI43" s="11"/>
      <c r="OJ43" s="11"/>
      <c r="OK43" s="11"/>
      <c r="OL43" s="11"/>
      <c r="OM43" s="11"/>
      <c r="ON43" s="11"/>
      <c r="OO43" s="11"/>
      <c r="OP43" s="11"/>
      <c r="OQ43" s="11"/>
      <c r="OR43" s="11"/>
      <c r="OS43" s="11"/>
      <c r="OT43" s="11"/>
      <c r="OU43" s="11"/>
      <c r="OV43" s="11"/>
      <c r="OW43" s="11"/>
      <c r="OX43" s="11"/>
      <c r="OY43" s="11"/>
      <c r="OZ43" s="11"/>
      <c r="PA43" s="11"/>
      <c r="PB43" s="11"/>
      <c r="PC43" s="11"/>
      <c r="PD43" s="11"/>
      <c r="PE43" s="11"/>
      <c r="PF43" s="11"/>
      <c r="PG43" s="11"/>
      <c r="PH43" s="11"/>
      <c r="PI43" s="11"/>
      <c r="PJ43" s="11"/>
      <c r="PK43" s="11"/>
      <c r="PL43" s="11"/>
      <c r="PM43" s="11"/>
      <c r="PN43" s="11"/>
      <c r="PO43" s="11"/>
      <c r="PP43" s="11"/>
      <c r="PQ43" s="11"/>
      <c r="PR43" s="11"/>
      <c r="PS43" s="11"/>
      <c r="PT43" s="11"/>
      <c r="PU43" s="11"/>
      <c r="PV43" s="11"/>
      <c r="PW43" s="11"/>
      <c r="PX43" s="11"/>
      <c r="PY43" s="11"/>
      <c r="PZ43" s="11"/>
      <c r="QA43" s="11"/>
      <c r="QB43" s="11"/>
      <c r="QC43" s="11"/>
      <c r="QD43" s="11"/>
      <c r="QE43" s="11"/>
      <c r="QF43" s="11"/>
      <c r="QG43" s="11"/>
      <c r="QH43" s="11"/>
      <c r="QI43" s="11"/>
      <c r="QJ43" s="11"/>
      <c r="QK43" s="11"/>
      <c r="QL43" s="11"/>
      <c r="QM43" s="11"/>
      <c r="QN43" s="11"/>
      <c r="QO43" s="11"/>
      <c r="QP43" s="11"/>
      <c r="QQ43" s="11"/>
      <c r="QR43" s="11"/>
      <c r="QS43" s="11"/>
      <c r="QT43" s="11"/>
      <c r="QU43" s="11"/>
      <c r="QV43" s="11"/>
      <c r="QW43" s="11"/>
      <c r="QX43" s="11"/>
      <c r="QY43" s="11"/>
      <c r="QZ43" s="11"/>
      <c r="RA43" s="11"/>
      <c r="RB43" s="11"/>
      <c r="RC43" s="11"/>
      <c r="RD43" s="11"/>
      <c r="RE43" s="11"/>
      <c r="RF43" s="11"/>
      <c r="RG43" s="11"/>
      <c r="RH43" s="11"/>
      <c r="RI43" s="11"/>
      <c r="RJ43" s="11"/>
      <c r="RK43" s="11"/>
      <c r="RL43" s="11"/>
      <c r="RM43" s="11"/>
      <c r="RN43" s="11"/>
      <c r="RO43" s="11"/>
      <c r="RP43" s="11"/>
      <c r="RQ43" s="11"/>
      <c r="RR43" s="11"/>
      <c r="RS43" s="11"/>
      <c r="RT43" s="11"/>
      <c r="RU43" s="11"/>
      <c r="RV43" s="11"/>
      <c r="RW43" s="11"/>
      <c r="RX43" s="11"/>
      <c r="RY43" s="11"/>
      <c r="RZ43" s="11"/>
      <c r="SA43" s="11"/>
      <c r="SB43" s="11"/>
      <c r="SC43" s="11"/>
      <c r="SD43" s="11"/>
      <c r="SE43" s="11"/>
      <c r="SF43" s="11"/>
      <c r="SG43" s="11"/>
      <c r="SH43" s="11"/>
      <c r="SI43" s="11"/>
      <c r="SJ43" s="11"/>
      <c r="SK43" s="11"/>
      <c r="SL43" s="11"/>
      <c r="SM43" s="11"/>
      <c r="SN43" s="11"/>
      <c r="SO43" s="11"/>
      <c r="SP43" s="11"/>
      <c r="SQ43" s="11"/>
      <c r="SR43" s="11"/>
      <c r="SS43" s="11"/>
      <c r="ST43" s="11"/>
      <c r="SU43" s="11"/>
      <c r="SV43" s="11"/>
      <c r="SW43" s="11"/>
      <c r="SX43" s="11"/>
      <c r="SY43" s="11"/>
      <c r="SZ43" s="11"/>
      <c r="TA43" s="11"/>
      <c r="TB43" s="11"/>
      <c r="TC43" s="11"/>
      <c r="TD43" s="11"/>
      <c r="TE43" s="11"/>
      <c r="TF43" s="11"/>
      <c r="TG43" s="11"/>
      <c r="TH43" s="11"/>
      <c r="TI43" s="11"/>
      <c r="TJ43" s="11"/>
      <c r="TK43" s="11"/>
      <c r="TL43" s="11"/>
      <c r="TM43" s="11"/>
      <c r="TN43" s="11"/>
      <c r="TO43" s="11"/>
      <c r="TP43" s="11"/>
      <c r="TQ43" s="11"/>
      <c r="TR43" s="11"/>
      <c r="TS43" s="11"/>
      <c r="TT43" s="11"/>
      <c r="TU43" s="11"/>
      <c r="TV43" s="11"/>
      <c r="TW43" s="11"/>
      <c r="TX43" s="11"/>
      <c r="TY43" s="11"/>
      <c r="TZ43" s="11"/>
      <c r="UA43" s="11"/>
      <c r="UB43" s="11"/>
      <c r="UC43" s="11"/>
      <c r="UD43" s="11"/>
      <c r="UE43" s="11"/>
      <c r="UF43" s="11"/>
      <c r="UG43" s="11"/>
      <c r="UH43" s="11"/>
      <c r="UI43" s="11"/>
      <c r="UJ43" s="11"/>
      <c r="UK43" s="11"/>
      <c r="UL43" s="11"/>
      <c r="UM43" s="11"/>
      <c r="UN43" s="11"/>
      <c r="UO43" s="11"/>
      <c r="UP43" s="11"/>
      <c r="UQ43" s="11"/>
      <c r="UR43" s="11"/>
      <c r="US43" s="11"/>
      <c r="UT43" s="11"/>
      <c r="UU43" s="11"/>
      <c r="UV43" s="11"/>
      <c r="UW43" s="11"/>
      <c r="UX43" s="11"/>
      <c r="UY43" s="11"/>
      <c r="UZ43" s="11"/>
      <c r="VA43" s="11"/>
      <c r="VB43" s="11"/>
      <c r="VC43" s="11"/>
      <c r="VD43" s="11"/>
      <c r="VE43" s="11"/>
      <c r="VF43" s="11"/>
      <c r="VG43" s="11"/>
      <c r="VH43" s="11"/>
      <c r="VI43" s="11"/>
      <c r="VJ43" s="11"/>
      <c r="VK43" s="11"/>
      <c r="VL43" s="11"/>
      <c r="VM43" s="11"/>
      <c r="VN43" s="11"/>
      <c r="VO43" s="11"/>
      <c r="VP43" s="11"/>
      <c r="VQ43" s="11"/>
      <c r="VR43" s="11"/>
      <c r="VS43" s="11"/>
      <c r="VT43" s="11"/>
      <c r="VU43" s="11"/>
      <c r="VV43" s="11"/>
      <c r="VW43" s="11"/>
      <c r="VX43" s="11"/>
      <c r="VY43" s="11"/>
      <c r="VZ43" s="11"/>
      <c r="WA43" s="11"/>
      <c r="WB43" s="11"/>
      <c r="WC43" s="11"/>
      <c r="WD43" s="11"/>
      <c r="WE43" s="11"/>
      <c r="WF43" s="11"/>
      <c r="WG43" s="11"/>
      <c r="WH43" s="11"/>
      <c r="WI43" s="11"/>
      <c r="WJ43" s="11"/>
      <c r="WK43" s="11"/>
      <c r="WL43" s="11"/>
      <c r="WM43" s="11"/>
      <c r="WN43" s="11"/>
      <c r="WO43" s="11"/>
      <c r="WP43" s="11"/>
      <c r="WQ43" s="11"/>
      <c r="WR43" s="11"/>
      <c r="WS43" s="11"/>
      <c r="WT43" s="11"/>
      <c r="WU43" s="11"/>
      <c r="WV43" s="11"/>
      <c r="WW43" s="11"/>
      <c r="WX43" s="11"/>
      <c r="WY43" s="11"/>
      <c r="WZ43" s="11"/>
      <c r="XA43" s="11"/>
      <c r="XB43" s="11"/>
      <c r="XC43" s="11"/>
      <c r="XD43" s="11"/>
      <c r="XE43" s="11"/>
      <c r="XF43" s="11"/>
      <c r="XG43" s="11"/>
      <c r="XH43" s="11"/>
      <c r="XI43" s="11"/>
      <c r="XJ43" s="11"/>
      <c r="XK43" s="11"/>
      <c r="XL43" s="11"/>
      <c r="XM43" s="11"/>
      <c r="XN43" s="11"/>
      <c r="XO43" s="11"/>
      <c r="XP43" s="11"/>
      <c r="XQ43" s="11"/>
      <c r="XR43" s="11"/>
      <c r="XS43" s="11"/>
      <c r="XT43" s="11"/>
      <c r="XU43" s="11"/>
      <c r="XV43" s="11"/>
      <c r="XW43" s="11"/>
      <c r="XX43" s="11"/>
      <c r="XY43" s="11"/>
      <c r="XZ43" s="11"/>
      <c r="YA43" s="11"/>
      <c r="YB43" s="11"/>
      <c r="YC43" s="11"/>
      <c r="YD43" s="11"/>
      <c r="YE43" s="11"/>
      <c r="YF43" s="11"/>
      <c r="YG43" s="11"/>
      <c r="YH43" s="11"/>
      <c r="YI43" s="11"/>
      <c r="YJ43" s="11"/>
      <c r="YK43" s="11"/>
      <c r="YL43" s="11"/>
      <c r="YM43" s="11"/>
      <c r="YN43" s="11"/>
      <c r="YO43" s="11"/>
      <c r="YP43" s="11"/>
      <c r="YQ43" s="11"/>
      <c r="YR43" s="11"/>
      <c r="YS43" s="11"/>
      <c r="YT43" s="11"/>
      <c r="YU43" s="11"/>
      <c r="YV43" s="11"/>
      <c r="YW43" s="11"/>
      <c r="YX43" s="11"/>
      <c r="YY43" s="11"/>
      <c r="YZ43" s="11"/>
      <c r="ZA43" s="11"/>
      <c r="ZB43" s="11"/>
      <c r="ZC43" s="11"/>
      <c r="ZD43" s="11"/>
      <c r="ZE43" s="11"/>
      <c r="ZF43" s="11"/>
      <c r="ZG43" s="11"/>
      <c r="ZH43" s="11"/>
      <c r="ZI43" s="11"/>
      <c r="ZJ43" s="11"/>
      <c r="ZK43" s="11"/>
      <c r="ZL43" s="11"/>
      <c r="ZM43" s="11"/>
      <c r="ZN43" s="11"/>
      <c r="ZO43" s="11"/>
      <c r="ZP43" s="11"/>
      <c r="ZQ43" s="11"/>
      <c r="ZR43" s="11"/>
      <c r="ZS43" s="11"/>
      <c r="ZT43" s="11"/>
      <c r="ZU43" s="11"/>
      <c r="ZV43" s="11"/>
      <c r="ZW43" s="11"/>
      <c r="ZX43" s="11"/>
      <c r="ZY43" s="11"/>
      <c r="ZZ43" s="11"/>
      <c r="AAA43" s="11"/>
      <c r="AAB43" s="11"/>
      <c r="AAC43" s="11"/>
      <c r="AAD43" s="11"/>
      <c r="AAE43" s="11"/>
      <c r="AAF43" s="11"/>
      <c r="AAG43" s="11"/>
      <c r="AAH43" s="11"/>
      <c r="AAI43" s="11"/>
      <c r="AAJ43" s="11"/>
      <c r="AAK43" s="11"/>
      <c r="AAL43" s="11"/>
    </row>
    <row r="44" spans="26:714" s="6" customFormat="1" x14ac:dyDescent="0.3">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1"/>
      <c r="DI44" s="11"/>
      <c r="DJ44" s="11"/>
      <c r="DK44" s="11"/>
      <c r="DL44" s="11"/>
      <c r="DM44" s="11"/>
      <c r="DN44" s="11"/>
      <c r="DO44" s="11"/>
      <c r="DP44" s="11"/>
      <c r="DQ44" s="11"/>
      <c r="DR44" s="11"/>
      <c r="DS44" s="11"/>
      <c r="DT44" s="11"/>
      <c r="DU44" s="11"/>
      <c r="DV44" s="11"/>
      <c r="DW44" s="11"/>
      <c r="DX44" s="11"/>
      <c r="DY44" s="11"/>
      <c r="DZ44" s="11"/>
      <c r="EA44" s="11"/>
      <c r="EB44" s="11"/>
      <c r="EC44" s="11"/>
      <c r="ED44" s="11"/>
      <c r="EE44" s="11"/>
      <c r="EF44" s="11"/>
      <c r="EG44" s="11"/>
      <c r="EH44" s="11"/>
      <c r="EI44" s="11"/>
      <c r="EJ44" s="11"/>
      <c r="EK44" s="11"/>
      <c r="EL44" s="11"/>
      <c r="EM44" s="11"/>
      <c r="EN44" s="11"/>
      <c r="EO44" s="11"/>
      <c r="EP44" s="11"/>
      <c r="EQ44" s="11"/>
      <c r="ER44" s="11"/>
      <c r="ES44" s="11"/>
      <c r="ET44" s="11"/>
      <c r="EU44" s="11"/>
      <c r="EV44" s="11"/>
      <c r="EW44" s="11"/>
      <c r="EX44" s="11"/>
      <c r="EY44" s="11"/>
      <c r="EZ44" s="11"/>
      <c r="FA44" s="11"/>
      <c r="FB44" s="11"/>
      <c r="FC44" s="11"/>
      <c r="FD44" s="11"/>
      <c r="FE44" s="11"/>
      <c r="FF44" s="11"/>
      <c r="FG44" s="11"/>
      <c r="FH44" s="11"/>
      <c r="FI44" s="11"/>
      <c r="FJ44" s="11"/>
      <c r="FK44" s="11"/>
      <c r="FL44" s="11"/>
      <c r="FM44" s="11"/>
      <c r="FN44" s="11"/>
      <c r="FO44" s="11"/>
      <c r="FP44" s="11"/>
      <c r="FQ44" s="11"/>
      <c r="FR44" s="11"/>
      <c r="FS44" s="11"/>
      <c r="FT44" s="11"/>
      <c r="FU44" s="11"/>
      <c r="FV44" s="11"/>
      <c r="FW44" s="11"/>
      <c r="FX44" s="11"/>
      <c r="FY44" s="11"/>
      <c r="FZ44" s="11"/>
      <c r="GA44" s="11"/>
      <c r="GB44" s="11"/>
      <c r="GC44" s="11"/>
      <c r="GD44" s="11"/>
      <c r="GE44" s="11"/>
      <c r="GF44" s="11"/>
      <c r="GG44" s="11"/>
      <c r="GH44" s="11"/>
      <c r="GI44" s="11"/>
      <c r="GJ44" s="11"/>
      <c r="GK44" s="11"/>
      <c r="GL44" s="11"/>
      <c r="GM44" s="11"/>
      <c r="GN44" s="11"/>
      <c r="GO44" s="11"/>
      <c r="GP44" s="11"/>
      <c r="GQ44" s="11"/>
      <c r="GR44" s="11"/>
      <c r="GS44" s="11"/>
      <c r="GT44" s="11"/>
      <c r="GU44" s="11"/>
      <c r="GV44" s="11"/>
      <c r="GW44" s="11"/>
      <c r="GX44" s="11"/>
      <c r="GY44" s="11"/>
      <c r="GZ44" s="11"/>
      <c r="HA44" s="11"/>
      <c r="HB44" s="11"/>
      <c r="HC44" s="11"/>
      <c r="HD44" s="11"/>
      <c r="HE44" s="11"/>
      <c r="HF44" s="11"/>
      <c r="HG44" s="11"/>
      <c r="HH44" s="11"/>
      <c r="HI44" s="11"/>
      <c r="HJ44" s="11"/>
      <c r="HK44" s="11"/>
      <c r="HL44" s="11"/>
      <c r="HM44" s="11"/>
      <c r="HN44" s="11"/>
      <c r="HO44" s="11"/>
      <c r="HP44" s="11"/>
      <c r="HQ44" s="11"/>
      <c r="HR44" s="11"/>
      <c r="HS44" s="11"/>
      <c r="HT44" s="11"/>
      <c r="HU44" s="11"/>
      <c r="HV44" s="11"/>
      <c r="HW44" s="11"/>
      <c r="HX44" s="11"/>
      <c r="HY44" s="11"/>
      <c r="HZ44" s="11"/>
      <c r="IA44" s="11"/>
      <c r="IB44" s="11"/>
      <c r="IC44" s="11"/>
      <c r="ID44" s="11"/>
      <c r="IE44" s="11"/>
      <c r="IF44" s="11"/>
      <c r="IG44" s="11"/>
      <c r="IH44" s="11"/>
      <c r="II44" s="11"/>
      <c r="IJ44" s="11"/>
      <c r="IK44" s="11"/>
      <c r="IL44" s="11"/>
      <c r="IM44" s="11"/>
      <c r="IN44" s="11"/>
      <c r="IO44" s="11"/>
      <c r="IP44" s="11"/>
      <c r="IQ44" s="11"/>
      <c r="IR44" s="11"/>
      <c r="IS44" s="11"/>
      <c r="IT44" s="11"/>
      <c r="IU44" s="11"/>
      <c r="IV44" s="11"/>
      <c r="IW44" s="11"/>
      <c r="IX44" s="11"/>
      <c r="IY44" s="11"/>
      <c r="IZ44" s="11"/>
      <c r="JA44" s="11"/>
      <c r="JB44" s="11"/>
      <c r="JC44" s="11"/>
      <c r="JD44" s="11"/>
      <c r="JE44" s="11"/>
      <c r="JF44" s="11"/>
      <c r="JG44" s="11"/>
      <c r="JH44" s="11"/>
      <c r="JI44" s="11"/>
      <c r="JJ44" s="11"/>
      <c r="JK44" s="11"/>
      <c r="JL44" s="11"/>
      <c r="JM44" s="11"/>
      <c r="JN44" s="11"/>
      <c r="JO44" s="11"/>
      <c r="JP44" s="11"/>
      <c r="JQ44" s="11"/>
      <c r="JR44" s="11"/>
      <c r="JS44" s="11"/>
      <c r="JT44" s="11"/>
      <c r="JU44" s="11"/>
      <c r="JV44" s="11"/>
      <c r="JW44" s="11"/>
      <c r="JX44" s="11"/>
      <c r="JY44" s="11"/>
      <c r="JZ44" s="11"/>
      <c r="KA44" s="11"/>
      <c r="KB44" s="11"/>
      <c r="KC44" s="11"/>
      <c r="KD44" s="11"/>
      <c r="KE44" s="11"/>
      <c r="KF44" s="11"/>
      <c r="KG44" s="11"/>
      <c r="KH44" s="11"/>
      <c r="KI44" s="11"/>
      <c r="KJ44" s="11"/>
      <c r="KK44" s="11"/>
      <c r="KL44" s="11"/>
      <c r="KM44" s="11"/>
      <c r="KN44" s="11"/>
      <c r="KO44" s="11"/>
      <c r="KP44" s="11"/>
      <c r="KQ44" s="11"/>
      <c r="KR44" s="11"/>
      <c r="KS44" s="11"/>
      <c r="KT44" s="11"/>
      <c r="KU44" s="11"/>
      <c r="KV44" s="11"/>
      <c r="KW44" s="11"/>
      <c r="KX44" s="11"/>
      <c r="KY44" s="11"/>
      <c r="KZ44" s="11"/>
      <c r="LA44" s="11"/>
      <c r="LB44" s="11"/>
      <c r="LC44" s="11"/>
      <c r="LD44" s="11"/>
      <c r="LE44" s="11"/>
      <c r="LF44" s="11"/>
      <c r="LG44" s="11"/>
      <c r="LH44" s="11"/>
      <c r="LI44" s="11"/>
      <c r="LJ44" s="11"/>
      <c r="LK44" s="11"/>
      <c r="LL44" s="11"/>
      <c r="LM44" s="11"/>
      <c r="LN44" s="11"/>
      <c r="LO44" s="11"/>
      <c r="LP44" s="11"/>
      <c r="LQ44" s="11"/>
      <c r="LR44" s="11"/>
      <c r="LS44" s="11"/>
      <c r="LT44" s="11"/>
      <c r="LU44" s="11"/>
      <c r="LV44" s="11"/>
      <c r="LW44" s="11"/>
      <c r="LX44" s="11"/>
      <c r="LY44" s="11"/>
      <c r="LZ44" s="11"/>
      <c r="MA44" s="11"/>
      <c r="MB44" s="11"/>
      <c r="MC44" s="11"/>
      <c r="MD44" s="11"/>
      <c r="ME44" s="11"/>
      <c r="MF44" s="11"/>
      <c r="MG44" s="11"/>
      <c r="MH44" s="11"/>
      <c r="MI44" s="11"/>
      <c r="MJ44" s="11"/>
      <c r="MK44" s="11"/>
      <c r="ML44" s="11"/>
      <c r="MM44" s="11"/>
      <c r="MN44" s="11"/>
      <c r="MO44" s="11"/>
      <c r="MP44" s="11"/>
      <c r="MQ44" s="11"/>
      <c r="MR44" s="11"/>
      <c r="MS44" s="11"/>
      <c r="MT44" s="11"/>
      <c r="MU44" s="11"/>
      <c r="MV44" s="11"/>
      <c r="MW44" s="11"/>
      <c r="MX44" s="11"/>
      <c r="MY44" s="11"/>
      <c r="MZ44" s="11"/>
      <c r="NA44" s="11"/>
      <c r="NB44" s="11"/>
      <c r="NC44" s="11"/>
      <c r="ND44" s="11"/>
      <c r="NE44" s="11"/>
      <c r="NF44" s="11"/>
      <c r="NG44" s="11"/>
      <c r="NH44" s="11"/>
      <c r="NI44" s="11"/>
      <c r="NJ44" s="11"/>
      <c r="NK44" s="11"/>
      <c r="NL44" s="11"/>
      <c r="NM44" s="11"/>
      <c r="NN44" s="11"/>
      <c r="NO44" s="11"/>
      <c r="NP44" s="11"/>
      <c r="NQ44" s="11"/>
      <c r="NR44" s="11"/>
      <c r="NS44" s="11"/>
      <c r="NT44" s="11"/>
      <c r="NU44" s="11"/>
      <c r="NV44" s="11"/>
      <c r="NW44" s="11"/>
      <c r="NX44" s="11"/>
      <c r="NY44" s="11"/>
      <c r="NZ44" s="11"/>
      <c r="OA44" s="11"/>
      <c r="OB44" s="11"/>
      <c r="OC44" s="11"/>
      <c r="OD44" s="11"/>
      <c r="OE44" s="11"/>
      <c r="OF44" s="11"/>
      <c r="OG44" s="11"/>
      <c r="OH44" s="11"/>
      <c r="OI44" s="11"/>
      <c r="OJ44" s="11"/>
      <c r="OK44" s="11"/>
      <c r="OL44" s="11"/>
      <c r="OM44" s="11"/>
      <c r="ON44" s="11"/>
      <c r="OO44" s="11"/>
      <c r="OP44" s="11"/>
      <c r="OQ44" s="11"/>
      <c r="OR44" s="11"/>
      <c r="OS44" s="11"/>
      <c r="OT44" s="11"/>
      <c r="OU44" s="11"/>
      <c r="OV44" s="11"/>
      <c r="OW44" s="11"/>
      <c r="OX44" s="11"/>
      <c r="OY44" s="11"/>
      <c r="OZ44" s="11"/>
      <c r="PA44" s="11"/>
      <c r="PB44" s="11"/>
      <c r="PC44" s="11"/>
      <c r="PD44" s="11"/>
      <c r="PE44" s="11"/>
      <c r="PF44" s="11"/>
      <c r="PG44" s="11"/>
      <c r="PH44" s="11"/>
      <c r="PI44" s="11"/>
      <c r="PJ44" s="11"/>
      <c r="PK44" s="11"/>
      <c r="PL44" s="11"/>
      <c r="PM44" s="11"/>
      <c r="PN44" s="11"/>
      <c r="PO44" s="11"/>
      <c r="PP44" s="11"/>
      <c r="PQ44" s="11"/>
      <c r="PR44" s="11"/>
      <c r="PS44" s="11"/>
      <c r="PT44" s="11"/>
      <c r="PU44" s="11"/>
      <c r="PV44" s="11"/>
      <c r="PW44" s="11"/>
      <c r="PX44" s="11"/>
      <c r="PY44" s="11"/>
      <c r="PZ44" s="11"/>
      <c r="QA44" s="11"/>
      <c r="QB44" s="11"/>
      <c r="QC44" s="11"/>
      <c r="QD44" s="11"/>
      <c r="QE44" s="11"/>
      <c r="QF44" s="11"/>
      <c r="QG44" s="11"/>
      <c r="QH44" s="11"/>
      <c r="QI44" s="11"/>
      <c r="QJ44" s="11"/>
      <c r="QK44" s="11"/>
      <c r="QL44" s="11"/>
      <c r="QM44" s="11"/>
      <c r="QN44" s="11"/>
      <c r="QO44" s="11"/>
      <c r="QP44" s="11"/>
      <c r="QQ44" s="11"/>
      <c r="QR44" s="11"/>
      <c r="QS44" s="11"/>
      <c r="QT44" s="11"/>
      <c r="QU44" s="11"/>
      <c r="QV44" s="11"/>
      <c r="QW44" s="11"/>
      <c r="QX44" s="11"/>
      <c r="QY44" s="11"/>
      <c r="QZ44" s="11"/>
      <c r="RA44" s="11"/>
      <c r="RB44" s="11"/>
      <c r="RC44" s="11"/>
      <c r="RD44" s="11"/>
      <c r="RE44" s="11"/>
      <c r="RF44" s="11"/>
      <c r="RG44" s="11"/>
      <c r="RH44" s="11"/>
      <c r="RI44" s="11"/>
      <c r="RJ44" s="11"/>
      <c r="RK44" s="11"/>
      <c r="RL44" s="11"/>
      <c r="RM44" s="11"/>
      <c r="RN44" s="11"/>
      <c r="RO44" s="11"/>
      <c r="RP44" s="11"/>
      <c r="RQ44" s="11"/>
      <c r="RR44" s="11"/>
      <c r="RS44" s="11"/>
      <c r="RT44" s="11"/>
      <c r="RU44" s="11"/>
      <c r="RV44" s="11"/>
      <c r="RW44" s="11"/>
      <c r="RX44" s="11"/>
      <c r="RY44" s="11"/>
      <c r="RZ44" s="11"/>
      <c r="SA44" s="11"/>
      <c r="SB44" s="11"/>
      <c r="SC44" s="11"/>
      <c r="SD44" s="11"/>
      <c r="SE44" s="11"/>
      <c r="SF44" s="11"/>
      <c r="SG44" s="11"/>
      <c r="SH44" s="11"/>
      <c r="SI44" s="11"/>
      <c r="SJ44" s="11"/>
      <c r="SK44" s="11"/>
      <c r="SL44" s="11"/>
      <c r="SM44" s="11"/>
      <c r="SN44" s="11"/>
      <c r="SO44" s="11"/>
      <c r="SP44" s="11"/>
      <c r="SQ44" s="11"/>
      <c r="SR44" s="11"/>
      <c r="SS44" s="11"/>
      <c r="ST44" s="11"/>
      <c r="SU44" s="11"/>
      <c r="SV44" s="11"/>
      <c r="SW44" s="11"/>
      <c r="SX44" s="11"/>
      <c r="SY44" s="11"/>
      <c r="SZ44" s="11"/>
      <c r="TA44" s="11"/>
      <c r="TB44" s="11"/>
      <c r="TC44" s="11"/>
      <c r="TD44" s="11"/>
      <c r="TE44" s="11"/>
      <c r="TF44" s="11"/>
      <c r="TG44" s="11"/>
      <c r="TH44" s="11"/>
      <c r="TI44" s="11"/>
      <c r="TJ44" s="11"/>
      <c r="TK44" s="11"/>
      <c r="TL44" s="11"/>
      <c r="TM44" s="11"/>
      <c r="TN44" s="11"/>
      <c r="TO44" s="11"/>
      <c r="TP44" s="11"/>
      <c r="TQ44" s="11"/>
      <c r="TR44" s="11"/>
      <c r="TS44" s="11"/>
      <c r="TT44" s="11"/>
      <c r="TU44" s="11"/>
      <c r="TV44" s="11"/>
      <c r="TW44" s="11"/>
      <c r="TX44" s="11"/>
      <c r="TY44" s="11"/>
      <c r="TZ44" s="11"/>
      <c r="UA44" s="11"/>
      <c r="UB44" s="11"/>
      <c r="UC44" s="11"/>
      <c r="UD44" s="11"/>
      <c r="UE44" s="11"/>
      <c r="UF44" s="11"/>
      <c r="UG44" s="11"/>
      <c r="UH44" s="11"/>
      <c r="UI44" s="11"/>
      <c r="UJ44" s="11"/>
      <c r="UK44" s="11"/>
      <c r="UL44" s="11"/>
      <c r="UM44" s="11"/>
      <c r="UN44" s="11"/>
      <c r="UO44" s="11"/>
      <c r="UP44" s="11"/>
      <c r="UQ44" s="11"/>
      <c r="UR44" s="11"/>
      <c r="US44" s="11"/>
      <c r="UT44" s="11"/>
      <c r="UU44" s="11"/>
      <c r="UV44" s="11"/>
      <c r="UW44" s="11"/>
      <c r="UX44" s="11"/>
      <c r="UY44" s="11"/>
      <c r="UZ44" s="11"/>
      <c r="VA44" s="11"/>
      <c r="VB44" s="11"/>
      <c r="VC44" s="11"/>
      <c r="VD44" s="11"/>
      <c r="VE44" s="11"/>
      <c r="VF44" s="11"/>
      <c r="VG44" s="11"/>
      <c r="VH44" s="11"/>
      <c r="VI44" s="11"/>
      <c r="VJ44" s="11"/>
      <c r="VK44" s="11"/>
      <c r="VL44" s="11"/>
      <c r="VM44" s="11"/>
      <c r="VN44" s="11"/>
      <c r="VO44" s="11"/>
      <c r="VP44" s="11"/>
      <c r="VQ44" s="11"/>
      <c r="VR44" s="11"/>
      <c r="VS44" s="11"/>
      <c r="VT44" s="11"/>
      <c r="VU44" s="11"/>
      <c r="VV44" s="11"/>
      <c r="VW44" s="11"/>
      <c r="VX44" s="11"/>
      <c r="VY44" s="11"/>
      <c r="VZ44" s="11"/>
      <c r="WA44" s="11"/>
      <c r="WB44" s="11"/>
      <c r="WC44" s="11"/>
      <c r="WD44" s="11"/>
      <c r="WE44" s="11"/>
      <c r="WF44" s="11"/>
      <c r="WG44" s="11"/>
      <c r="WH44" s="11"/>
      <c r="WI44" s="11"/>
      <c r="WJ44" s="11"/>
      <c r="WK44" s="11"/>
      <c r="WL44" s="11"/>
      <c r="WM44" s="11"/>
      <c r="WN44" s="11"/>
      <c r="WO44" s="11"/>
      <c r="WP44" s="11"/>
      <c r="WQ44" s="11"/>
      <c r="WR44" s="11"/>
      <c r="WS44" s="11"/>
      <c r="WT44" s="11"/>
      <c r="WU44" s="11"/>
      <c r="WV44" s="11"/>
      <c r="WW44" s="11"/>
      <c r="WX44" s="11"/>
      <c r="WY44" s="11"/>
      <c r="WZ44" s="11"/>
      <c r="XA44" s="11"/>
      <c r="XB44" s="11"/>
      <c r="XC44" s="11"/>
      <c r="XD44" s="11"/>
      <c r="XE44" s="11"/>
      <c r="XF44" s="11"/>
      <c r="XG44" s="11"/>
      <c r="XH44" s="11"/>
      <c r="XI44" s="11"/>
      <c r="XJ44" s="11"/>
      <c r="XK44" s="11"/>
      <c r="XL44" s="11"/>
      <c r="XM44" s="11"/>
      <c r="XN44" s="11"/>
      <c r="XO44" s="11"/>
      <c r="XP44" s="11"/>
      <c r="XQ44" s="11"/>
      <c r="XR44" s="11"/>
      <c r="XS44" s="11"/>
      <c r="XT44" s="11"/>
      <c r="XU44" s="11"/>
      <c r="XV44" s="11"/>
      <c r="XW44" s="11"/>
      <c r="XX44" s="11"/>
      <c r="XY44" s="11"/>
      <c r="XZ44" s="11"/>
      <c r="YA44" s="11"/>
      <c r="YB44" s="11"/>
      <c r="YC44" s="11"/>
      <c r="YD44" s="11"/>
      <c r="YE44" s="11"/>
      <c r="YF44" s="11"/>
      <c r="YG44" s="11"/>
      <c r="YH44" s="11"/>
      <c r="YI44" s="11"/>
      <c r="YJ44" s="11"/>
      <c r="YK44" s="11"/>
      <c r="YL44" s="11"/>
      <c r="YM44" s="11"/>
      <c r="YN44" s="11"/>
      <c r="YO44" s="11"/>
      <c r="YP44" s="11"/>
      <c r="YQ44" s="11"/>
      <c r="YR44" s="11"/>
      <c r="YS44" s="11"/>
      <c r="YT44" s="11"/>
      <c r="YU44" s="11"/>
      <c r="YV44" s="11"/>
      <c r="YW44" s="11"/>
      <c r="YX44" s="11"/>
      <c r="YY44" s="11"/>
      <c r="YZ44" s="11"/>
      <c r="ZA44" s="11"/>
      <c r="ZB44" s="11"/>
      <c r="ZC44" s="11"/>
      <c r="ZD44" s="11"/>
      <c r="ZE44" s="11"/>
      <c r="ZF44" s="11"/>
      <c r="ZG44" s="11"/>
      <c r="ZH44" s="11"/>
      <c r="ZI44" s="11"/>
      <c r="ZJ44" s="11"/>
      <c r="ZK44" s="11"/>
      <c r="ZL44" s="11"/>
      <c r="ZM44" s="11"/>
      <c r="ZN44" s="11"/>
      <c r="ZO44" s="11"/>
      <c r="ZP44" s="11"/>
      <c r="ZQ44" s="11"/>
      <c r="ZR44" s="11"/>
      <c r="ZS44" s="11"/>
      <c r="ZT44" s="11"/>
      <c r="ZU44" s="11"/>
      <c r="ZV44" s="11"/>
      <c r="ZW44" s="11"/>
      <c r="ZX44" s="11"/>
      <c r="ZY44" s="11"/>
      <c r="ZZ44" s="11"/>
      <c r="AAA44" s="11"/>
      <c r="AAB44" s="11"/>
      <c r="AAC44" s="11"/>
      <c r="AAD44" s="11"/>
      <c r="AAE44" s="11"/>
      <c r="AAF44" s="11"/>
      <c r="AAG44" s="11"/>
      <c r="AAH44" s="11"/>
      <c r="AAI44" s="11"/>
      <c r="AAJ44" s="11"/>
      <c r="AAK44" s="11"/>
      <c r="AAL44" s="11"/>
    </row>
    <row r="45" spans="26:714" s="6" customFormat="1" x14ac:dyDescent="0.3">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c r="CR45" s="11"/>
      <c r="CS45" s="11"/>
      <c r="CT45" s="11"/>
      <c r="CU45" s="11"/>
      <c r="CV45" s="11"/>
      <c r="CW45" s="11"/>
      <c r="CX45" s="11"/>
      <c r="CY45" s="11"/>
      <c r="CZ45" s="11"/>
      <c r="DA45" s="11"/>
      <c r="DB45" s="11"/>
      <c r="DC45" s="11"/>
      <c r="DD45" s="11"/>
      <c r="DE45" s="11"/>
      <c r="DF45" s="11"/>
      <c r="DG45" s="11"/>
      <c r="DH45" s="11"/>
      <c r="DI45" s="11"/>
      <c r="DJ45" s="11"/>
      <c r="DK45" s="11"/>
      <c r="DL45" s="11"/>
      <c r="DM45" s="11"/>
      <c r="DN45" s="11"/>
      <c r="DO45" s="11"/>
      <c r="DP45" s="11"/>
      <c r="DQ45" s="11"/>
      <c r="DR45" s="11"/>
      <c r="DS45" s="11"/>
      <c r="DT45" s="11"/>
      <c r="DU45" s="11"/>
      <c r="DV45" s="11"/>
      <c r="DW45" s="11"/>
      <c r="DX45" s="11"/>
      <c r="DY45" s="11"/>
      <c r="DZ45" s="11"/>
      <c r="EA45" s="11"/>
      <c r="EB45" s="11"/>
      <c r="EC45" s="11"/>
      <c r="ED45" s="11"/>
      <c r="EE45" s="11"/>
      <c r="EF45" s="11"/>
      <c r="EG45" s="11"/>
      <c r="EH45" s="11"/>
      <c r="EI45" s="11"/>
      <c r="EJ45" s="11"/>
      <c r="EK45" s="11"/>
      <c r="EL45" s="11"/>
      <c r="EM45" s="11"/>
      <c r="EN45" s="11"/>
      <c r="EO45" s="11"/>
      <c r="EP45" s="11"/>
      <c r="EQ45" s="11"/>
      <c r="ER45" s="11"/>
      <c r="ES45" s="11"/>
      <c r="ET45" s="11"/>
      <c r="EU45" s="11"/>
      <c r="EV45" s="11"/>
      <c r="EW45" s="11"/>
      <c r="EX45" s="11"/>
      <c r="EY45" s="11"/>
      <c r="EZ45" s="11"/>
      <c r="FA45" s="11"/>
      <c r="FB45" s="11"/>
      <c r="FC45" s="11"/>
      <c r="FD45" s="11"/>
      <c r="FE45" s="11"/>
      <c r="FF45" s="11"/>
      <c r="FG45" s="11"/>
      <c r="FH45" s="11"/>
      <c r="FI45" s="11"/>
      <c r="FJ45" s="11"/>
      <c r="FK45" s="11"/>
      <c r="FL45" s="11"/>
      <c r="FM45" s="11"/>
      <c r="FN45" s="11"/>
      <c r="FO45" s="11"/>
      <c r="FP45" s="11"/>
      <c r="FQ45" s="11"/>
      <c r="FR45" s="11"/>
      <c r="FS45" s="11"/>
      <c r="FT45" s="11"/>
      <c r="FU45" s="11"/>
      <c r="FV45" s="11"/>
      <c r="FW45" s="11"/>
      <c r="FX45" s="11"/>
      <c r="FY45" s="11"/>
      <c r="FZ45" s="11"/>
      <c r="GA45" s="11"/>
      <c r="GB45" s="11"/>
      <c r="GC45" s="11"/>
      <c r="GD45" s="11"/>
      <c r="GE45" s="11"/>
      <c r="GF45" s="11"/>
      <c r="GG45" s="11"/>
      <c r="GH45" s="11"/>
      <c r="GI45" s="11"/>
      <c r="GJ45" s="11"/>
      <c r="GK45" s="11"/>
      <c r="GL45" s="11"/>
      <c r="GM45" s="11"/>
      <c r="GN45" s="11"/>
      <c r="GO45" s="11"/>
      <c r="GP45" s="11"/>
      <c r="GQ45" s="11"/>
      <c r="GR45" s="11"/>
      <c r="GS45" s="11"/>
      <c r="GT45" s="11"/>
      <c r="GU45" s="11"/>
      <c r="GV45" s="11"/>
      <c r="GW45" s="11"/>
      <c r="GX45" s="11"/>
      <c r="GY45" s="11"/>
      <c r="GZ45" s="11"/>
      <c r="HA45" s="11"/>
      <c r="HB45" s="11"/>
      <c r="HC45" s="11"/>
      <c r="HD45" s="11"/>
      <c r="HE45" s="11"/>
      <c r="HF45" s="11"/>
      <c r="HG45" s="11"/>
      <c r="HH45" s="11"/>
      <c r="HI45" s="11"/>
      <c r="HJ45" s="11"/>
      <c r="HK45" s="11"/>
      <c r="HL45" s="11"/>
      <c r="HM45" s="11"/>
      <c r="HN45" s="11"/>
      <c r="HO45" s="11"/>
      <c r="HP45" s="11"/>
      <c r="HQ45" s="11"/>
      <c r="HR45" s="11"/>
      <c r="HS45" s="11"/>
      <c r="HT45" s="11"/>
      <c r="HU45" s="11"/>
      <c r="HV45" s="11"/>
      <c r="HW45" s="11"/>
      <c r="HX45" s="11"/>
      <c r="HY45" s="11"/>
      <c r="HZ45" s="11"/>
      <c r="IA45" s="11"/>
      <c r="IB45" s="11"/>
      <c r="IC45" s="11"/>
      <c r="ID45" s="11"/>
      <c r="IE45" s="11"/>
      <c r="IF45" s="11"/>
      <c r="IG45" s="11"/>
      <c r="IH45" s="11"/>
      <c r="II45" s="11"/>
      <c r="IJ45" s="11"/>
      <c r="IK45" s="11"/>
      <c r="IL45" s="11"/>
      <c r="IM45" s="11"/>
      <c r="IN45" s="11"/>
      <c r="IO45" s="11"/>
      <c r="IP45" s="11"/>
      <c r="IQ45" s="11"/>
      <c r="IR45" s="11"/>
      <c r="IS45" s="11"/>
      <c r="IT45" s="11"/>
      <c r="IU45" s="11"/>
      <c r="IV45" s="11"/>
      <c r="IW45" s="11"/>
      <c r="IX45" s="11"/>
      <c r="IY45" s="11"/>
      <c r="IZ45" s="11"/>
      <c r="JA45" s="11"/>
      <c r="JB45" s="11"/>
      <c r="JC45" s="11"/>
      <c r="JD45" s="11"/>
      <c r="JE45" s="11"/>
      <c r="JF45" s="11"/>
      <c r="JG45" s="11"/>
      <c r="JH45" s="11"/>
      <c r="JI45" s="11"/>
      <c r="JJ45" s="11"/>
      <c r="JK45" s="11"/>
      <c r="JL45" s="11"/>
      <c r="JM45" s="11"/>
      <c r="JN45" s="11"/>
      <c r="JO45" s="11"/>
      <c r="JP45" s="11"/>
      <c r="JQ45" s="11"/>
      <c r="JR45" s="11"/>
      <c r="JS45" s="11"/>
      <c r="JT45" s="11"/>
      <c r="JU45" s="11"/>
      <c r="JV45" s="11"/>
      <c r="JW45" s="11"/>
      <c r="JX45" s="11"/>
      <c r="JY45" s="11"/>
      <c r="JZ45" s="11"/>
      <c r="KA45" s="11"/>
      <c r="KB45" s="11"/>
      <c r="KC45" s="11"/>
      <c r="KD45" s="11"/>
      <c r="KE45" s="11"/>
      <c r="KF45" s="11"/>
      <c r="KG45" s="11"/>
      <c r="KH45" s="11"/>
      <c r="KI45" s="11"/>
      <c r="KJ45" s="11"/>
      <c r="KK45" s="11"/>
      <c r="KL45" s="11"/>
      <c r="KM45" s="11"/>
      <c r="KN45" s="11"/>
      <c r="KO45" s="11"/>
      <c r="KP45" s="11"/>
      <c r="KQ45" s="11"/>
      <c r="KR45" s="11"/>
      <c r="KS45" s="11"/>
      <c r="KT45" s="11"/>
      <c r="KU45" s="11"/>
      <c r="KV45" s="11"/>
      <c r="KW45" s="11"/>
      <c r="KX45" s="11"/>
      <c r="KY45" s="11"/>
      <c r="KZ45" s="11"/>
      <c r="LA45" s="11"/>
      <c r="LB45" s="11"/>
      <c r="LC45" s="11"/>
      <c r="LD45" s="11"/>
      <c r="LE45" s="11"/>
      <c r="LF45" s="11"/>
      <c r="LG45" s="11"/>
      <c r="LH45" s="11"/>
      <c r="LI45" s="11"/>
      <c r="LJ45" s="11"/>
      <c r="LK45" s="11"/>
      <c r="LL45" s="11"/>
      <c r="LM45" s="11"/>
      <c r="LN45" s="11"/>
      <c r="LO45" s="11"/>
      <c r="LP45" s="11"/>
      <c r="LQ45" s="11"/>
      <c r="LR45" s="11"/>
      <c r="LS45" s="11"/>
      <c r="LT45" s="11"/>
      <c r="LU45" s="11"/>
      <c r="LV45" s="11"/>
      <c r="LW45" s="11"/>
      <c r="LX45" s="11"/>
      <c r="LY45" s="11"/>
      <c r="LZ45" s="11"/>
      <c r="MA45" s="11"/>
      <c r="MB45" s="11"/>
      <c r="MC45" s="11"/>
      <c r="MD45" s="11"/>
      <c r="ME45" s="11"/>
      <c r="MF45" s="11"/>
      <c r="MG45" s="11"/>
      <c r="MH45" s="11"/>
      <c r="MI45" s="11"/>
      <c r="MJ45" s="11"/>
      <c r="MK45" s="11"/>
      <c r="ML45" s="11"/>
      <c r="MM45" s="11"/>
      <c r="MN45" s="11"/>
      <c r="MO45" s="11"/>
      <c r="MP45" s="11"/>
      <c r="MQ45" s="11"/>
      <c r="MR45" s="11"/>
      <c r="MS45" s="11"/>
      <c r="MT45" s="11"/>
      <c r="MU45" s="11"/>
      <c r="MV45" s="11"/>
      <c r="MW45" s="11"/>
      <c r="MX45" s="11"/>
      <c r="MY45" s="11"/>
      <c r="MZ45" s="11"/>
      <c r="NA45" s="11"/>
      <c r="NB45" s="11"/>
      <c r="NC45" s="11"/>
      <c r="ND45" s="11"/>
      <c r="NE45" s="11"/>
      <c r="NF45" s="11"/>
      <c r="NG45" s="11"/>
      <c r="NH45" s="11"/>
      <c r="NI45" s="11"/>
      <c r="NJ45" s="11"/>
      <c r="NK45" s="11"/>
      <c r="NL45" s="11"/>
      <c r="NM45" s="11"/>
      <c r="NN45" s="11"/>
      <c r="NO45" s="11"/>
      <c r="NP45" s="11"/>
      <c r="NQ45" s="11"/>
      <c r="NR45" s="11"/>
      <c r="NS45" s="11"/>
      <c r="NT45" s="11"/>
      <c r="NU45" s="11"/>
      <c r="NV45" s="11"/>
      <c r="NW45" s="11"/>
      <c r="NX45" s="11"/>
      <c r="NY45" s="11"/>
      <c r="NZ45" s="11"/>
      <c r="OA45" s="11"/>
      <c r="OB45" s="11"/>
      <c r="OC45" s="11"/>
      <c r="OD45" s="11"/>
      <c r="OE45" s="11"/>
      <c r="OF45" s="11"/>
      <c r="OG45" s="11"/>
      <c r="OH45" s="11"/>
      <c r="OI45" s="11"/>
      <c r="OJ45" s="11"/>
      <c r="OK45" s="11"/>
      <c r="OL45" s="11"/>
      <c r="OM45" s="11"/>
      <c r="ON45" s="11"/>
      <c r="OO45" s="11"/>
      <c r="OP45" s="11"/>
      <c r="OQ45" s="11"/>
      <c r="OR45" s="11"/>
      <c r="OS45" s="11"/>
      <c r="OT45" s="11"/>
      <c r="OU45" s="11"/>
      <c r="OV45" s="11"/>
      <c r="OW45" s="11"/>
      <c r="OX45" s="11"/>
      <c r="OY45" s="11"/>
      <c r="OZ45" s="11"/>
      <c r="PA45" s="11"/>
      <c r="PB45" s="11"/>
      <c r="PC45" s="11"/>
      <c r="PD45" s="11"/>
      <c r="PE45" s="11"/>
      <c r="PF45" s="11"/>
      <c r="PG45" s="11"/>
      <c r="PH45" s="11"/>
      <c r="PI45" s="11"/>
      <c r="PJ45" s="11"/>
      <c r="PK45" s="11"/>
      <c r="PL45" s="11"/>
      <c r="PM45" s="11"/>
      <c r="PN45" s="11"/>
      <c r="PO45" s="11"/>
      <c r="PP45" s="11"/>
      <c r="PQ45" s="11"/>
      <c r="PR45" s="11"/>
      <c r="PS45" s="11"/>
      <c r="PT45" s="11"/>
      <c r="PU45" s="11"/>
      <c r="PV45" s="11"/>
      <c r="PW45" s="11"/>
      <c r="PX45" s="11"/>
      <c r="PY45" s="11"/>
      <c r="PZ45" s="11"/>
      <c r="QA45" s="11"/>
      <c r="QB45" s="11"/>
      <c r="QC45" s="11"/>
      <c r="QD45" s="11"/>
      <c r="QE45" s="11"/>
      <c r="QF45" s="11"/>
      <c r="QG45" s="11"/>
      <c r="QH45" s="11"/>
      <c r="QI45" s="11"/>
      <c r="QJ45" s="11"/>
      <c r="QK45" s="11"/>
      <c r="QL45" s="11"/>
      <c r="QM45" s="11"/>
      <c r="QN45" s="11"/>
      <c r="QO45" s="11"/>
      <c r="QP45" s="11"/>
      <c r="QQ45" s="11"/>
      <c r="QR45" s="11"/>
      <c r="QS45" s="11"/>
      <c r="QT45" s="11"/>
      <c r="QU45" s="11"/>
      <c r="QV45" s="11"/>
      <c r="QW45" s="11"/>
      <c r="QX45" s="11"/>
      <c r="QY45" s="11"/>
      <c r="QZ45" s="11"/>
      <c r="RA45" s="11"/>
      <c r="RB45" s="11"/>
      <c r="RC45" s="11"/>
      <c r="RD45" s="11"/>
      <c r="RE45" s="11"/>
      <c r="RF45" s="11"/>
      <c r="RG45" s="11"/>
      <c r="RH45" s="11"/>
      <c r="RI45" s="11"/>
      <c r="RJ45" s="11"/>
      <c r="RK45" s="11"/>
      <c r="RL45" s="11"/>
      <c r="RM45" s="11"/>
      <c r="RN45" s="11"/>
      <c r="RO45" s="11"/>
      <c r="RP45" s="11"/>
      <c r="RQ45" s="11"/>
      <c r="RR45" s="11"/>
      <c r="RS45" s="11"/>
      <c r="RT45" s="11"/>
      <c r="RU45" s="11"/>
      <c r="RV45" s="11"/>
      <c r="RW45" s="11"/>
      <c r="RX45" s="11"/>
      <c r="RY45" s="11"/>
      <c r="RZ45" s="11"/>
      <c r="SA45" s="11"/>
      <c r="SB45" s="11"/>
      <c r="SC45" s="11"/>
      <c r="SD45" s="11"/>
      <c r="SE45" s="11"/>
      <c r="SF45" s="11"/>
      <c r="SG45" s="11"/>
      <c r="SH45" s="11"/>
      <c r="SI45" s="11"/>
      <c r="SJ45" s="11"/>
      <c r="SK45" s="11"/>
      <c r="SL45" s="11"/>
      <c r="SM45" s="11"/>
      <c r="SN45" s="11"/>
      <c r="SO45" s="11"/>
      <c r="SP45" s="11"/>
      <c r="SQ45" s="11"/>
      <c r="SR45" s="11"/>
      <c r="SS45" s="11"/>
      <c r="ST45" s="11"/>
      <c r="SU45" s="11"/>
      <c r="SV45" s="11"/>
      <c r="SW45" s="11"/>
      <c r="SX45" s="11"/>
      <c r="SY45" s="11"/>
      <c r="SZ45" s="11"/>
      <c r="TA45" s="11"/>
      <c r="TB45" s="11"/>
      <c r="TC45" s="11"/>
      <c r="TD45" s="11"/>
      <c r="TE45" s="11"/>
      <c r="TF45" s="11"/>
      <c r="TG45" s="11"/>
      <c r="TH45" s="11"/>
      <c r="TI45" s="11"/>
      <c r="TJ45" s="11"/>
      <c r="TK45" s="11"/>
      <c r="TL45" s="11"/>
      <c r="TM45" s="11"/>
      <c r="TN45" s="11"/>
      <c r="TO45" s="11"/>
      <c r="TP45" s="11"/>
      <c r="TQ45" s="11"/>
      <c r="TR45" s="11"/>
      <c r="TS45" s="11"/>
      <c r="TT45" s="11"/>
      <c r="TU45" s="11"/>
      <c r="TV45" s="11"/>
      <c r="TW45" s="11"/>
      <c r="TX45" s="11"/>
      <c r="TY45" s="11"/>
      <c r="TZ45" s="11"/>
      <c r="UA45" s="11"/>
      <c r="UB45" s="11"/>
      <c r="UC45" s="11"/>
      <c r="UD45" s="11"/>
      <c r="UE45" s="11"/>
      <c r="UF45" s="11"/>
      <c r="UG45" s="11"/>
      <c r="UH45" s="11"/>
      <c r="UI45" s="11"/>
      <c r="UJ45" s="11"/>
      <c r="UK45" s="11"/>
      <c r="UL45" s="11"/>
      <c r="UM45" s="11"/>
      <c r="UN45" s="11"/>
      <c r="UO45" s="11"/>
      <c r="UP45" s="11"/>
      <c r="UQ45" s="11"/>
      <c r="UR45" s="11"/>
      <c r="US45" s="11"/>
      <c r="UT45" s="11"/>
      <c r="UU45" s="11"/>
      <c r="UV45" s="11"/>
      <c r="UW45" s="11"/>
      <c r="UX45" s="11"/>
      <c r="UY45" s="11"/>
      <c r="UZ45" s="11"/>
      <c r="VA45" s="11"/>
      <c r="VB45" s="11"/>
      <c r="VC45" s="11"/>
      <c r="VD45" s="11"/>
      <c r="VE45" s="11"/>
      <c r="VF45" s="11"/>
      <c r="VG45" s="11"/>
      <c r="VH45" s="11"/>
      <c r="VI45" s="11"/>
      <c r="VJ45" s="11"/>
      <c r="VK45" s="11"/>
      <c r="VL45" s="11"/>
      <c r="VM45" s="11"/>
      <c r="VN45" s="11"/>
      <c r="VO45" s="11"/>
      <c r="VP45" s="11"/>
      <c r="VQ45" s="11"/>
      <c r="VR45" s="11"/>
      <c r="VS45" s="11"/>
      <c r="VT45" s="11"/>
      <c r="VU45" s="11"/>
      <c r="VV45" s="11"/>
      <c r="VW45" s="11"/>
      <c r="VX45" s="11"/>
      <c r="VY45" s="11"/>
      <c r="VZ45" s="11"/>
      <c r="WA45" s="11"/>
      <c r="WB45" s="11"/>
      <c r="WC45" s="11"/>
      <c r="WD45" s="11"/>
      <c r="WE45" s="11"/>
      <c r="WF45" s="11"/>
      <c r="WG45" s="11"/>
      <c r="WH45" s="11"/>
      <c r="WI45" s="11"/>
      <c r="WJ45" s="11"/>
      <c r="WK45" s="11"/>
      <c r="WL45" s="11"/>
      <c r="WM45" s="11"/>
      <c r="WN45" s="11"/>
      <c r="WO45" s="11"/>
      <c r="WP45" s="11"/>
      <c r="WQ45" s="11"/>
      <c r="WR45" s="11"/>
      <c r="WS45" s="11"/>
      <c r="WT45" s="11"/>
      <c r="WU45" s="11"/>
      <c r="WV45" s="11"/>
      <c r="WW45" s="11"/>
      <c r="WX45" s="11"/>
      <c r="WY45" s="11"/>
      <c r="WZ45" s="11"/>
      <c r="XA45" s="11"/>
      <c r="XB45" s="11"/>
      <c r="XC45" s="11"/>
      <c r="XD45" s="11"/>
      <c r="XE45" s="11"/>
      <c r="XF45" s="11"/>
      <c r="XG45" s="11"/>
      <c r="XH45" s="11"/>
      <c r="XI45" s="11"/>
      <c r="XJ45" s="11"/>
      <c r="XK45" s="11"/>
      <c r="XL45" s="11"/>
      <c r="XM45" s="11"/>
      <c r="XN45" s="11"/>
      <c r="XO45" s="11"/>
      <c r="XP45" s="11"/>
      <c r="XQ45" s="11"/>
      <c r="XR45" s="11"/>
      <c r="XS45" s="11"/>
      <c r="XT45" s="11"/>
      <c r="XU45" s="11"/>
      <c r="XV45" s="11"/>
      <c r="XW45" s="11"/>
      <c r="XX45" s="11"/>
      <c r="XY45" s="11"/>
      <c r="XZ45" s="11"/>
      <c r="YA45" s="11"/>
      <c r="YB45" s="11"/>
      <c r="YC45" s="11"/>
      <c r="YD45" s="11"/>
      <c r="YE45" s="11"/>
      <c r="YF45" s="11"/>
      <c r="YG45" s="11"/>
      <c r="YH45" s="11"/>
      <c r="YI45" s="11"/>
      <c r="YJ45" s="11"/>
      <c r="YK45" s="11"/>
      <c r="YL45" s="11"/>
      <c r="YM45" s="11"/>
      <c r="YN45" s="11"/>
      <c r="YO45" s="11"/>
      <c r="YP45" s="11"/>
      <c r="YQ45" s="11"/>
      <c r="YR45" s="11"/>
      <c r="YS45" s="11"/>
      <c r="YT45" s="11"/>
      <c r="YU45" s="11"/>
      <c r="YV45" s="11"/>
      <c r="YW45" s="11"/>
      <c r="YX45" s="11"/>
      <c r="YY45" s="11"/>
      <c r="YZ45" s="11"/>
      <c r="ZA45" s="11"/>
      <c r="ZB45" s="11"/>
      <c r="ZC45" s="11"/>
      <c r="ZD45" s="11"/>
      <c r="ZE45" s="11"/>
      <c r="ZF45" s="11"/>
      <c r="ZG45" s="11"/>
      <c r="ZH45" s="11"/>
      <c r="ZI45" s="11"/>
      <c r="ZJ45" s="11"/>
      <c r="ZK45" s="11"/>
      <c r="ZL45" s="11"/>
      <c r="ZM45" s="11"/>
      <c r="ZN45" s="11"/>
      <c r="ZO45" s="11"/>
      <c r="ZP45" s="11"/>
      <c r="ZQ45" s="11"/>
      <c r="ZR45" s="11"/>
      <c r="ZS45" s="11"/>
      <c r="ZT45" s="11"/>
      <c r="ZU45" s="11"/>
      <c r="ZV45" s="11"/>
      <c r="ZW45" s="11"/>
      <c r="ZX45" s="11"/>
      <c r="ZY45" s="11"/>
      <c r="ZZ45" s="11"/>
      <c r="AAA45" s="11"/>
      <c r="AAB45" s="11"/>
      <c r="AAC45" s="11"/>
      <c r="AAD45" s="11"/>
      <c r="AAE45" s="11"/>
      <c r="AAF45" s="11"/>
      <c r="AAG45" s="11"/>
      <c r="AAH45" s="11"/>
      <c r="AAI45" s="11"/>
      <c r="AAJ45" s="11"/>
      <c r="AAK45" s="11"/>
      <c r="AAL45" s="11"/>
    </row>
    <row r="46" spans="26:714" s="6" customFormat="1" x14ac:dyDescent="0.3">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U46" s="11"/>
      <c r="CV46" s="11"/>
      <c r="CW46" s="11"/>
      <c r="CX46" s="11"/>
      <c r="CY46" s="11"/>
      <c r="CZ46" s="11"/>
      <c r="DA46" s="11"/>
      <c r="DB46" s="11"/>
      <c r="DC46" s="11"/>
      <c r="DD46" s="11"/>
      <c r="DE46" s="11"/>
      <c r="DF46" s="11"/>
      <c r="DG46" s="11"/>
      <c r="DH46" s="11"/>
      <c r="DI46" s="11"/>
      <c r="DJ46" s="11"/>
      <c r="DK46" s="11"/>
      <c r="DL46" s="11"/>
      <c r="DM46" s="11"/>
      <c r="DN46" s="11"/>
      <c r="DO46" s="11"/>
      <c r="DP46" s="11"/>
      <c r="DQ46" s="11"/>
      <c r="DR46" s="11"/>
      <c r="DS46" s="11"/>
      <c r="DT46" s="11"/>
      <c r="DU46" s="11"/>
      <c r="DV46" s="11"/>
      <c r="DW46" s="11"/>
      <c r="DX46" s="11"/>
      <c r="DY46" s="11"/>
      <c r="DZ46" s="11"/>
      <c r="EA46" s="11"/>
      <c r="EB46" s="11"/>
      <c r="EC46" s="11"/>
      <c r="ED46" s="11"/>
      <c r="EE46" s="11"/>
      <c r="EF46" s="11"/>
      <c r="EG46" s="11"/>
      <c r="EH46" s="11"/>
      <c r="EI46" s="11"/>
      <c r="EJ46" s="11"/>
      <c r="EK46" s="11"/>
      <c r="EL46" s="11"/>
      <c r="EM46" s="11"/>
      <c r="EN46" s="11"/>
      <c r="EO46" s="11"/>
      <c r="EP46" s="11"/>
      <c r="EQ46" s="11"/>
      <c r="ER46" s="11"/>
      <c r="ES46" s="11"/>
      <c r="ET46" s="11"/>
      <c r="EU46" s="11"/>
      <c r="EV46" s="11"/>
      <c r="EW46" s="11"/>
      <c r="EX46" s="11"/>
      <c r="EY46" s="11"/>
      <c r="EZ46" s="11"/>
      <c r="FA46" s="11"/>
      <c r="FB46" s="11"/>
      <c r="FC46" s="11"/>
      <c r="FD46" s="11"/>
      <c r="FE46" s="11"/>
      <c r="FF46" s="11"/>
      <c r="FG46" s="11"/>
      <c r="FH46" s="11"/>
      <c r="FI46" s="11"/>
      <c r="FJ46" s="11"/>
      <c r="FK46" s="11"/>
      <c r="FL46" s="11"/>
      <c r="FM46" s="11"/>
      <c r="FN46" s="11"/>
      <c r="FO46" s="11"/>
      <c r="FP46" s="11"/>
      <c r="FQ46" s="11"/>
      <c r="FR46" s="11"/>
      <c r="FS46" s="11"/>
      <c r="FT46" s="11"/>
      <c r="FU46" s="11"/>
      <c r="FV46" s="11"/>
      <c r="FW46" s="11"/>
      <c r="FX46" s="11"/>
      <c r="FY46" s="11"/>
      <c r="FZ46" s="11"/>
      <c r="GA46" s="11"/>
      <c r="GB46" s="11"/>
      <c r="GC46" s="11"/>
      <c r="GD46" s="11"/>
      <c r="GE46" s="11"/>
      <c r="GF46" s="11"/>
      <c r="GG46" s="11"/>
      <c r="GH46" s="11"/>
      <c r="GI46" s="11"/>
      <c r="GJ46" s="11"/>
      <c r="GK46" s="11"/>
      <c r="GL46" s="11"/>
      <c r="GM46" s="11"/>
      <c r="GN46" s="11"/>
      <c r="GO46" s="11"/>
      <c r="GP46" s="11"/>
      <c r="GQ46" s="11"/>
      <c r="GR46" s="11"/>
      <c r="GS46" s="11"/>
      <c r="GT46" s="11"/>
      <c r="GU46" s="11"/>
      <c r="GV46" s="11"/>
      <c r="GW46" s="11"/>
      <c r="GX46" s="11"/>
      <c r="GY46" s="11"/>
      <c r="GZ46" s="11"/>
      <c r="HA46" s="11"/>
      <c r="HB46" s="11"/>
      <c r="HC46" s="11"/>
      <c r="HD46" s="11"/>
      <c r="HE46" s="11"/>
      <c r="HF46" s="11"/>
      <c r="HG46" s="11"/>
      <c r="HH46" s="11"/>
      <c r="HI46" s="11"/>
      <c r="HJ46" s="11"/>
      <c r="HK46" s="11"/>
      <c r="HL46" s="11"/>
      <c r="HM46" s="11"/>
      <c r="HN46" s="11"/>
      <c r="HO46" s="11"/>
      <c r="HP46" s="11"/>
      <c r="HQ46" s="11"/>
      <c r="HR46" s="11"/>
      <c r="HS46" s="11"/>
      <c r="HT46" s="11"/>
      <c r="HU46" s="11"/>
      <c r="HV46" s="11"/>
      <c r="HW46" s="11"/>
      <c r="HX46" s="11"/>
      <c r="HY46" s="11"/>
      <c r="HZ46" s="11"/>
      <c r="IA46" s="11"/>
      <c r="IB46" s="11"/>
      <c r="IC46" s="11"/>
      <c r="ID46" s="11"/>
      <c r="IE46" s="11"/>
      <c r="IF46" s="11"/>
      <c r="IG46" s="11"/>
      <c r="IH46" s="11"/>
      <c r="II46" s="11"/>
      <c r="IJ46" s="11"/>
      <c r="IK46" s="11"/>
      <c r="IL46" s="11"/>
      <c r="IM46" s="11"/>
      <c r="IN46" s="11"/>
      <c r="IO46" s="11"/>
      <c r="IP46" s="11"/>
      <c r="IQ46" s="11"/>
      <c r="IR46" s="11"/>
      <c r="IS46" s="11"/>
      <c r="IT46" s="11"/>
      <c r="IU46" s="11"/>
      <c r="IV46" s="11"/>
      <c r="IW46" s="11"/>
      <c r="IX46" s="11"/>
      <c r="IY46" s="11"/>
      <c r="IZ46" s="11"/>
      <c r="JA46" s="11"/>
      <c r="JB46" s="11"/>
      <c r="JC46" s="11"/>
      <c r="JD46" s="11"/>
      <c r="JE46" s="11"/>
      <c r="JF46" s="11"/>
      <c r="JG46" s="11"/>
      <c r="JH46" s="11"/>
      <c r="JI46" s="11"/>
      <c r="JJ46" s="11"/>
      <c r="JK46" s="11"/>
      <c r="JL46" s="11"/>
      <c r="JM46" s="11"/>
      <c r="JN46" s="11"/>
      <c r="JO46" s="11"/>
      <c r="JP46" s="11"/>
      <c r="JQ46" s="11"/>
      <c r="JR46" s="11"/>
      <c r="JS46" s="11"/>
      <c r="JT46" s="11"/>
      <c r="JU46" s="11"/>
      <c r="JV46" s="11"/>
      <c r="JW46" s="11"/>
      <c r="JX46" s="11"/>
      <c r="JY46" s="11"/>
      <c r="JZ46" s="11"/>
      <c r="KA46" s="11"/>
      <c r="KB46" s="11"/>
      <c r="KC46" s="11"/>
      <c r="KD46" s="11"/>
      <c r="KE46" s="11"/>
      <c r="KF46" s="11"/>
      <c r="KG46" s="11"/>
      <c r="KH46" s="11"/>
      <c r="KI46" s="11"/>
      <c r="KJ46" s="11"/>
      <c r="KK46" s="11"/>
      <c r="KL46" s="11"/>
      <c r="KM46" s="11"/>
      <c r="KN46" s="11"/>
      <c r="KO46" s="11"/>
      <c r="KP46" s="11"/>
      <c r="KQ46" s="11"/>
      <c r="KR46" s="11"/>
      <c r="KS46" s="11"/>
      <c r="KT46" s="11"/>
      <c r="KU46" s="11"/>
      <c r="KV46" s="11"/>
      <c r="KW46" s="11"/>
      <c r="KX46" s="11"/>
      <c r="KY46" s="11"/>
      <c r="KZ46" s="11"/>
      <c r="LA46" s="11"/>
      <c r="LB46" s="11"/>
      <c r="LC46" s="11"/>
      <c r="LD46" s="11"/>
      <c r="LE46" s="11"/>
      <c r="LF46" s="11"/>
      <c r="LG46" s="11"/>
      <c r="LH46" s="11"/>
      <c r="LI46" s="11"/>
      <c r="LJ46" s="11"/>
      <c r="LK46" s="11"/>
      <c r="LL46" s="11"/>
      <c r="LM46" s="11"/>
      <c r="LN46" s="11"/>
      <c r="LO46" s="11"/>
      <c r="LP46" s="11"/>
      <c r="LQ46" s="11"/>
      <c r="LR46" s="11"/>
      <c r="LS46" s="11"/>
      <c r="LT46" s="11"/>
      <c r="LU46" s="11"/>
      <c r="LV46" s="11"/>
      <c r="LW46" s="11"/>
      <c r="LX46" s="11"/>
      <c r="LY46" s="11"/>
      <c r="LZ46" s="11"/>
      <c r="MA46" s="11"/>
      <c r="MB46" s="11"/>
      <c r="MC46" s="11"/>
      <c r="MD46" s="11"/>
      <c r="ME46" s="11"/>
      <c r="MF46" s="11"/>
      <c r="MG46" s="11"/>
      <c r="MH46" s="11"/>
      <c r="MI46" s="11"/>
      <c r="MJ46" s="11"/>
      <c r="MK46" s="11"/>
      <c r="ML46" s="11"/>
      <c r="MM46" s="11"/>
      <c r="MN46" s="11"/>
      <c r="MO46" s="11"/>
      <c r="MP46" s="11"/>
      <c r="MQ46" s="11"/>
      <c r="MR46" s="11"/>
      <c r="MS46" s="11"/>
      <c r="MT46" s="11"/>
      <c r="MU46" s="11"/>
      <c r="MV46" s="11"/>
      <c r="MW46" s="11"/>
      <c r="MX46" s="11"/>
      <c r="MY46" s="11"/>
      <c r="MZ46" s="11"/>
      <c r="NA46" s="11"/>
      <c r="NB46" s="11"/>
      <c r="NC46" s="11"/>
      <c r="ND46" s="11"/>
      <c r="NE46" s="11"/>
      <c r="NF46" s="11"/>
      <c r="NG46" s="11"/>
      <c r="NH46" s="11"/>
      <c r="NI46" s="11"/>
      <c r="NJ46" s="11"/>
      <c r="NK46" s="11"/>
      <c r="NL46" s="11"/>
      <c r="NM46" s="11"/>
      <c r="NN46" s="11"/>
      <c r="NO46" s="11"/>
      <c r="NP46" s="11"/>
      <c r="NQ46" s="11"/>
      <c r="NR46" s="11"/>
      <c r="NS46" s="11"/>
      <c r="NT46" s="11"/>
      <c r="NU46" s="11"/>
      <c r="NV46" s="11"/>
      <c r="NW46" s="11"/>
      <c r="NX46" s="11"/>
      <c r="NY46" s="11"/>
      <c r="NZ46" s="11"/>
      <c r="OA46" s="11"/>
      <c r="OB46" s="11"/>
      <c r="OC46" s="11"/>
      <c r="OD46" s="11"/>
      <c r="OE46" s="11"/>
      <c r="OF46" s="11"/>
      <c r="OG46" s="11"/>
      <c r="OH46" s="11"/>
      <c r="OI46" s="11"/>
      <c r="OJ46" s="11"/>
      <c r="OK46" s="11"/>
      <c r="OL46" s="11"/>
      <c r="OM46" s="11"/>
      <c r="ON46" s="11"/>
      <c r="OO46" s="11"/>
      <c r="OP46" s="11"/>
      <c r="OQ46" s="11"/>
      <c r="OR46" s="11"/>
      <c r="OS46" s="11"/>
      <c r="OT46" s="11"/>
      <c r="OU46" s="11"/>
      <c r="OV46" s="11"/>
      <c r="OW46" s="11"/>
      <c r="OX46" s="11"/>
      <c r="OY46" s="11"/>
      <c r="OZ46" s="11"/>
      <c r="PA46" s="11"/>
      <c r="PB46" s="11"/>
      <c r="PC46" s="11"/>
      <c r="PD46" s="11"/>
      <c r="PE46" s="11"/>
      <c r="PF46" s="11"/>
      <c r="PG46" s="11"/>
      <c r="PH46" s="11"/>
      <c r="PI46" s="11"/>
      <c r="PJ46" s="11"/>
      <c r="PK46" s="11"/>
      <c r="PL46" s="11"/>
      <c r="PM46" s="11"/>
      <c r="PN46" s="11"/>
      <c r="PO46" s="11"/>
      <c r="PP46" s="11"/>
      <c r="PQ46" s="11"/>
      <c r="PR46" s="11"/>
      <c r="PS46" s="11"/>
      <c r="PT46" s="11"/>
      <c r="PU46" s="11"/>
      <c r="PV46" s="11"/>
      <c r="PW46" s="11"/>
      <c r="PX46" s="11"/>
      <c r="PY46" s="11"/>
      <c r="PZ46" s="11"/>
      <c r="QA46" s="11"/>
      <c r="QB46" s="11"/>
      <c r="QC46" s="11"/>
      <c r="QD46" s="11"/>
      <c r="QE46" s="11"/>
      <c r="QF46" s="11"/>
      <c r="QG46" s="11"/>
      <c r="QH46" s="11"/>
      <c r="QI46" s="11"/>
      <c r="QJ46" s="11"/>
      <c r="QK46" s="11"/>
      <c r="QL46" s="11"/>
      <c r="QM46" s="11"/>
      <c r="QN46" s="11"/>
      <c r="QO46" s="11"/>
      <c r="QP46" s="11"/>
      <c r="QQ46" s="11"/>
      <c r="QR46" s="11"/>
      <c r="QS46" s="11"/>
      <c r="QT46" s="11"/>
      <c r="QU46" s="11"/>
      <c r="QV46" s="11"/>
      <c r="QW46" s="11"/>
      <c r="QX46" s="11"/>
      <c r="QY46" s="11"/>
      <c r="QZ46" s="11"/>
      <c r="RA46" s="11"/>
      <c r="RB46" s="11"/>
      <c r="RC46" s="11"/>
      <c r="RD46" s="11"/>
      <c r="RE46" s="11"/>
      <c r="RF46" s="11"/>
      <c r="RG46" s="11"/>
      <c r="RH46" s="11"/>
      <c r="RI46" s="11"/>
      <c r="RJ46" s="11"/>
      <c r="RK46" s="11"/>
      <c r="RL46" s="11"/>
      <c r="RM46" s="11"/>
      <c r="RN46" s="11"/>
      <c r="RO46" s="11"/>
      <c r="RP46" s="11"/>
      <c r="RQ46" s="11"/>
      <c r="RR46" s="11"/>
      <c r="RS46" s="11"/>
      <c r="RT46" s="11"/>
      <c r="RU46" s="11"/>
      <c r="RV46" s="11"/>
      <c r="RW46" s="11"/>
      <c r="RX46" s="11"/>
      <c r="RY46" s="11"/>
      <c r="RZ46" s="11"/>
      <c r="SA46" s="11"/>
      <c r="SB46" s="11"/>
      <c r="SC46" s="11"/>
      <c r="SD46" s="11"/>
      <c r="SE46" s="11"/>
      <c r="SF46" s="11"/>
      <c r="SG46" s="11"/>
      <c r="SH46" s="11"/>
      <c r="SI46" s="11"/>
      <c r="SJ46" s="11"/>
      <c r="SK46" s="11"/>
      <c r="SL46" s="11"/>
      <c r="SM46" s="11"/>
      <c r="SN46" s="11"/>
      <c r="SO46" s="11"/>
      <c r="SP46" s="11"/>
      <c r="SQ46" s="11"/>
      <c r="SR46" s="11"/>
      <c r="SS46" s="11"/>
      <c r="ST46" s="11"/>
      <c r="SU46" s="11"/>
      <c r="SV46" s="11"/>
      <c r="SW46" s="11"/>
      <c r="SX46" s="11"/>
      <c r="SY46" s="11"/>
      <c r="SZ46" s="11"/>
      <c r="TA46" s="11"/>
      <c r="TB46" s="11"/>
      <c r="TC46" s="11"/>
      <c r="TD46" s="11"/>
      <c r="TE46" s="11"/>
      <c r="TF46" s="11"/>
      <c r="TG46" s="11"/>
      <c r="TH46" s="11"/>
      <c r="TI46" s="11"/>
      <c r="TJ46" s="11"/>
      <c r="TK46" s="11"/>
      <c r="TL46" s="11"/>
      <c r="TM46" s="11"/>
      <c r="TN46" s="11"/>
      <c r="TO46" s="11"/>
      <c r="TP46" s="11"/>
      <c r="TQ46" s="11"/>
      <c r="TR46" s="11"/>
      <c r="TS46" s="11"/>
      <c r="TT46" s="11"/>
      <c r="TU46" s="11"/>
      <c r="TV46" s="11"/>
      <c r="TW46" s="11"/>
      <c r="TX46" s="11"/>
      <c r="TY46" s="11"/>
      <c r="TZ46" s="11"/>
      <c r="UA46" s="11"/>
      <c r="UB46" s="11"/>
      <c r="UC46" s="11"/>
      <c r="UD46" s="11"/>
      <c r="UE46" s="11"/>
      <c r="UF46" s="11"/>
      <c r="UG46" s="11"/>
      <c r="UH46" s="11"/>
      <c r="UI46" s="11"/>
      <c r="UJ46" s="11"/>
      <c r="UK46" s="11"/>
      <c r="UL46" s="11"/>
      <c r="UM46" s="11"/>
      <c r="UN46" s="11"/>
      <c r="UO46" s="11"/>
      <c r="UP46" s="11"/>
      <c r="UQ46" s="11"/>
      <c r="UR46" s="11"/>
      <c r="US46" s="11"/>
      <c r="UT46" s="11"/>
      <c r="UU46" s="11"/>
      <c r="UV46" s="11"/>
      <c r="UW46" s="11"/>
      <c r="UX46" s="11"/>
      <c r="UY46" s="11"/>
      <c r="UZ46" s="11"/>
      <c r="VA46" s="11"/>
      <c r="VB46" s="11"/>
      <c r="VC46" s="11"/>
      <c r="VD46" s="11"/>
      <c r="VE46" s="11"/>
      <c r="VF46" s="11"/>
      <c r="VG46" s="11"/>
      <c r="VH46" s="11"/>
      <c r="VI46" s="11"/>
      <c r="VJ46" s="11"/>
      <c r="VK46" s="11"/>
      <c r="VL46" s="11"/>
      <c r="VM46" s="11"/>
      <c r="VN46" s="11"/>
      <c r="VO46" s="11"/>
      <c r="VP46" s="11"/>
      <c r="VQ46" s="11"/>
      <c r="VR46" s="11"/>
      <c r="VS46" s="11"/>
      <c r="VT46" s="11"/>
      <c r="VU46" s="11"/>
      <c r="VV46" s="11"/>
      <c r="VW46" s="11"/>
      <c r="VX46" s="11"/>
      <c r="VY46" s="11"/>
      <c r="VZ46" s="11"/>
      <c r="WA46" s="11"/>
      <c r="WB46" s="11"/>
      <c r="WC46" s="11"/>
      <c r="WD46" s="11"/>
      <c r="WE46" s="11"/>
      <c r="WF46" s="11"/>
      <c r="WG46" s="11"/>
      <c r="WH46" s="11"/>
      <c r="WI46" s="11"/>
      <c r="WJ46" s="11"/>
      <c r="WK46" s="11"/>
      <c r="WL46" s="11"/>
      <c r="WM46" s="11"/>
      <c r="WN46" s="11"/>
      <c r="WO46" s="11"/>
      <c r="WP46" s="11"/>
      <c r="WQ46" s="11"/>
      <c r="WR46" s="11"/>
      <c r="WS46" s="11"/>
      <c r="WT46" s="11"/>
      <c r="WU46" s="11"/>
      <c r="WV46" s="11"/>
      <c r="WW46" s="11"/>
      <c r="WX46" s="11"/>
      <c r="WY46" s="11"/>
      <c r="WZ46" s="11"/>
      <c r="XA46" s="11"/>
      <c r="XB46" s="11"/>
      <c r="XC46" s="11"/>
      <c r="XD46" s="11"/>
      <c r="XE46" s="11"/>
      <c r="XF46" s="11"/>
      <c r="XG46" s="11"/>
      <c r="XH46" s="11"/>
      <c r="XI46" s="11"/>
      <c r="XJ46" s="11"/>
      <c r="XK46" s="11"/>
      <c r="XL46" s="11"/>
      <c r="XM46" s="11"/>
      <c r="XN46" s="11"/>
      <c r="XO46" s="11"/>
      <c r="XP46" s="11"/>
      <c r="XQ46" s="11"/>
      <c r="XR46" s="11"/>
      <c r="XS46" s="11"/>
      <c r="XT46" s="11"/>
      <c r="XU46" s="11"/>
      <c r="XV46" s="11"/>
      <c r="XW46" s="11"/>
      <c r="XX46" s="11"/>
      <c r="XY46" s="11"/>
      <c r="XZ46" s="11"/>
      <c r="YA46" s="11"/>
      <c r="YB46" s="11"/>
      <c r="YC46" s="11"/>
      <c r="YD46" s="11"/>
      <c r="YE46" s="11"/>
      <c r="YF46" s="11"/>
      <c r="YG46" s="11"/>
      <c r="YH46" s="11"/>
      <c r="YI46" s="11"/>
      <c r="YJ46" s="11"/>
      <c r="YK46" s="11"/>
      <c r="YL46" s="11"/>
      <c r="YM46" s="11"/>
      <c r="YN46" s="11"/>
      <c r="YO46" s="11"/>
      <c r="YP46" s="11"/>
      <c r="YQ46" s="11"/>
      <c r="YR46" s="11"/>
      <c r="YS46" s="11"/>
      <c r="YT46" s="11"/>
      <c r="YU46" s="11"/>
      <c r="YV46" s="11"/>
      <c r="YW46" s="11"/>
      <c r="YX46" s="11"/>
      <c r="YY46" s="11"/>
      <c r="YZ46" s="11"/>
      <c r="ZA46" s="11"/>
      <c r="ZB46" s="11"/>
      <c r="ZC46" s="11"/>
      <c r="ZD46" s="11"/>
      <c r="ZE46" s="11"/>
      <c r="ZF46" s="11"/>
      <c r="ZG46" s="11"/>
      <c r="ZH46" s="11"/>
      <c r="ZI46" s="11"/>
      <c r="ZJ46" s="11"/>
      <c r="ZK46" s="11"/>
      <c r="ZL46" s="11"/>
      <c r="ZM46" s="11"/>
      <c r="ZN46" s="11"/>
      <c r="ZO46" s="11"/>
      <c r="ZP46" s="11"/>
      <c r="ZQ46" s="11"/>
      <c r="ZR46" s="11"/>
      <c r="ZS46" s="11"/>
      <c r="ZT46" s="11"/>
      <c r="ZU46" s="11"/>
      <c r="ZV46" s="11"/>
      <c r="ZW46" s="11"/>
      <c r="ZX46" s="11"/>
      <c r="ZY46" s="11"/>
      <c r="ZZ46" s="11"/>
      <c r="AAA46" s="11"/>
      <c r="AAB46" s="11"/>
      <c r="AAC46" s="11"/>
      <c r="AAD46" s="11"/>
      <c r="AAE46" s="11"/>
      <c r="AAF46" s="11"/>
      <c r="AAG46" s="11"/>
      <c r="AAH46" s="11"/>
      <c r="AAI46" s="11"/>
      <c r="AAJ46" s="11"/>
      <c r="AAK46" s="11"/>
      <c r="AAL46" s="11"/>
    </row>
    <row r="47" spans="26:714" s="6" customFormat="1" x14ac:dyDescent="0.3">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c r="CR47" s="11"/>
      <c r="CS47" s="11"/>
      <c r="CT47" s="11"/>
      <c r="CU47" s="11"/>
      <c r="CV47" s="11"/>
      <c r="CW47" s="11"/>
      <c r="CX47" s="11"/>
      <c r="CY47" s="11"/>
      <c r="CZ47" s="11"/>
      <c r="DA47" s="11"/>
      <c r="DB47" s="11"/>
      <c r="DC47" s="11"/>
      <c r="DD47" s="11"/>
      <c r="DE47" s="11"/>
      <c r="DF47" s="11"/>
      <c r="DG47" s="11"/>
      <c r="DH47" s="11"/>
      <c r="DI47" s="11"/>
      <c r="DJ47" s="11"/>
      <c r="DK47" s="11"/>
      <c r="DL47" s="11"/>
      <c r="DM47" s="11"/>
      <c r="DN47" s="11"/>
      <c r="DO47" s="11"/>
      <c r="DP47" s="11"/>
      <c r="DQ47" s="11"/>
      <c r="DR47" s="11"/>
      <c r="DS47" s="11"/>
      <c r="DT47" s="11"/>
      <c r="DU47" s="11"/>
      <c r="DV47" s="11"/>
      <c r="DW47" s="11"/>
      <c r="DX47" s="11"/>
      <c r="DY47" s="11"/>
      <c r="DZ47" s="11"/>
      <c r="EA47" s="11"/>
      <c r="EB47" s="11"/>
      <c r="EC47" s="11"/>
      <c r="ED47" s="11"/>
      <c r="EE47" s="11"/>
      <c r="EF47" s="11"/>
      <c r="EG47" s="11"/>
      <c r="EH47" s="11"/>
      <c r="EI47" s="11"/>
      <c r="EJ47" s="11"/>
      <c r="EK47" s="11"/>
      <c r="EL47" s="11"/>
      <c r="EM47" s="11"/>
      <c r="EN47" s="11"/>
      <c r="EO47" s="11"/>
      <c r="EP47" s="11"/>
      <c r="EQ47" s="11"/>
      <c r="ER47" s="11"/>
      <c r="ES47" s="11"/>
      <c r="ET47" s="11"/>
      <c r="EU47" s="11"/>
      <c r="EV47" s="11"/>
      <c r="EW47" s="11"/>
      <c r="EX47" s="11"/>
      <c r="EY47" s="11"/>
      <c r="EZ47" s="11"/>
      <c r="FA47" s="11"/>
      <c r="FB47" s="11"/>
      <c r="FC47" s="11"/>
      <c r="FD47" s="11"/>
      <c r="FE47" s="11"/>
      <c r="FF47" s="11"/>
      <c r="FG47" s="11"/>
      <c r="FH47" s="11"/>
      <c r="FI47" s="11"/>
      <c r="FJ47" s="11"/>
      <c r="FK47" s="11"/>
      <c r="FL47" s="11"/>
      <c r="FM47" s="11"/>
      <c r="FN47" s="11"/>
      <c r="FO47" s="11"/>
      <c r="FP47" s="11"/>
      <c r="FQ47" s="11"/>
      <c r="FR47" s="11"/>
      <c r="FS47" s="11"/>
      <c r="FT47" s="11"/>
      <c r="FU47" s="11"/>
      <c r="FV47" s="11"/>
      <c r="FW47" s="11"/>
      <c r="FX47" s="11"/>
      <c r="FY47" s="11"/>
      <c r="FZ47" s="11"/>
      <c r="GA47" s="11"/>
      <c r="GB47" s="11"/>
      <c r="GC47" s="11"/>
      <c r="GD47" s="11"/>
      <c r="GE47" s="11"/>
      <c r="GF47" s="11"/>
      <c r="GG47" s="11"/>
      <c r="GH47" s="11"/>
      <c r="GI47" s="11"/>
      <c r="GJ47" s="11"/>
      <c r="GK47" s="11"/>
      <c r="GL47" s="11"/>
      <c r="GM47" s="11"/>
      <c r="GN47" s="11"/>
      <c r="GO47" s="11"/>
      <c r="GP47" s="11"/>
      <c r="GQ47" s="11"/>
      <c r="GR47" s="11"/>
      <c r="GS47" s="11"/>
      <c r="GT47" s="11"/>
      <c r="GU47" s="11"/>
      <c r="GV47" s="11"/>
      <c r="GW47" s="11"/>
      <c r="GX47" s="11"/>
      <c r="GY47" s="11"/>
      <c r="GZ47" s="11"/>
      <c r="HA47" s="11"/>
      <c r="HB47" s="11"/>
      <c r="HC47" s="11"/>
      <c r="HD47" s="11"/>
      <c r="HE47" s="11"/>
      <c r="HF47" s="11"/>
      <c r="HG47" s="11"/>
      <c r="HH47" s="11"/>
      <c r="HI47" s="11"/>
      <c r="HJ47" s="11"/>
      <c r="HK47" s="11"/>
      <c r="HL47" s="11"/>
      <c r="HM47" s="11"/>
      <c r="HN47" s="11"/>
      <c r="HO47" s="11"/>
      <c r="HP47" s="11"/>
      <c r="HQ47" s="11"/>
      <c r="HR47" s="11"/>
      <c r="HS47" s="11"/>
      <c r="HT47" s="11"/>
      <c r="HU47" s="11"/>
      <c r="HV47" s="11"/>
      <c r="HW47" s="11"/>
      <c r="HX47" s="11"/>
      <c r="HY47" s="11"/>
      <c r="HZ47" s="11"/>
      <c r="IA47" s="11"/>
      <c r="IB47" s="11"/>
      <c r="IC47" s="11"/>
      <c r="ID47" s="11"/>
      <c r="IE47" s="11"/>
      <c r="IF47" s="11"/>
      <c r="IG47" s="11"/>
      <c r="IH47" s="11"/>
      <c r="II47" s="11"/>
      <c r="IJ47" s="11"/>
      <c r="IK47" s="11"/>
      <c r="IL47" s="11"/>
      <c r="IM47" s="11"/>
      <c r="IN47" s="11"/>
      <c r="IO47" s="11"/>
      <c r="IP47" s="11"/>
      <c r="IQ47" s="11"/>
      <c r="IR47" s="11"/>
      <c r="IS47" s="11"/>
      <c r="IT47" s="11"/>
      <c r="IU47" s="11"/>
      <c r="IV47" s="11"/>
      <c r="IW47" s="11"/>
      <c r="IX47" s="11"/>
      <c r="IY47" s="11"/>
      <c r="IZ47" s="11"/>
      <c r="JA47" s="11"/>
      <c r="JB47" s="11"/>
      <c r="JC47" s="11"/>
      <c r="JD47" s="11"/>
      <c r="JE47" s="11"/>
      <c r="JF47" s="11"/>
      <c r="JG47" s="11"/>
      <c r="JH47" s="11"/>
      <c r="JI47" s="11"/>
      <c r="JJ47" s="11"/>
      <c r="JK47" s="11"/>
      <c r="JL47" s="11"/>
      <c r="JM47" s="11"/>
      <c r="JN47" s="11"/>
      <c r="JO47" s="11"/>
      <c r="JP47" s="11"/>
      <c r="JQ47" s="11"/>
      <c r="JR47" s="11"/>
      <c r="JS47" s="11"/>
      <c r="JT47" s="11"/>
      <c r="JU47" s="11"/>
      <c r="JV47" s="11"/>
      <c r="JW47" s="11"/>
      <c r="JX47" s="11"/>
      <c r="JY47" s="11"/>
      <c r="JZ47" s="11"/>
      <c r="KA47" s="11"/>
      <c r="KB47" s="11"/>
      <c r="KC47" s="11"/>
      <c r="KD47" s="11"/>
      <c r="KE47" s="11"/>
      <c r="KF47" s="11"/>
      <c r="KG47" s="11"/>
      <c r="KH47" s="11"/>
      <c r="KI47" s="11"/>
      <c r="KJ47" s="11"/>
      <c r="KK47" s="11"/>
      <c r="KL47" s="11"/>
      <c r="KM47" s="11"/>
      <c r="KN47" s="11"/>
      <c r="KO47" s="11"/>
      <c r="KP47" s="11"/>
      <c r="KQ47" s="11"/>
      <c r="KR47" s="11"/>
      <c r="KS47" s="11"/>
      <c r="KT47" s="11"/>
      <c r="KU47" s="11"/>
      <c r="KV47" s="11"/>
      <c r="KW47" s="11"/>
      <c r="KX47" s="11"/>
      <c r="KY47" s="11"/>
      <c r="KZ47" s="11"/>
      <c r="LA47" s="11"/>
      <c r="LB47" s="11"/>
      <c r="LC47" s="11"/>
      <c r="LD47" s="11"/>
      <c r="LE47" s="11"/>
      <c r="LF47" s="11"/>
      <c r="LG47" s="11"/>
      <c r="LH47" s="11"/>
      <c r="LI47" s="11"/>
      <c r="LJ47" s="11"/>
      <c r="LK47" s="11"/>
      <c r="LL47" s="11"/>
      <c r="LM47" s="11"/>
      <c r="LN47" s="11"/>
      <c r="LO47" s="11"/>
      <c r="LP47" s="11"/>
      <c r="LQ47" s="11"/>
      <c r="LR47" s="11"/>
      <c r="LS47" s="11"/>
      <c r="LT47" s="11"/>
      <c r="LU47" s="11"/>
      <c r="LV47" s="11"/>
      <c r="LW47" s="11"/>
      <c r="LX47" s="11"/>
      <c r="LY47" s="11"/>
      <c r="LZ47" s="11"/>
      <c r="MA47" s="11"/>
      <c r="MB47" s="11"/>
      <c r="MC47" s="11"/>
      <c r="MD47" s="11"/>
      <c r="ME47" s="11"/>
      <c r="MF47" s="11"/>
      <c r="MG47" s="11"/>
      <c r="MH47" s="11"/>
      <c r="MI47" s="11"/>
      <c r="MJ47" s="11"/>
      <c r="MK47" s="11"/>
      <c r="ML47" s="11"/>
      <c r="MM47" s="11"/>
      <c r="MN47" s="11"/>
      <c r="MO47" s="11"/>
      <c r="MP47" s="11"/>
      <c r="MQ47" s="11"/>
      <c r="MR47" s="11"/>
      <c r="MS47" s="11"/>
      <c r="MT47" s="11"/>
      <c r="MU47" s="11"/>
      <c r="MV47" s="11"/>
      <c r="MW47" s="11"/>
      <c r="MX47" s="11"/>
      <c r="MY47" s="11"/>
      <c r="MZ47" s="11"/>
      <c r="NA47" s="11"/>
      <c r="NB47" s="11"/>
      <c r="NC47" s="11"/>
      <c r="ND47" s="11"/>
      <c r="NE47" s="11"/>
      <c r="NF47" s="11"/>
      <c r="NG47" s="11"/>
      <c r="NH47" s="11"/>
      <c r="NI47" s="11"/>
      <c r="NJ47" s="11"/>
      <c r="NK47" s="11"/>
      <c r="NL47" s="11"/>
      <c r="NM47" s="11"/>
      <c r="NN47" s="11"/>
      <c r="NO47" s="11"/>
      <c r="NP47" s="11"/>
      <c r="NQ47" s="11"/>
      <c r="NR47" s="11"/>
      <c r="NS47" s="11"/>
      <c r="NT47" s="11"/>
      <c r="NU47" s="11"/>
      <c r="NV47" s="11"/>
      <c r="NW47" s="11"/>
      <c r="NX47" s="11"/>
      <c r="NY47" s="11"/>
      <c r="NZ47" s="11"/>
      <c r="OA47" s="11"/>
      <c r="OB47" s="11"/>
      <c r="OC47" s="11"/>
      <c r="OD47" s="11"/>
      <c r="OE47" s="11"/>
      <c r="OF47" s="11"/>
      <c r="OG47" s="11"/>
      <c r="OH47" s="11"/>
      <c r="OI47" s="11"/>
      <c r="OJ47" s="11"/>
      <c r="OK47" s="11"/>
      <c r="OL47" s="11"/>
      <c r="OM47" s="11"/>
      <c r="ON47" s="11"/>
      <c r="OO47" s="11"/>
      <c r="OP47" s="11"/>
      <c r="OQ47" s="11"/>
      <c r="OR47" s="11"/>
      <c r="OS47" s="11"/>
      <c r="OT47" s="11"/>
      <c r="OU47" s="11"/>
      <c r="OV47" s="11"/>
      <c r="OW47" s="11"/>
      <c r="OX47" s="11"/>
      <c r="OY47" s="11"/>
      <c r="OZ47" s="11"/>
      <c r="PA47" s="11"/>
      <c r="PB47" s="11"/>
      <c r="PC47" s="11"/>
      <c r="PD47" s="11"/>
      <c r="PE47" s="11"/>
      <c r="PF47" s="11"/>
      <c r="PG47" s="11"/>
      <c r="PH47" s="11"/>
      <c r="PI47" s="11"/>
      <c r="PJ47" s="11"/>
      <c r="PK47" s="11"/>
      <c r="PL47" s="11"/>
      <c r="PM47" s="11"/>
      <c r="PN47" s="11"/>
      <c r="PO47" s="11"/>
      <c r="PP47" s="11"/>
      <c r="PQ47" s="11"/>
      <c r="PR47" s="11"/>
      <c r="PS47" s="11"/>
      <c r="PT47" s="11"/>
      <c r="PU47" s="11"/>
      <c r="PV47" s="11"/>
      <c r="PW47" s="11"/>
      <c r="PX47" s="11"/>
      <c r="PY47" s="11"/>
      <c r="PZ47" s="11"/>
      <c r="QA47" s="11"/>
      <c r="QB47" s="11"/>
      <c r="QC47" s="11"/>
      <c r="QD47" s="11"/>
      <c r="QE47" s="11"/>
      <c r="QF47" s="11"/>
      <c r="QG47" s="11"/>
      <c r="QH47" s="11"/>
      <c r="QI47" s="11"/>
      <c r="QJ47" s="11"/>
      <c r="QK47" s="11"/>
      <c r="QL47" s="11"/>
      <c r="QM47" s="11"/>
      <c r="QN47" s="11"/>
      <c r="QO47" s="11"/>
      <c r="QP47" s="11"/>
      <c r="QQ47" s="11"/>
      <c r="QR47" s="11"/>
      <c r="QS47" s="11"/>
      <c r="QT47" s="11"/>
      <c r="QU47" s="11"/>
      <c r="QV47" s="11"/>
      <c r="QW47" s="11"/>
      <c r="QX47" s="11"/>
      <c r="QY47" s="11"/>
      <c r="QZ47" s="11"/>
      <c r="RA47" s="11"/>
      <c r="RB47" s="11"/>
      <c r="RC47" s="11"/>
      <c r="RD47" s="11"/>
      <c r="RE47" s="11"/>
      <c r="RF47" s="11"/>
      <c r="RG47" s="11"/>
      <c r="RH47" s="11"/>
      <c r="RI47" s="11"/>
      <c r="RJ47" s="11"/>
      <c r="RK47" s="11"/>
      <c r="RL47" s="11"/>
      <c r="RM47" s="11"/>
      <c r="RN47" s="11"/>
      <c r="RO47" s="11"/>
      <c r="RP47" s="11"/>
      <c r="RQ47" s="11"/>
      <c r="RR47" s="11"/>
      <c r="RS47" s="11"/>
      <c r="RT47" s="11"/>
      <c r="RU47" s="11"/>
      <c r="RV47" s="11"/>
      <c r="RW47" s="11"/>
      <c r="RX47" s="11"/>
      <c r="RY47" s="11"/>
      <c r="RZ47" s="11"/>
      <c r="SA47" s="11"/>
      <c r="SB47" s="11"/>
      <c r="SC47" s="11"/>
      <c r="SD47" s="11"/>
      <c r="SE47" s="11"/>
      <c r="SF47" s="11"/>
      <c r="SG47" s="11"/>
      <c r="SH47" s="11"/>
      <c r="SI47" s="11"/>
      <c r="SJ47" s="11"/>
      <c r="SK47" s="11"/>
      <c r="SL47" s="11"/>
      <c r="SM47" s="11"/>
      <c r="SN47" s="11"/>
      <c r="SO47" s="11"/>
      <c r="SP47" s="11"/>
      <c r="SQ47" s="11"/>
      <c r="SR47" s="11"/>
      <c r="SS47" s="11"/>
      <c r="ST47" s="11"/>
      <c r="SU47" s="11"/>
      <c r="SV47" s="11"/>
      <c r="SW47" s="11"/>
      <c r="SX47" s="11"/>
      <c r="SY47" s="11"/>
      <c r="SZ47" s="11"/>
      <c r="TA47" s="11"/>
      <c r="TB47" s="11"/>
      <c r="TC47" s="11"/>
      <c r="TD47" s="11"/>
      <c r="TE47" s="11"/>
      <c r="TF47" s="11"/>
      <c r="TG47" s="11"/>
      <c r="TH47" s="11"/>
      <c r="TI47" s="11"/>
      <c r="TJ47" s="11"/>
      <c r="TK47" s="11"/>
      <c r="TL47" s="11"/>
      <c r="TM47" s="11"/>
      <c r="TN47" s="11"/>
      <c r="TO47" s="11"/>
      <c r="TP47" s="11"/>
      <c r="TQ47" s="11"/>
      <c r="TR47" s="11"/>
      <c r="TS47" s="11"/>
      <c r="TT47" s="11"/>
      <c r="TU47" s="11"/>
      <c r="TV47" s="11"/>
      <c r="TW47" s="11"/>
      <c r="TX47" s="11"/>
      <c r="TY47" s="11"/>
      <c r="TZ47" s="11"/>
      <c r="UA47" s="11"/>
      <c r="UB47" s="11"/>
      <c r="UC47" s="11"/>
      <c r="UD47" s="11"/>
      <c r="UE47" s="11"/>
      <c r="UF47" s="11"/>
      <c r="UG47" s="11"/>
      <c r="UH47" s="11"/>
      <c r="UI47" s="11"/>
      <c r="UJ47" s="11"/>
      <c r="UK47" s="11"/>
      <c r="UL47" s="11"/>
      <c r="UM47" s="11"/>
      <c r="UN47" s="11"/>
      <c r="UO47" s="11"/>
      <c r="UP47" s="11"/>
      <c r="UQ47" s="11"/>
      <c r="UR47" s="11"/>
      <c r="US47" s="11"/>
      <c r="UT47" s="11"/>
      <c r="UU47" s="11"/>
      <c r="UV47" s="11"/>
      <c r="UW47" s="11"/>
      <c r="UX47" s="11"/>
      <c r="UY47" s="11"/>
      <c r="UZ47" s="11"/>
      <c r="VA47" s="11"/>
      <c r="VB47" s="11"/>
      <c r="VC47" s="11"/>
      <c r="VD47" s="11"/>
      <c r="VE47" s="11"/>
      <c r="VF47" s="11"/>
      <c r="VG47" s="11"/>
      <c r="VH47" s="11"/>
      <c r="VI47" s="11"/>
      <c r="VJ47" s="11"/>
      <c r="VK47" s="11"/>
      <c r="VL47" s="11"/>
      <c r="VM47" s="11"/>
      <c r="VN47" s="11"/>
      <c r="VO47" s="11"/>
      <c r="VP47" s="11"/>
      <c r="VQ47" s="11"/>
      <c r="VR47" s="11"/>
      <c r="VS47" s="11"/>
      <c r="VT47" s="11"/>
      <c r="VU47" s="11"/>
      <c r="VV47" s="11"/>
      <c r="VW47" s="11"/>
      <c r="VX47" s="11"/>
      <c r="VY47" s="11"/>
      <c r="VZ47" s="11"/>
      <c r="WA47" s="11"/>
      <c r="WB47" s="11"/>
      <c r="WC47" s="11"/>
      <c r="WD47" s="11"/>
      <c r="WE47" s="11"/>
      <c r="WF47" s="11"/>
      <c r="WG47" s="11"/>
      <c r="WH47" s="11"/>
      <c r="WI47" s="11"/>
      <c r="WJ47" s="11"/>
      <c r="WK47" s="11"/>
      <c r="WL47" s="11"/>
      <c r="WM47" s="11"/>
      <c r="WN47" s="11"/>
      <c r="WO47" s="11"/>
      <c r="WP47" s="11"/>
      <c r="WQ47" s="11"/>
      <c r="WR47" s="11"/>
      <c r="WS47" s="11"/>
      <c r="WT47" s="11"/>
      <c r="WU47" s="11"/>
      <c r="WV47" s="11"/>
      <c r="WW47" s="11"/>
      <c r="WX47" s="11"/>
      <c r="WY47" s="11"/>
      <c r="WZ47" s="11"/>
      <c r="XA47" s="11"/>
      <c r="XB47" s="11"/>
      <c r="XC47" s="11"/>
      <c r="XD47" s="11"/>
      <c r="XE47" s="11"/>
      <c r="XF47" s="11"/>
      <c r="XG47" s="11"/>
      <c r="XH47" s="11"/>
      <c r="XI47" s="11"/>
      <c r="XJ47" s="11"/>
      <c r="XK47" s="11"/>
      <c r="XL47" s="11"/>
      <c r="XM47" s="11"/>
      <c r="XN47" s="11"/>
      <c r="XO47" s="11"/>
      <c r="XP47" s="11"/>
      <c r="XQ47" s="11"/>
      <c r="XR47" s="11"/>
      <c r="XS47" s="11"/>
      <c r="XT47" s="11"/>
      <c r="XU47" s="11"/>
      <c r="XV47" s="11"/>
      <c r="XW47" s="11"/>
      <c r="XX47" s="11"/>
      <c r="XY47" s="11"/>
      <c r="XZ47" s="11"/>
      <c r="YA47" s="11"/>
      <c r="YB47" s="11"/>
      <c r="YC47" s="11"/>
      <c r="YD47" s="11"/>
      <c r="YE47" s="11"/>
      <c r="YF47" s="11"/>
      <c r="YG47" s="11"/>
      <c r="YH47" s="11"/>
      <c r="YI47" s="11"/>
      <c r="YJ47" s="11"/>
      <c r="YK47" s="11"/>
      <c r="YL47" s="11"/>
      <c r="YM47" s="11"/>
      <c r="YN47" s="11"/>
      <c r="YO47" s="11"/>
      <c r="YP47" s="11"/>
      <c r="YQ47" s="11"/>
      <c r="YR47" s="11"/>
      <c r="YS47" s="11"/>
      <c r="YT47" s="11"/>
      <c r="YU47" s="11"/>
      <c r="YV47" s="11"/>
      <c r="YW47" s="11"/>
      <c r="YX47" s="11"/>
      <c r="YY47" s="11"/>
      <c r="YZ47" s="11"/>
      <c r="ZA47" s="11"/>
      <c r="ZB47" s="11"/>
      <c r="ZC47" s="11"/>
      <c r="ZD47" s="11"/>
      <c r="ZE47" s="11"/>
      <c r="ZF47" s="11"/>
      <c r="ZG47" s="11"/>
      <c r="ZH47" s="11"/>
      <c r="ZI47" s="11"/>
      <c r="ZJ47" s="11"/>
      <c r="ZK47" s="11"/>
      <c r="ZL47" s="11"/>
      <c r="ZM47" s="11"/>
      <c r="ZN47" s="11"/>
      <c r="ZO47" s="11"/>
      <c r="ZP47" s="11"/>
      <c r="ZQ47" s="11"/>
      <c r="ZR47" s="11"/>
      <c r="ZS47" s="11"/>
      <c r="ZT47" s="11"/>
      <c r="ZU47" s="11"/>
      <c r="ZV47" s="11"/>
      <c r="ZW47" s="11"/>
      <c r="ZX47" s="11"/>
      <c r="ZY47" s="11"/>
      <c r="ZZ47" s="11"/>
      <c r="AAA47" s="11"/>
      <c r="AAB47" s="11"/>
      <c r="AAC47" s="11"/>
      <c r="AAD47" s="11"/>
      <c r="AAE47" s="11"/>
      <c r="AAF47" s="11"/>
      <c r="AAG47" s="11"/>
      <c r="AAH47" s="11"/>
      <c r="AAI47" s="11"/>
      <c r="AAJ47" s="11"/>
      <c r="AAK47" s="11"/>
      <c r="AAL47" s="11"/>
    </row>
    <row r="48" spans="26:714" s="6" customFormat="1" x14ac:dyDescent="0.3">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1"/>
      <c r="CQ48" s="11"/>
      <c r="CR48" s="11"/>
      <c r="CS48" s="11"/>
      <c r="CT48" s="11"/>
      <c r="CU48" s="11"/>
      <c r="CV48" s="11"/>
      <c r="CW48" s="11"/>
      <c r="CX48" s="11"/>
      <c r="CY48" s="11"/>
      <c r="CZ48" s="11"/>
      <c r="DA48" s="11"/>
      <c r="DB48" s="11"/>
      <c r="DC48" s="11"/>
      <c r="DD48" s="11"/>
      <c r="DE48" s="11"/>
      <c r="DF48" s="11"/>
      <c r="DG48" s="11"/>
      <c r="DH48" s="11"/>
      <c r="DI48" s="11"/>
      <c r="DJ48" s="11"/>
      <c r="DK48" s="11"/>
      <c r="DL48" s="11"/>
      <c r="DM48" s="11"/>
      <c r="DN48" s="11"/>
      <c r="DO48" s="11"/>
      <c r="DP48" s="11"/>
      <c r="DQ48" s="11"/>
      <c r="DR48" s="11"/>
      <c r="DS48" s="11"/>
      <c r="DT48" s="11"/>
      <c r="DU48" s="11"/>
      <c r="DV48" s="11"/>
      <c r="DW48" s="11"/>
      <c r="DX48" s="11"/>
      <c r="DY48" s="11"/>
      <c r="DZ48" s="11"/>
      <c r="EA48" s="11"/>
      <c r="EB48" s="11"/>
      <c r="EC48" s="11"/>
      <c r="ED48" s="11"/>
      <c r="EE48" s="11"/>
      <c r="EF48" s="11"/>
      <c r="EG48" s="11"/>
      <c r="EH48" s="11"/>
      <c r="EI48" s="11"/>
      <c r="EJ48" s="11"/>
      <c r="EK48" s="11"/>
      <c r="EL48" s="11"/>
      <c r="EM48" s="11"/>
      <c r="EN48" s="11"/>
      <c r="EO48" s="11"/>
      <c r="EP48" s="11"/>
      <c r="EQ48" s="11"/>
      <c r="ER48" s="11"/>
      <c r="ES48" s="11"/>
      <c r="ET48" s="11"/>
      <c r="EU48" s="11"/>
      <c r="EV48" s="11"/>
      <c r="EW48" s="11"/>
      <c r="EX48" s="11"/>
      <c r="EY48" s="11"/>
      <c r="EZ48" s="11"/>
      <c r="FA48" s="11"/>
      <c r="FB48" s="11"/>
      <c r="FC48" s="11"/>
      <c r="FD48" s="11"/>
      <c r="FE48" s="11"/>
      <c r="FF48" s="11"/>
      <c r="FG48" s="11"/>
      <c r="FH48" s="11"/>
      <c r="FI48" s="11"/>
      <c r="FJ48" s="11"/>
      <c r="FK48" s="11"/>
      <c r="FL48" s="11"/>
      <c r="FM48" s="11"/>
      <c r="FN48" s="11"/>
      <c r="FO48" s="11"/>
      <c r="FP48" s="11"/>
      <c r="FQ48" s="11"/>
      <c r="FR48" s="11"/>
      <c r="FS48" s="11"/>
      <c r="FT48" s="11"/>
      <c r="FU48" s="11"/>
      <c r="FV48" s="11"/>
      <c r="FW48" s="11"/>
      <c r="FX48" s="11"/>
      <c r="FY48" s="11"/>
      <c r="FZ48" s="11"/>
      <c r="GA48" s="11"/>
      <c r="GB48" s="11"/>
      <c r="GC48" s="11"/>
      <c r="GD48" s="11"/>
      <c r="GE48" s="11"/>
      <c r="GF48" s="11"/>
      <c r="GG48" s="11"/>
      <c r="GH48" s="11"/>
      <c r="GI48" s="11"/>
      <c r="GJ48" s="11"/>
      <c r="GK48" s="11"/>
      <c r="GL48" s="11"/>
      <c r="GM48" s="11"/>
      <c r="GN48" s="11"/>
      <c r="GO48" s="11"/>
      <c r="GP48" s="11"/>
      <c r="GQ48" s="11"/>
      <c r="GR48" s="11"/>
      <c r="GS48" s="11"/>
      <c r="GT48" s="11"/>
      <c r="GU48" s="11"/>
      <c r="GV48" s="11"/>
      <c r="GW48" s="11"/>
      <c r="GX48" s="11"/>
      <c r="GY48" s="11"/>
      <c r="GZ48" s="11"/>
      <c r="HA48" s="11"/>
      <c r="HB48" s="11"/>
      <c r="HC48" s="11"/>
      <c r="HD48" s="11"/>
      <c r="HE48" s="11"/>
      <c r="HF48" s="11"/>
      <c r="HG48" s="11"/>
      <c r="HH48" s="11"/>
      <c r="HI48" s="11"/>
      <c r="HJ48" s="11"/>
      <c r="HK48" s="11"/>
      <c r="HL48" s="11"/>
      <c r="HM48" s="11"/>
      <c r="HN48" s="11"/>
      <c r="HO48" s="11"/>
      <c r="HP48" s="11"/>
      <c r="HQ48" s="11"/>
      <c r="HR48" s="11"/>
      <c r="HS48" s="11"/>
      <c r="HT48" s="11"/>
      <c r="HU48" s="11"/>
      <c r="HV48" s="11"/>
      <c r="HW48" s="11"/>
      <c r="HX48" s="11"/>
      <c r="HY48" s="11"/>
      <c r="HZ48" s="11"/>
      <c r="IA48" s="11"/>
      <c r="IB48" s="11"/>
      <c r="IC48" s="11"/>
      <c r="ID48" s="11"/>
      <c r="IE48" s="11"/>
      <c r="IF48" s="11"/>
      <c r="IG48" s="11"/>
      <c r="IH48" s="11"/>
      <c r="II48" s="11"/>
      <c r="IJ48" s="11"/>
      <c r="IK48" s="11"/>
      <c r="IL48" s="11"/>
      <c r="IM48" s="11"/>
      <c r="IN48" s="11"/>
      <c r="IO48" s="11"/>
      <c r="IP48" s="11"/>
      <c r="IQ48" s="11"/>
      <c r="IR48" s="11"/>
      <c r="IS48" s="11"/>
      <c r="IT48" s="11"/>
      <c r="IU48" s="11"/>
      <c r="IV48" s="11"/>
      <c r="IW48" s="11"/>
      <c r="IX48" s="11"/>
      <c r="IY48" s="11"/>
      <c r="IZ48" s="11"/>
      <c r="JA48" s="11"/>
      <c r="JB48" s="11"/>
      <c r="JC48" s="11"/>
      <c r="JD48" s="11"/>
      <c r="JE48" s="11"/>
      <c r="JF48" s="11"/>
      <c r="JG48" s="11"/>
      <c r="JH48" s="11"/>
      <c r="JI48" s="11"/>
      <c r="JJ48" s="11"/>
      <c r="JK48" s="11"/>
      <c r="JL48" s="11"/>
      <c r="JM48" s="11"/>
      <c r="JN48" s="11"/>
      <c r="JO48" s="11"/>
      <c r="JP48" s="11"/>
      <c r="JQ48" s="11"/>
      <c r="JR48" s="11"/>
      <c r="JS48" s="11"/>
      <c r="JT48" s="11"/>
      <c r="JU48" s="11"/>
      <c r="JV48" s="11"/>
      <c r="JW48" s="11"/>
      <c r="JX48" s="11"/>
      <c r="JY48" s="11"/>
      <c r="JZ48" s="11"/>
      <c r="KA48" s="11"/>
      <c r="KB48" s="11"/>
      <c r="KC48" s="11"/>
      <c r="KD48" s="11"/>
      <c r="KE48" s="11"/>
      <c r="KF48" s="11"/>
      <c r="KG48" s="11"/>
      <c r="KH48" s="11"/>
      <c r="KI48" s="11"/>
      <c r="KJ48" s="11"/>
      <c r="KK48" s="11"/>
      <c r="KL48" s="11"/>
      <c r="KM48" s="11"/>
      <c r="KN48" s="11"/>
      <c r="KO48" s="11"/>
      <c r="KP48" s="11"/>
      <c r="KQ48" s="11"/>
      <c r="KR48" s="11"/>
      <c r="KS48" s="11"/>
      <c r="KT48" s="11"/>
      <c r="KU48" s="11"/>
      <c r="KV48" s="11"/>
      <c r="KW48" s="11"/>
      <c r="KX48" s="11"/>
      <c r="KY48" s="11"/>
      <c r="KZ48" s="11"/>
      <c r="LA48" s="11"/>
      <c r="LB48" s="11"/>
      <c r="LC48" s="11"/>
      <c r="LD48" s="11"/>
      <c r="LE48" s="11"/>
      <c r="LF48" s="11"/>
      <c r="LG48" s="11"/>
      <c r="LH48" s="11"/>
      <c r="LI48" s="11"/>
      <c r="LJ48" s="11"/>
      <c r="LK48" s="11"/>
      <c r="LL48" s="11"/>
      <c r="LM48" s="11"/>
      <c r="LN48" s="11"/>
      <c r="LO48" s="11"/>
      <c r="LP48" s="11"/>
      <c r="LQ48" s="11"/>
      <c r="LR48" s="11"/>
      <c r="LS48" s="11"/>
      <c r="LT48" s="11"/>
      <c r="LU48" s="11"/>
      <c r="LV48" s="11"/>
      <c r="LW48" s="11"/>
      <c r="LX48" s="11"/>
      <c r="LY48" s="11"/>
      <c r="LZ48" s="11"/>
      <c r="MA48" s="11"/>
      <c r="MB48" s="11"/>
      <c r="MC48" s="11"/>
      <c r="MD48" s="11"/>
      <c r="ME48" s="11"/>
      <c r="MF48" s="11"/>
      <c r="MG48" s="11"/>
      <c r="MH48" s="11"/>
      <c r="MI48" s="11"/>
      <c r="MJ48" s="11"/>
      <c r="MK48" s="11"/>
      <c r="ML48" s="11"/>
      <c r="MM48" s="11"/>
      <c r="MN48" s="11"/>
      <c r="MO48" s="11"/>
      <c r="MP48" s="11"/>
      <c r="MQ48" s="11"/>
      <c r="MR48" s="11"/>
      <c r="MS48" s="11"/>
      <c r="MT48" s="11"/>
      <c r="MU48" s="11"/>
      <c r="MV48" s="11"/>
      <c r="MW48" s="11"/>
      <c r="MX48" s="11"/>
      <c r="MY48" s="11"/>
      <c r="MZ48" s="11"/>
      <c r="NA48" s="11"/>
      <c r="NB48" s="11"/>
      <c r="NC48" s="11"/>
      <c r="ND48" s="11"/>
      <c r="NE48" s="11"/>
      <c r="NF48" s="11"/>
      <c r="NG48" s="11"/>
      <c r="NH48" s="11"/>
      <c r="NI48" s="11"/>
      <c r="NJ48" s="11"/>
      <c r="NK48" s="11"/>
      <c r="NL48" s="11"/>
      <c r="NM48" s="11"/>
      <c r="NN48" s="11"/>
      <c r="NO48" s="11"/>
      <c r="NP48" s="11"/>
      <c r="NQ48" s="11"/>
      <c r="NR48" s="11"/>
      <c r="NS48" s="11"/>
      <c r="NT48" s="11"/>
      <c r="NU48" s="11"/>
      <c r="NV48" s="11"/>
      <c r="NW48" s="11"/>
      <c r="NX48" s="11"/>
      <c r="NY48" s="11"/>
      <c r="NZ48" s="11"/>
      <c r="OA48" s="11"/>
      <c r="OB48" s="11"/>
      <c r="OC48" s="11"/>
      <c r="OD48" s="11"/>
      <c r="OE48" s="11"/>
      <c r="OF48" s="11"/>
      <c r="OG48" s="11"/>
      <c r="OH48" s="11"/>
      <c r="OI48" s="11"/>
      <c r="OJ48" s="11"/>
      <c r="OK48" s="11"/>
      <c r="OL48" s="11"/>
      <c r="OM48" s="11"/>
      <c r="ON48" s="11"/>
      <c r="OO48" s="11"/>
      <c r="OP48" s="11"/>
      <c r="OQ48" s="11"/>
      <c r="OR48" s="11"/>
      <c r="OS48" s="11"/>
      <c r="OT48" s="11"/>
      <c r="OU48" s="11"/>
      <c r="OV48" s="11"/>
      <c r="OW48" s="11"/>
      <c r="OX48" s="11"/>
      <c r="OY48" s="11"/>
      <c r="OZ48" s="11"/>
      <c r="PA48" s="11"/>
      <c r="PB48" s="11"/>
      <c r="PC48" s="11"/>
      <c r="PD48" s="11"/>
      <c r="PE48" s="11"/>
      <c r="PF48" s="11"/>
      <c r="PG48" s="11"/>
      <c r="PH48" s="11"/>
      <c r="PI48" s="11"/>
      <c r="PJ48" s="11"/>
      <c r="PK48" s="11"/>
      <c r="PL48" s="11"/>
      <c r="PM48" s="11"/>
      <c r="PN48" s="11"/>
      <c r="PO48" s="11"/>
      <c r="PP48" s="11"/>
      <c r="PQ48" s="11"/>
      <c r="PR48" s="11"/>
      <c r="PS48" s="11"/>
      <c r="PT48" s="11"/>
      <c r="PU48" s="11"/>
      <c r="PV48" s="11"/>
      <c r="PW48" s="11"/>
      <c r="PX48" s="11"/>
      <c r="PY48" s="11"/>
      <c r="PZ48" s="11"/>
      <c r="QA48" s="11"/>
      <c r="QB48" s="11"/>
      <c r="QC48" s="11"/>
      <c r="QD48" s="11"/>
      <c r="QE48" s="11"/>
      <c r="QF48" s="11"/>
      <c r="QG48" s="11"/>
      <c r="QH48" s="11"/>
      <c r="QI48" s="11"/>
      <c r="QJ48" s="11"/>
      <c r="QK48" s="11"/>
      <c r="QL48" s="11"/>
      <c r="QM48" s="11"/>
      <c r="QN48" s="11"/>
      <c r="QO48" s="11"/>
      <c r="QP48" s="11"/>
      <c r="QQ48" s="11"/>
      <c r="QR48" s="11"/>
      <c r="QS48" s="11"/>
      <c r="QT48" s="11"/>
      <c r="QU48" s="11"/>
      <c r="QV48" s="11"/>
      <c r="QW48" s="11"/>
      <c r="QX48" s="11"/>
      <c r="QY48" s="11"/>
      <c r="QZ48" s="11"/>
      <c r="RA48" s="11"/>
      <c r="RB48" s="11"/>
      <c r="RC48" s="11"/>
      <c r="RD48" s="11"/>
      <c r="RE48" s="11"/>
      <c r="RF48" s="11"/>
      <c r="RG48" s="11"/>
      <c r="RH48" s="11"/>
      <c r="RI48" s="11"/>
      <c r="RJ48" s="11"/>
      <c r="RK48" s="11"/>
      <c r="RL48" s="11"/>
      <c r="RM48" s="11"/>
      <c r="RN48" s="11"/>
      <c r="RO48" s="11"/>
      <c r="RP48" s="11"/>
      <c r="RQ48" s="11"/>
      <c r="RR48" s="11"/>
      <c r="RS48" s="11"/>
      <c r="RT48" s="11"/>
      <c r="RU48" s="11"/>
      <c r="RV48" s="11"/>
      <c r="RW48" s="11"/>
      <c r="RX48" s="11"/>
      <c r="RY48" s="11"/>
      <c r="RZ48" s="11"/>
      <c r="SA48" s="11"/>
      <c r="SB48" s="11"/>
      <c r="SC48" s="11"/>
      <c r="SD48" s="11"/>
      <c r="SE48" s="11"/>
      <c r="SF48" s="11"/>
      <c r="SG48" s="11"/>
      <c r="SH48" s="11"/>
      <c r="SI48" s="11"/>
      <c r="SJ48" s="11"/>
      <c r="SK48" s="11"/>
      <c r="SL48" s="11"/>
      <c r="SM48" s="11"/>
      <c r="SN48" s="11"/>
      <c r="SO48" s="11"/>
      <c r="SP48" s="11"/>
      <c r="SQ48" s="11"/>
      <c r="SR48" s="11"/>
      <c r="SS48" s="11"/>
      <c r="ST48" s="11"/>
      <c r="SU48" s="11"/>
      <c r="SV48" s="11"/>
      <c r="SW48" s="11"/>
      <c r="SX48" s="11"/>
      <c r="SY48" s="11"/>
      <c r="SZ48" s="11"/>
      <c r="TA48" s="11"/>
      <c r="TB48" s="11"/>
      <c r="TC48" s="11"/>
      <c r="TD48" s="11"/>
      <c r="TE48" s="11"/>
      <c r="TF48" s="11"/>
      <c r="TG48" s="11"/>
      <c r="TH48" s="11"/>
      <c r="TI48" s="11"/>
      <c r="TJ48" s="11"/>
      <c r="TK48" s="11"/>
      <c r="TL48" s="11"/>
      <c r="TM48" s="11"/>
      <c r="TN48" s="11"/>
      <c r="TO48" s="11"/>
      <c r="TP48" s="11"/>
      <c r="TQ48" s="11"/>
      <c r="TR48" s="11"/>
      <c r="TS48" s="11"/>
      <c r="TT48" s="11"/>
      <c r="TU48" s="11"/>
      <c r="TV48" s="11"/>
      <c r="TW48" s="11"/>
      <c r="TX48" s="11"/>
      <c r="TY48" s="11"/>
      <c r="TZ48" s="11"/>
      <c r="UA48" s="11"/>
      <c r="UB48" s="11"/>
      <c r="UC48" s="11"/>
      <c r="UD48" s="11"/>
      <c r="UE48" s="11"/>
      <c r="UF48" s="11"/>
      <c r="UG48" s="11"/>
      <c r="UH48" s="11"/>
      <c r="UI48" s="11"/>
      <c r="UJ48" s="11"/>
      <c r="UK48" s="11"/>
      <c r="UL48" s="11"/>
      <c r="UM48" s="11"/>
      <c r="UN48" s="11"/>
      <c r="UO48" s="11"/>
      <c r="UP48" s="11"/>
      <c r="UQ48" s="11"/>
      <c r="UR48" s="11"/>
      <c r="US48" s="11"/>
      <c r="UT48" s="11"/>
      <c r="UU48" s="11"/>
      <c r="UV48" s="11"/>
      <c r="UW48" s="11"/>
      <c r="UX48" s="11"/>
      <c r="UY48" s="11"/>
      <c r="UZ48" s="11"/>
      <c r="VA48" s="11"/>
      <c r="VB48" s="11"/>
      <c r="VC48" s="11"/>
      <c r="VD48" s="11"/>
      <c r="VE48" s="11"/>
      <c r="VF48" s="11"/>
      <c r="VG48" s="11"/>
      <c r="VH48" s="11"/>
      <c r="VI48" s="11"/>
      <c r="VJ48" s="11"/>
      <c r="VK48" s="11"/>
      <c r="VL48" s="11"/>
      <c r="VM48" s="11"/>
      <c r="VN48" s="11"/>
      <c r="VO48" s="11"/>
      <c r="VP48" s="11"/>
      <c r="VQ48" s="11"/>
      <c r="VR48" s="11"/>
      <c r="VS48" s="11"/>
      <c r="VT48" s="11"/>
      <c r="VU48" s="11"/>
      <c r="VV48" s="11"/>
      <c r="VW48" s="11"/>
      <c r="VX48" s="11"/>
      <c r="VY48" s="11"/>
      <c r="VZ48" s="11"/>
      <c r="WA48" s="11"/>
      <c r="WB48" s="11"/>
      <c r="WC48" s="11"/>
      <c r="WD48" s="11"/>
      <c r="WE48" s="11"/>
      <c r="WF48" s="11"/>
      <c r="WG48" s="11"/>
      <c r="WH48" s="11"/>
      <c r="WI48" s="11"/>
      <c r="WJ48" s="11"/>
      <c r="WK48" s="11"/>
      <c r="WL48" s="11"/>
      <c r="WM48" s="11"/>
      <c r="WN48" s="11"/>
      <c r="WO48" s="11"/>
      <c r="WP48" s="11"/>
      <c r="WQ48" s="11"/>
      <c r="WR48" s="11"/>
      <c r="WS48" s="11"/>
      <c r="WT48" s="11"/>
      <c r="WU48" s="11"/>
      <c r="WV48" s="11"/>
      <c r="WW48" s="11"/>
      <c r="WX48" s="11"/>
      <c r="WY48" s="11"/>
      <c r="WZ48" s="11"/>
      <c r="XA48" s="11"/>
      <c r="XB48" s="11"/>
      <c r="XC48" s="11"/>
      <c r="XD48" s="11"/>
      <c r="XE48" s="11"/>
      <c r="XF48" s="11"/>
      <c r="XG48" s="11"/>
      <c r="XH48" s="11"/>
      <c r="XI48" s="11"/>
      <c r="XJ48" s="11"/>
      <c r="XK48" s="11"/>
      <c r="XL48" s="11"/>
      <c r="XM48" s="11"/>
      <c r="XN48" s="11"/>
      <c r="XO48" s="11"/>
      <c r="XP48" s="11"/>
      <c r="XQ48" s="11"/>
      <c r="XR48" s="11"/>
      <c r="XS48" s="11"/>
      <c r="XT48" s="11"/>
      <c r="XU48" s="11"/>
      <c r="XV48" s="11"/>
      <c r="XW48" s="11"/>
      <c r="XX48" s="11"/>
      <c r="XY48" s="11"/>
      <c r="XZ48" s="11"/>
      <c r="YA48" s="11"/>
      <c r="YB48" s="11"/>
      <c r="YC48" s="11"/>
      <c r="YD48" s="11"/>
      <c r="YE48" s="11"/>
      <c r="YF48" s="11"/>
      <c r="YG48" s="11"/>
      <c r="YH48" s="11"/>
      <c r="YI48" s="11"/>
      <c r="YJ48" s="11"/>
      <c r="YK48" s="11"/>
      <c r="YL48" s="11"/>
      <c r="YM48" s="11"/>
      <c r="YN48" s="11"/>
      <c r="YO48" s="11"/>
      <c r="YP48" s="11"/>
      <c r="YQ48" s="11"/>
      <c r="YR48" s="11"/>
      <c r="YS48" s="11"/>
      <c r="YT48" s="11"/>
      <c r="YU48" s="11"/>
      <c r="YV48" s="11"/>
      <c r="YW48" s="11"/>
      <c r="YX48" s="11"/>
      <c r="YY48" s="11"/>
      <c r="YZ48" s="11"/>
      <c r="ZA48" s="11"/>
      <c r="ZB48" s="11"/>
      <c r="ZC48" s="11"/>
      <c r="ZD48" s="11"/>
      <c r="ZE48" s="11"/>
      <c r="ZF48" s="11"/>
      <c r="ZG48" s="11"/>
      <c r="ZH48" s="11"/>
      <c r="ZI48" s="11"/>
      <c r="ZJ48" s="11"/>
      <c r="ZK48" s="11"/>
      <c r="ZL48" s="11"/>
      <c r="ZM48" s="11"/>
      <c r="ZN48" s="11"/>
      <c r="ZO48" s="11"/>
      <c r="ZP48" s="11"/>
      <c r="ZQ48" s="11"/>
      <c r="ZR48" s="11"/>
      <c r="ZS48" s="11"/>
      <c r="ZT48" s="11"/>
      <c r="ZU48" s="11"/>
      <c r="ZV48" s="11"/>
      <c r="ZW48" s="11"/>
      <c r="ZX48" s="11"/>
      <c r="ZY48" s="11"/>
      <c r="ZZ48" s="11"/>
      <c r="AAA48" s="11"/>
      <c r="AAB48" s="11"/>
      <c r="AAC48" s="11"/>
      <c r="AAD48" s="11"/>
      <c r="AAE48" s="11"/>
      <c r="AAF48" s="11"/>
      <c r="AAG48" s="11"/>
      <c r="AAH48" s="11"/>
      <c r="AAI48" s="11"/>
      <c r="AAJ48" s="11"/>
      <c r="AAK48" s="11"/>
      <c r="AAL48" s="11"/>
    </row>
    <row r="49" spans="1:714" s="6" customFormat="1" x14ac:dyDescent="0.3">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c r="CO49" s="11"/>
      <c r="CP49" s="11"/>
      <c r="CQ49" s="11"/>
      <c r="CR49" s="11"/>
      <c r="CS49" s="11"/>
      <c r="CT49" s="11"/>
      <c r="CU49" s="11"/>
      <c r="CV49" s="11"/>
      <c r="CW49" s="11"/>
      <c r="CX49" s="11"/>
      <c r="CY49" s="11"/>
      <c r="CZ49" s="11"/>
      <c r="DA49" s="11"/>
      <c r="DB49" s="11"/>
      <c r="DC49" s="11"/>
      <c r="DD49" s="11"/>
      <c r="DE49" s="11"/>
      <c r="DF49" s="11"/>
      <c r="DG49" s="11"/>
      <c r="DH49" s="11"/>
      <c r="DI49" s="11"/>
      <c r="DJ49" s="11"/>
      <c r="DK49" s="11"/>
      <c r="DL49" s="11"/>
      <c r="DM49" s="11"/>
      <c r="DN49" s="11"/>
      <c r="DO49" s="11"/>
      <c r="DP49" s="11"/>
      <c r="DQ49" s="11"/>
      <c r="DR49" s="11"/>
      <c r="DS49" s="11"/>
      <c r="DT49" s="11"/>
      <c r="DU49" s="11"/>
      <c r="DV49" s="11"/>
      <c r="DW49" s="11"/>
      <c r="DX49" s="11"/>
      <c r="DY49" s="11"/>
      <c r="DZ49" s="11"/>
      <c r="EA49" s="11"/>
      <c r="EB49" s="11"/>
      <c r="EC49" s="11"/>
      <c r="ED49" s="11"/>
      <c r="EE49" s="11"/>
      <c r="EF49" s="11"/>
      <c r="EG49" s="11"/>
      <c r="EH49" s="11"/>
      <c r="EI49" s="11"/>
      <c r="EJ49" s="11"/>
      <c r="EK49" s="11"/>
      <c r="EL49" s="11"/>
      <c r="EM49" s="11"/>
      <c r="EN49" s="11"/>
      <c r="EO49" s="11"/>
      <c r="EP49" s="11"/>
      <c r="EQ49" s="11"/>
      <c r="ER49" s="11"/>
      <c r="ES49" s="11"/>
      <c r="ET49" s="11"/>
      <c r="EU49" s="11"/>
      <c r="EV49" s="11"/>
      <c r="EW49" s="11"/>
      <c r="EX49" s="11"/>
      <c r="EY49" s="11"/>
      <c r="EZ49" s="11"/>
      <c r="FA49" s="11"/>
      <c r="FB49" s="11"/>
      <c r="FC49" s="11"/>
      <c r="FD49" s="11"/>
      <c r="FE49" s="11"/>
      <c r="FF49" s="11"/>
      <c r="FG49" s="11"/>
      <c r="FH49" s="11"/>
      <c r="FI49" s="11"/>
      <c r="FJ49" s="11"/>
      <c r="FK49" s="11"/>
      <c r="FL49" s="11"/>
      <c r="FM49" s="11"/>
      <c r="FN49" s="11"/>
      <c r="FO49" s="11"/>
      <c r="FP49" s="11"/>
      <c r="FQ49" s="11"/>
      <c r="FR49" s="11"/>
      <c r="FS49" s="11"/>
      <c r="FT49" s="11"/>
      <c r="FU49" s="11"/>
      <c r="FV49" s="11"/>
      <c r="FW49" s="11"/>
      <c r="FX49" s="11"/>
      <c r="FY49" s="11"/>
      <c r="FZ49" s="11"/>
      <c r="GA49" s="11"/>
      <c r="GB49" s="11"/>
      <c r="GC49" s="11"/>
      <c r="GD49" s="11"/>
      <c r="GE49" s="11"/>
      <c r="GF49" s="11"/>
      <c r="GG49" s="11"/>
      <c r="GH49" s="11"/>
      <c r="GI49" s="11"/>
      <c r="GJ49" s="11"/>
      <c r="GK49" s="11"/>
      <c r="GL49" s="11"/>
      <c r="GM49" s="11"/>
      <c r="GN49" s="11"/>
      <c r="GO49" s="11"/>
      <c r="GP49" s="11"/>
      <c r="GQ49" s="11"/>
      <c r="GR49" s="11"/>
      <c r="GS49" s="11"/>
      <c r="GT49" s="11"/>
      <c r="GU49" s="11"/>
      <c r="GV49" s="11"/>
      <c r="GW49" s="11"/>
      <c r="GX49" s="11"/>
      <c r="GY49" s="11"/>
      <c r="GZ49" s="11"/>
      <c r="HA49" s="11"/>
      <c r="HB49" s="11"/>
      <c r="HC49" s="11"/>
      <c r="HD49" s="11"/>
      <c r="HE49" s="11"/>
      <c r="HF49" s="11"/>
      <c r="HG49" s="11"/>
      <c r="HH49" s="11"/>
      <c r="HI49" s="11"/>
      <c r="HJ49" s="11"/>
      <c r="HK49" s="11"/>
      <c r="HL49" s="11"/>
      <c r="HM49" s="11"/>
      <c r="HN49" s="11"/>
      <c r="HO49" s="11"/>
      <c r="HP49" s="11"/>
      <c r="HQ49" s="11"/>
      <c r="HR49" s="11"/>
      <c r="HS49" s="11"/>
      <c r="HT49" s="11"/>
      <c r="HU49" s="11"/>
      <c r="HV49" s="11"/>
      <c r="HW49" s="11"/>
      <c r="HX49" s="11"/>
      <c r="HY49" s="11"/>
      <c r="HZ49" s="11"/>
      <c r="IA49" s="11"/>
      <c r="IB49" s="11"/>
      <c r="IC49" s="11"/>
      <c r="ID49" s="11"/>
      <c r="IE49" s="11"/>
      <c r="IF49" s="11"/>
      <c r="IG49" s="11"/>
      <c r="IH49" s="11"/>
      <c r="II49" s="11"/>
      <c r="IJ49" s="11"/>
      <c r="IK49" s="11"/>
      <c r="IL49" s="11"/>
      <c r="IM49" s="11"/>
      <c r="IN49" s="11"/>
      <c r="IO49" s="11"/>
      <c r="IP49" s="11"/>
      <c r="IQ49" s="11"/>
      <c r="IR49" s="11"/>
      <c r="IS49" s="11"/>
      <c r="IT49" s="11"/>
      <c r="IU49" s="11"/>
      <c r="IV49" s="11"/>
      <c r="IW49" s="11"/>
      <c r="IX49" s="11"/>
      <c r="IY49" s="11"/>
      <c r="IZ49" s="11"/>
      <c r="JA49" s="11"/>
      <c r="JB49" s="11"/>
      <c r="JC49" s="11"/>
      <c r="JD49" s="11"/>
      <c r="JE49" s="11"/>
      <c r="JF49" s="11"/>
      <c r="JG49" s="11"/>
      <c r="JH49" s="11"/>
      <c r="JI49" s="11"/>
      <c r="JJ49" s="11"/>
      <c r="JK49" s="11"/>
      <c r="JL49" s="11"/>
      <c r="JM49" s="11"/>
      <c r="JN49" s="11"/>
      <c r="JO49" s="11"/>
      <c r="JP49" s="11"/>
      <c r="JQ49" s="11"/>
      <c r="JR49" s="11"/>
      <c r="JS49" s="11"/>
      <c r="JT49" s="11"/>
      <c r="JU49" s="11"/>
      <c r="JV49" s="11"/>
      <c r="JW49" s="11"/>
      <c r="JX49" s="11"/>
      <c r="JY49" s="11"/>
      <c r="JZ49" s="11"/>
      <c r="KA49" s="11"/>
      <c r="KB49" s="11"/>
      <c r="KC49" s="11"/>
      <c r="KD49" s="11"/>
      <c r="KE49" s="11"/>
      <c r="KF49" s="11"/>
      <c r="KG49" s="11"/>
      <c r="KH49" s="11"/>
      <c r="KI49" s="11"/>
      <c r="KJ49" s="11"/>
      <c r="KK49" s="11"/>
      <c r="KL49" s="11"/>
      <c r="KM49" s="11"/>
      <c r="KN49" s="11"/>
      <c r="KO49" s="11"/>
      <c r="KP49" s="11"/>
      <c r="KQ49" s="11"/>
      <c r="KR49" s="11"/>
      <c r="KS49" s="11"/>
      <c r="KT49" s="11"/>
      <c r="KU49" s="11"/>
      <c r="KV49" s="11"/>
      <c r="KW49" s="11"/>
      <c r="KX49" s="11"/>
      <c r="KY49" s="11"/>
      <c r="KZ49" s="11"/>
      <c r="LA49" s="11"/>
      <c r="LB49" s="11"/>
      <c r="LC49" s="11"/>
      <c r="LD49" s="11"/>
      <c r="LE49" s="11"/>
      <c r="LF49" s="11"/>
      <c r="LG49" s="11"/>
      <c r="LH49" s="11"/>
      <c r="LI49" s="11"/>
      <c r="LJ49" s="11"/>
      <c r="LK49" s="11"/>
      <c r="LL49" s="11"/>
      <c r="LM49" s="11"/>
      <c r="LN49" s="11"/>
      <c r="LO49" s="11"/>
      <c r="LP49" s="11"/>
      <c r="LQ49" s="11"/>
      <c r="LR49" s="11"/>
      <c r="LS49" s="11"/>
      <c r="LT49" s="11"/>
      <c r="LU49" s="11"/>
      <c r="LV49" s="11"/>
      <c r="LW49" s="11"/>
      <c r="LX49" s="11"/>
      <c r="LY49" s="11"/>
      <c r="LZ49" s="11"/>
      <c r="MA49" s="11"/>
      <c r="MB49" s="11"/>
      <c r="MC49" s="11"/>
      <c r="MD49" s="11"/>
      <c r="ME49" s="11"/>
      <c r="MF49" s="11"/>
      <c r="MG49" s="11"/>
      <c r="MH49" s="11"/>
      <c r="MI49" s="11"/>
      <c r="MJ49" s="11"/>
      <c r="MK49" s="11"/>
      <c r="ML49" s="11"/>
      <c r="MM49" s="11"/>
      <c r="MN49" s="11"/>
      <c r="MO49" s="11"/>
      <c r="MP49" s="11"/>
      <c r="MQ49" s="11"/>
      <c r="MR49" s="11"/>
      <c r="MS49" s="11"/>
      <c r="MT49" s="11"/>
      <c r="MU49" s="11"/>
      <c r="MV49" s="11"/>
      <c r="MW49" s="11"/>
      <c r="MX49" s="11"/>
      <c r="MY49" s="11"/>
      <c r="MZ49" s="11"/>
      <c r="NA49" s="11"/>
      <c r="NB49" s="11"/>
      <c r="NC49" s="11"/>
      <c r="ND49" s="11"/>
      <c r="NE49" s="11"/>
      <c r="NF49" s="11"/>
      <c r="NG49" s="11"/>
      <c r="NH49" s="11"/>
      <c r="NI49" s="11"/>
      <c r="NJ49" s="11"/>
      <c r="NK49" s="11"/>
      <c r="NL49" s="11"/>
      <c r="NM49" s="11"/>
      <c r="NN49" s="11"/>
      <c r="NO49" s="11"/>
      <c r="NP49" s="11"/>
      <c r="NQ49" s="11"/>
      <c r="NR49" s="11"/>
      <c r="NS49" s="11"/>
      <c r="NT49" s="11"/>
      <c r="NU49" s="11"/>
      <c r="NV49" s="11"/>
      <c r="NW49" s="11"/>
      <c r="NX49" s="11"/>
      <c r="NY49" s="11"/>
      <c r="NZ49" s="11"/>
      <c r="OA49" s="11"/>
      <c r="OB49" s="11"/>
      <c r="OC49" s="11"/>
      <c r="OD49" s="11"/>
      <c r="OE49" s="11"/>
      <c r="OF49" s="11"/>
      <c r="OG49" s="11"/>
      <c r="OH49" s="11"/>
      <c r="OI49" s="11"/>
      <c r="OJ49" s="11"/>
      <c r="OK49" s="11"/>
      <c r="OL49" s="11"/>
      <c r="OM49" s="11"/>
      <c r="ON49" s="11"/>
      <c r="OO49" s="11"/>
      <c r="OP49" s="11"/>
      <c r="OQ49" s="11"/>
      <c r="OR49" s="11"/>
      <c r="OS49" s="11"/>
      <c r="OT49" s="11"/>
      <c r="OU49" s="11"/>
      <c r="OV49" s="11"/>
      <c r="OW49" s="11"/>
      <c r="OX49" s="11"/>
      <c r="OY49" s="11"/>
      <c r="OZ49" s="11"/>
      <c r="PA49" s="11"/>
      <c r="PB49" s="11"/>
      <c r="PC49" s="11"/>
      <c r="PD49" s="11"/>
      <c r="PE49" s="11"/>
      <c r="PF49" s="11"/>
      <c r="PG49" s="11"/>
      <c r="PH49" s="11"/>
      <c r="PI49" s="11"/>
      <c r="PJ49" s="11"/>
      <c r="PK49" s="11"/>
      <c r="PL49" s="11"/>
      <c r="PM49" s="11"/>
      <c r="PN49" s="11"/>
      <c r="PO49" s="11"/>
      <c r="PP49" s="11"/>
      <c r="PQ49" s="11"/>
      <c r="PR49" s="11"/>
      <c r="PS49" s="11"/>
      <c r="PT49" s="11"/>
      <c r="PU49" s="11"/>
      <c r="PV49" s="11"/>
      <c r="PW49" s="11"/>
      <c r="PX49" s="11"/>
      <c r="PY49" s="11"/>
      <c r="PZ49" s="11"/>
      <c r="QA49" s="11"/>
      <c r="QB49" s="11"/>
      <c r="QC49" s="11"/>
      <c r="QD49" s="11"/>
      <c r="QE49" s="11"/>
      <c r="QF49" s="11"/>
      <c r="QG49" s="11"/>
      <c r="QH49" s="11"/>
      <c r="QI49" s="11"/>
      <c r="QJ49" s="11"/>
      <c r="QK49" s="11"/>
      <c r="QL49" s="11"/>
      <c r="QM49" s="11"/>
      <c r="QN49" s="11"/>
      <c r="QO49" s="11"/>
      <c r="QP49" s="11"/>
      <c r="QQ49" s="11"/>
      <c r="QR49" s="11"/>
      <c r="QS49" s="11"/>
      <c r="QT49" s="11"/>
      <c r="QU49" s="11"/>
      <c r="QV49" s="11"/>
      <c r="QW49" s="11"/>
      <c r="QX49" s="11"/>
      <c r="QY49" s="11"/>
      <c r="QZ49" s="11"/>
      <c r="RA49" s="11"/>
      <c r="RB49" s="11"/>
      <c r="RC49" s="11"/>
      <c r="RD49" s="11"/>
      <c r="RE49" s="11"/>
      <c r="RF49" s="11"/>
      <c r="RG49" s="11"/>
      <c r="RH49" s="11"/>
      <c r="RI49" s="11"/>
      <c r="RJ49" s="11"/>
      <c r="RK49" s="11"/>
      <c r="RL49" s="11"/>
      <c r="RM49" s="11"/>
      <c r="RN49" s="11"/>
      <c r="RO49" s="11"/>
      <c r="RP49" s="11"/>
      <c r="RQ49" s="11"/>
      <c r="RR49" s="11"/>
      <c r="RS49" s="11"/>
      <c r="RT49" s="11"/>
      <c r="RU49" s="11"/>
      <c r="RV49" s="11"/>
      <c r="RW49" s="11"/>
      <c r="RX49" s="11"/>
      <c r="RY49" s="11"/>
      <c r="RZ49" s="11"/>
      <c r="SA49" s="11"/>
      <c r="SB49" s="11"/>
      <c r="SC49" s="11"/>
      <c r="SD49" s="11"/>
      <c r="SE49" s="11"/>
      <c r="SF49" s="11"/>
      <c r="SG49" s="11"/>
      <c r="SH49" s="11"/>
      <c r="SI49" s="11"/>
      <c r="SJ49" s="11"/>
      <c r="SK49" s="11"/>
      <c r="SL49" s="11"/>
      <c r="SM49" s="11"/>
      <c r="SN49" s="11"/>
      <c r="SO49" s="11"/>
      <c r="SP49" s="11"/>
      <c r="SQ49" s="11"/>
      <c r="SR49" s="11"/>
      <c r="SS49" s="11"/>
      <c r="ST49" s="11"/>
      <c r="SU49" s="11"/>
      <c r="SV49" s="11"/>
      <c r="SW49" s="11"/>
      <c r="SX49" s="11"/>
      <c r="SY49" s="11"/>
      <c r="SZ49" s="11"/>
      <c r="TA49" s="11"/>
      <c r="TB49" s="11"/>
      <c r="TC49" s="11"/>
      <c r="TD49" s="11"/>
      <c r="TE49" s="11"/>
      <c r="TF49" s="11"/>
      <c r="TG49" s="11"/>
      <c r="TH49" s="11"/>
      <c r="TI49" s="11"/>
      <c r="TJ49" s="11"/>
      <c r="TK49" s="11"/>
      <c r="TL49" s="11"/>
      <c r="TM49" s="11"/>
      <c r="TN49" s="11"/>
      <c r="TO49" s="11"/>
      <c r="TP49" s="11"/>
      <c r="TQ49" s="11"/>
      <c r="TR49" s="11"/>
      <c r="TS49" s="11"/>
      <c r="TT49" s="11"/>
      <c r="TU49" s="11"/>
      <c r="TV49" s="11"/>
      <c r="TW49" s="11"/>
      <c r="TX49" s="11"/>
      <c r="TY49" s="11"/>
      <c r="TZ49" s="11"/>
      <c r="UA49" s="11"/>
      <c r="UB49" s="11"/>
      <c r="UC49" s="11"/>
      <c r="UD49" s="11"/>
      <c r="UE49" s="11"/>
      <c r="UF49" s="11"/>
      <c r="UG49" s="11"/>
      <c r="UH49" s="11"/>
      <c r="UI49" s="11"/>
      <c r="UJ49" s="11"/>
      <c r="UK49" s="11"/>
      <c r="UL49" s="11"/>
      <c r="UM49" s="11"/>
      <c r="UN49" s="11"/>
      <c r="UO49" s="11"/>
      <c r="UP49" s="11"/>
      <c r="UQ49" s="11"/>
      <c r="UR49" s="11"/>
      <c r="US49" s="11"/>
      <c r="UT49" s="11"/>
      <c r="UU49" s="11"/>
      <c r="UV49" s="11"/>
      <c r="UW49" s="11"/>
      <c r="UX49" s="11"/>
      <c r="UY49" s="11"/>
      <c r="UZ49" s="11"/>
      <c r="VA49" s="11"/>
      <c r="VB49" s="11"/>
      <c r="VC49" s="11"/>
      <c r="VD49" s="11"/>
      <c r="VE49" s="11"/>
      <c r="VF49" s="11"/>
      <c r="VG49" s="11"/>
      <c r="VH49" s="11"/>
      <c r="VI49" s="11"/>
      <c r="VJ49" s="11"/>
      <c r="VK49" s="11"/>
      <c r="VL49" s="11"/>
      <c r="VM49" s="11"/>
      <c r="VN49" s="11"/>
      <c r="VO49" s="11"/>
      <c r="VP49" s="11"/>
      <c r="VQ49" s="11"/>
      <c r="VR49" s="11"/>
      <c r="VS49" s="11"/>
      <c r="VT49" s="11"/>
      <c r="VU49" s="11"/>
      <c r="VV49" s="11"/>
      <c r="VW49" s="11"/>
      <c r="VX49" s="11"/>
      <c r="VY49" s="11"/>
      <c r="VZ49" s="11"/>
      <c r="WA49" s="11"/>
      <c r="WB49" s="11"/>
      <c r="WC49" s="11"/>
      <c r="WD49" s="11"/>
      <c r="WE49" s="11"/>
      <c r="WF49" s="11"/>
      <c r="WG49" s="11"/>
      <c r="WH49" s="11"/>
      <c r="WI49" s="11"/>
      <c r="WJ49" s="11"/>
      <c r="WK49" s="11"/>
      <c r="WL49" s="11"/>
      <c r="WM49" s="11"/>
      <c r="WN49" s="11"/>
      <c r="WO49" s="11"/>
      <c r="WP49" s="11"/>
      <c r="WQ49" s="11"/>
      <c r="WR49" s="11"/>
      <c r="WS49" s="11"/>
      <c r="WT49" s="11"/>
      <c r="WU49" s="11"/>
      <c r="WV49" s="11"/>
      <c r="WW49" s="11"/>
      <c r="WX49" s="11"/>
      <c r="WY49" s="11"/>
      <c r="WZ49" s="11"/>
      <c r="XA49" s="11"/>
      <c r="XB49" s="11"/>
      <c r="XC49" s="11"/>
      <c r="XD49" s="11"/>
      <c r="XE49" s="11"/>
      <c r="XF49" s="11"/>
      <c r="XG49" s="11"/>
      <c r="XH49" s="11"/>
      <c r="XI49" s="11"/>
      <c r="XJ49" s="11"/>
      <c r="XK49" s="11"/>
      <c r="XL49" s="11"/>
      <c r="XM49" s="11"/>
      <c r="XN49" s="11"/>
      <c r="XO49" s="11"/>
      <c r="XP49" s="11"/>
      <c r="XQ49" s="11"/>
      <c r="XR49" s="11"/>
      <c r="XS49" s="11"/>
      <c r="XT49" s="11"/>
      <c r="XU49" s="11"/>
      <c r="XV49" s="11"/>
      <c r="XW49" s="11"/>
      <c r="XX49" s="11"/>
      <c r="XY49" s="11"/>
      <c r="XZ49" s="11"/>
      <c r="YA49" s="11"/>
      <c r="YB49" s="11"/>
      <c r="YC49" s="11"/>
      <c r="YD49" s="11"/>
      <c r="YE49" s="11"/>
      <c r="YF49" s="11"/>
      <c r="YG49" s="11"/>
      <c r="YH49" s="11"/>
      <c r="YI49" s="11"/>
      <c r="YJ49" s="11"/>
      <c r="YK49" s="11"/>
      <c r="YL49" s="11"/>
      <c r="YM49" s="11"/>
      <c r="YN49" s="11"/>
      <c r="YO49" s="11"/>
      <c r="YP49" s="11"/>
      <c r="YQ49" s="11"/>
      <c r="YR49" s="11"/>
      <c r="YS49" s="11"/>
      <c r="YT49" s="11"/>
      <c r="YU49" s="11"/>
      <c r="YV49" s="11"/>
      <c r="YW49" s="11"/>
      <c r="YX49" s="11"/>
      <c r="YY49" s="11"/>
      <c r="YZ49" s="11"/>
      <c r="ZA49" s="11"/>
      <c r="ZB49" s="11"/>
      <c r="ZC49" s="11"/>
      <c r="ZD49" s="11"/>
      <c r="ZE49" s="11"/>
      <c r="ZF49" s="11"/>
      <c r="ZG49" s="11"/>
      <c r="ZH49" s="11"/>
      <c r="ZI49" s="11"/>
      <c r="ZJ49" s="11"/>
      <c r="ZK49" s="11"/>
      <c r="ZL49" s="11"/>
      <c r="ZM49" s="11"/>
      <c r="ZN49" s="11"/>
      <c r="ZO49" s="11"/>
      <c r="ZP49" s="11"/>
      <c r="ZQ49" s="11"/>
      <c r="ZR49" s="11"/>
      <c r="ZS49" s="11"/>
      <c r="ZT49" s="11"/>
      <c r="ZU49" s="11"/>
      <c r="ZV49" s="11"/>
      <c r="ZW49" s="11"/>
      <c r="ZX49" s="11"/>
      <c r="ZY49" s="11"/>
      <c r="ZZ49" s="11"/>
      <c r="AAA49" s="11"/>
      <c r="AAB49" s="11"/>
      <c r="AAC49" s="11"/>
      <c r="AAD49" s="11"/>
      <c r="AAE49" s="11"/>
      <c r="AAF49" s="11"/>
      <c r="AAG49" s="11"/>
      <c r="AAH49" s="11"/>
      <c r="AAI49" s="11"/>
      <c r="AAJ49" s="11"/>
      <c r="AAK49" s="11"/>
      <c r="AAL49" s="11"/>
    </row>
    <row r="50" spans="1:714" s="6" customFormat="1" x14ac:dyDescent="0.3">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c r="CJ50" s="11"/>
      <c r="CK50" s="11"/>
      <c r="CL50" s="11"/>
      <c r="CM50" s="11"/>
      <c r="CN50" s="11"/>
      <c r="CO50" s="11"/>
      <c r="CP50" s="11"/>
      <c r="CQ50" s="11"/>
      <c r="CR50" s="11"/>
      <c r="CS50" s="11"/>
      <c r="CT50" s="11"/>
      <c r="CU50" s="11"/>
      <c r="CV50" s="11"/>
      <c r="CW50" s="11"/>
      <c r="CX50" s="11"/>
      <c r="CY50" s="11"/>
      <c r="CZ50" s="11"/>
      <c r="DA50" s="11"/>
      <c r="DB50" s="11"/>
      <c r="DC50" s="11"/>
      <c r="DD50" s="11"/>
      <c r="DE50" s="11"/>
      <c r="DF50" s="11"/>
      <c r="DG50" s="11"/>
      <c r="DH50" s="11"/>
      <c r="DI50" s="11"/>
      <c r="DJ50" s="11"/>
      <c r="DK50" s="11"/>
      <c r="DL50" s="11"/>
      <c r="DM50" s="11"/>
      <c r="DN50" s="11"/>
      <c r="DO50" s="11"/>
      <c r="DP50" s="11"/>
      <c r="DQ50" s="11"/>
      <c r="DR50" s="11"/>
      <c r="DS50" s="11"/>
      <c r="DT50" s="11"/>
      <c r="DU50" s="11"/>
      <c r="DV50" s="11"/>
      <c r="DW50" s="11"/>
      <c r="DX50" s="11"/>
      <c r="DY50" s="11"/>
      <c r="DZ50" s="11"/>
      <c r="EA50" s="11"/>
      <c r="EB50" s="11"/>
      <c r="EC50" s="11"/>
      <c r="ED50" s="11"/>
      <c r="EE50" s="11"/>
      <c r="EF50" s="11"/>
      <c r="EG50" s="11"/>
      <c r="EH50" s="11"/>
      <c r="EI50" s="11"/>
      <c r="EJ50" s="11"/>
      <c r="EK50" s="11"/>
      <c r="EL50" s="11"/>
      <c r="EM50" s="11"/>
      <c r="EN50" s="11"/>
      <c r="EO50" s="11"/>
      <c r="EP50" s="11"/>
      <c r="EQ50" s="11"/>
      <c r="ER50" s="11"/>
      <c r="ES50" s="11"/>
      <c r="ET50" s="11"/>
      <c r="EU50" s="11"/>
      <c r="EV50" s="11"/>
      <c r="EW50" s="11"/>
      <c r="EX50" s="11"/>
      <c r="EY50" s="11"/>
      <c r="EZ50" s="11"/>
      <c r="FA50" s="11"/>
      <c r="FB50" s="11"/>
      <c r="FC50" s="11"/>
      <c r="FD50" s="11"/>
      <c r="FE50" s="11"/>
      <c r="FF50" s="11"/>
      <c r="FG50" s="11"/>
      <c r="FH50" s="11"/>
      <c r="FI50" s="11"/>
      <c r="FJ50" s="11"/>
      <c r="FK50" s="11"/>
      <c r="FL50" s="11"/>
      <c r="FM50" s="11"/>
      <c r="FN50" s="11"/>
      <c r="FO50" s="11"/>
      <c r="FP50" s="11"/>
      <c r="FQ50" s="11"/>
      <c r="FR50" s="11"/>
      <c r="FS50" s="11"/>
      <c r="FT50" s="11"/>
      <c r="FU50" s="11"/>
      <c r="FV50" s="11"/>
      <c r="FW50" s="11"/>
      <c r="FX50" s="11"/>
      <c r="FY50" s="11"/>
      <c r="FZ50" s="11"/>
      <c r="GA50" s="11"/>
      <c r="GB50" s="11"/>
      <c r="GC50" s="11"/>
      <c r="GD50" s="11"/>
      <c r="GE50" s="11"/>
      <c r="GF50" s="11"/>
      <c r="GG50" s="11"/>
      <c r="GH50" s="11"/>
      <c r="GI50" s="11"/>
      <c r="GJ50" s="11"/>
      <c r="GK50" s="11"/>
      <c r="GL50" s="11"/>
      <c r="GM50" s="11"/>
      <c r="GN50" s="11"/>
      <c r="GO50" s="11"/>
      <c r="GP50" s="11"/>
      <c r="GQ50" s="11"/>
      <c r="GR50" s="11"/>
      <c r="GS50" s="11"/>
      <c r="GT50" s="11"/>
      <c r="GU50" s="11"/>
      <c r="GV50" s="11"/>
      <c r="GW50" s="11"/>
      <c r="GX50" s="11"/>
      <c r="GY50" s="11"/>
      <c r="GZ50" s="11"/>
      <c r="HA50" s="11"/>
      <c r="HB50" s="11"/>
      <c r="HC50" s="11"/>
      <c r="HD50" s="11"/>
      <c r="HE50" s="11"/>
      <c r="HF50" s="11"/>
      <c r="HG50" s="11"/>
      <c r="HH50" s="11"/>
      <c r="HI50" s="11"/>
      <c r="HJ50" s="11"/>
      <c r="HK50" s="11"/>
      <c r="HL50" s="11"/>
      <c r="HM50" s="11"/>
      <c r="HN50" s="11"/>
      <c r="HO50" s="11"/>
      <c r="HP50" s="11"/>
      <c r="HQ50" s="11"/>
      <c r="HR50" s="11"/>
      <c r="HS50" s="11"/>
      <c r="HT50" s="11"/>
      <c r="HU50" s="11"/>
      <c r="HV50" s="11"/>
      <c r="HW50" s="11"/>
      <c r="HX50" s="11"/>
      <c r="HY50" s="11"/>
      <c r="HZ50" s="11"/>
      <c r="IA50" s="11"/>
      <c r="IB50" s="11"/>
      <c r="IC50" s="11"/>
      <c r="ID50" s="11"/>
      <c r="IE50" s="11"/>
      <c r="IF50" s="11"/>
      <c r="IG50" s="11"/>
      <c r="IH50" s="11"/>
      <c r="II50" s="11"/>
      <c r="IJ50" s="11"/>
      <c r="IK50" s="11"/>
      <c r="IL50" s="11"/>
      <c r="IM50" s="11"/>
      <c r="IN50" s="11"/>
      <c r="IO50" s="11"/>
      <c r="IP50" s="11"/>
      <c r="IQ50" s="11"/>
      <c r="IR50" s="11"/>
      <c r="IS50" s="11"/>
      <c r="IT50" s="11"/>
      <c r="IU50" s="11"/>
      <c r="IV50" s="11"/>
      <c r="IW50" s="11"/>
      <c r="IX50" s="11"/>
      <c r="IY50" s="11"/>
      <c r="IZ50" s="11"/>
      <c r="JA50" s="11"/>
      <c r="JB50" s="11"/>
      <c r="JC50" s="11"/>
      <c r="JD50" s="11"/>
      <c r="JE50" s="11"/>
      <c r="JF50" s="11"/>
      <c r="JG50" s="11"/>
      <c r="JH50" s="11"/>
      <c r="JI50" s="11"/>
      <c r="JJ50" s="11"/>
      <c r="JK50" s="11"/>
      <c r="JL50" s="11"/>
      <c r="JM50" s="11"/>
      <c r="JN50" s="11"/>
      <c r="JO50" s="11"/>
      <c r="JP50" s="11"/>
      <c r="JQ50" s="11"/>
      <c r="JR50" s="11"/>
      <c r="JS50" s="11"/>
      <c r="JT50" s="11"/>
      <c r="JU50" s="11"/>
      <c r="JV50" s="11"/>
      <c r="JW50" s="11"/>
      <c r="JX50" s="11"/>
      <c r="JY50" s="11"/>
      <c r="JZ50" s="11"/>
      <c r="KA50" s="11"/>
      <c r="KB50" s="11"/>
      <c r="KC50" s="11"/>
      <c r="KD50" s="11"/>
      <c r="KE50" s="11"/>
      <c r="KF50" s="11"/>
      <c r="KG50" s="11"/>
      <c r="KH50" s="11"/>
      <c r="KI50" s="11"/>
      <c r="KJ50" s="11"/>
      <c r="KK50" s="11"/>
      <c r="KL50" s="11"/>
      <c r="KM50" s="11"/>
      <c r="KN50" s="11"/>
      <c r="KO50" s="11"/>
      <c r="KP50" s="11"/>
      <c r="KQ50" s="11"/>
      <c r="KR50" s="11"/>
      <c r="KS50" s="11"/>
      <c r="KT50" s="11"/>
      <c r="KU50" s="11"/>
      <c r="KV50" s="11"/>
      <c r="KW50" s="11"/>
      <c r="KX50" s="11"/>
      <c r="KY50" s="11"/>
      <c r="KZ50" s="11"/>
      <c r="LA50" s="11"/>
      <c r="LB50" s="11"/>
      <c r="LC50" s="11"/>
      <c r="LD50" s="11"/>
      <c r="LE50" s="11"/>
      <c r="LF50" s="11"/>
      <c r="LG50" s="11"/>
      <c r="LH50" s="11"/>
      <c r="LI50" s="11"/>
      <c r="LJ50" s="11"/>
      <c r="LK50" s="11"/>
      <c r="LL50" s="11"/>
      <c r="LM50" s="11"/>
      <c r="LN50" s="11"/>
      <c r="LO50" s="11"/>
      <c r="LP50" s="11"/>
      <c r="LQ50" s="11"/>
      <c r="LR50" s="11"/>
      <c r="LS50" s="11"/>
      <c r="LT50" s="11"/>
      <c r="LU50" s="11"/>
      <c r="LV50" s="11"/>
      <c r="LW50" s="11"/>
      <c r="LX50" s="11"/>
      <c r="LY50" s="11"/>
      <c r="LZ50" s="11"/>
      <c r="MA50" s="11"/>
      <c r="MB50" s="11"/>
      <c r="MC50" s="11"/>
      <c r="MD50" s="11"/>
      <c r="ME50" s="11"/>
      <c r="MF50" s="11"/>
      <c r="MG50" s="11"/>
      <c r="MH50" s="11"/>
      <c r="MI50" s="11"/>
      <c r="MJ50" s="11"/>
      <c r="MK50" s="11"/>
      <c r="ML50" s="11"/>
      <c r="MM50" s="11"/>
      <c r="MN50" s="11"/>
      <c r="MO50" s="11"/>
      <c r="MP50" s="11"/>
      <c r="MQ50" s="11"/>
      <c r="MR50" s="11"/>
      <c r="MS50" s="11"/>
      <c r="MT50" s="11"/>
      <c r="MU50" s="11"/>
      <c r="MV50" s="11"/>
      <c r="MW50" s="11"/>
      <c r="MX50" s="11"/>
      <c r="MY50" s="11"/>
      <c r="MZ50" s="11"/>
      <c r="NA50" s="11"/>
      <c r="NB50" s="11"/>
      <c r="NC50" s="11"/>
      <c r="ND50" s="11"/>
      <c r="NE50" s="11"/>
      <c r="NF50" s="11"/>
      <c r="NG50" s="11"/>
      <c r="NH50" s="11"/>
      <c r="NI50" s="11"/>
      <c r="NJ50" s="11"/>
      <c r="NK50" s="11"/>
      <c r="NL50" s="11"/>
      <c r="NM50" s="11"/>
      <c r="NN50" s="11"/>
      <c r="NO50" s="11"/>
      <c r="NP50" s="11"/>
      <c r="NQ50" s="11"/>
      <c r="NR50" s="11"/>
      <c r="NS50" s="11"/>
      <c r="NT50" s="11"/>
      <c r="NU50" s="11"/>
      <c r="NV50" s="11"/>
      <c r="NW50" s="11"/>
      <c r="NX50" s="11"/>
      <c r="NY50" s="11"/>
      <c r="NZ50" s="11"/>
      <c r="OA50" s="11"/>
      <c r="OB50" s="11"/>
      <c r="OC50" s="11"/>
      <c r="OD50" s="11"/>
      <c r="OE50" s="11"/>
      <c r="OF50" s="11"/>
      <c r="OG50" s="11"/>
      <c r="OH50" s="11"/>
      <c r="OI50" s="11"/>
      <c r="OJ50" s="11"/>
      <c r="OK50" s="11"/>
      <c r="OL50" s="11"/>
      <c r="OM50" s="11"/>
      <c r="ON50" s="11"/>
      <c r="OO50" s="11"/>
      <c r="OP50" s="11"/>
      <c r="OQ50" s="11"/>
      <c r="OR50" s="11"/>
      <c r="OS50" s="11"/>
      <c r="OT50" s="11"/>
      <c r="OU50" s="11"/>
      <c r="OV50" s="11"/>
      <c r="OW50" s="11"/>
      <c r="OX50" s="11"/>
      <c r="OY50" s="11"/>
      <c r="OZ50" s="11"/>
      <c r="PA50" s="11"/>
      <c r="PB50" s="11"/>
      <c r="PC50" s="11"/>
      <c r="PD50" s="11"/>
      <c r="PE50" s="11"/>
      <c r="PF50" s="11"/>
      <c r="PG50" s="11"/>
      <c r="PH50" s="11"/>
      <c r="PI50" s="11"/>
      <c r="PJ50" s="11"/>
      <c r="PK50" s="11"/>
      <c r="PL50" s="11"/>
      <c r="PM50" s="11"/>
      <c r="PN50" s="11"/>
      <c r="PO50" s="11"/>
      <c r="PP50" s="11"/>
      <c r="PQ50" s="11"/>
      <c r="PR50" s="11"/>
      <c r="PS50" s="11"/>
      <c r="PT50" s="11"/>
      <c r="PU50" s="11"/>
      <c r="PV50" s="11"/>
      <c r="PW50" s="11"/>
      <c r="PX50" s="11"/>
      <c r="PY50" s="11"/>
      <c r="PZ50" s="11"/>
      <c r="QA50" s="11"/>
      <c r="QB50" s="11"/>
      <c r="QC50" s="11"/>
      <c r="QD50" s="11"/>
      <c r="QE50" s="11"/>
      <c r="QF50" s="11"/>
      <c r="QG50" s="11"/>
      <c r="QH50" s="11"/>
      <c r="QI50" s="11"/>
      <c r="QJ50" s="11"/>
      <c r="QK50" s="11"/>
      <c r="QL50" s="11"/>
      <c r="QM50" s="11"/>
      <c r="QN50" s="11"/>
      <c r="QO50" s="11"/>
      <c r="QP50" s="11"/>
      <c r="QQ50" s="11"/>
      <c r="QR50" s="11"/>
      <c r="QS50" s="11"/>
      <c r="QT50" s="11"/>
      <c r="QU50" s="11"/>
      <c r="QV50" s="11"/>
      <c r="QW50" s="11"/>
      <c r="QX50" s="11"/>
      <c r="QY50" s="11"/>
      <c r="QZ50" s="11"/>
      <c r="RA50" s="11"/>
      <c r="RB50" s="11"/>
      <c r="RC50" s="11"/>
      <c r="RD50" s="11"/>
      <c r="RE50" s="11"/>
      <c r="RF50" s="11"/>
      <c r="RG50" s="11"/>
      <c r="RH50" s="11"/>
      <c r="RI50" s="11"/>
      <c r="RJ50" s="11"/>
      <c r="RK50" s="11"/>
      <c r="RL50" s="11"/>
      <c r="RM50" s="11"/>
      <c r="RN50" s="11"/>
      <c r="RO50" s="11"/>
      <c r="RP50" s="11"/>
      <c r="RQ50" s="11"/>
      <c r="RR50" s="11"/>
      <c r="RS50" s="11"/>
      <c r="RT50" s="11"/>
      <c r="RU50" s="11"/>
      <c r="RV50" s="11"/>
      <c r="RW50" s="11"/>
      <c r="RX50" s="11"/>
      <c r="RY50" s="11"/>
      <c r="RZ50" s="11"/>
      <c r="SA50" s="11"/>
      <c r="SB50" s="11"/>
      <c r="SC50" s="11"/>
      <c r="SD50" s="11"/>
      <c r="SE50" s="11"/>
      <c r="SF50" s="11"/>
      <c r="SG50" s="11"/>
      <c r="SH50" s="11"/>
      <c r="SI50" s="11"/>
      <c r="SJ50" s="11"/>
      <c r="SK50" s="11"/>
      <c r="SL50" s="11"/>
      <c r="SM50" s="11"/>
      <c r="SN50" s="11"/>
      <c r="SO50" s="11"/>
      <c r="SP50" s="11"/>
      <c r="SQ50" s="11"/>
      <c r="SR50" s="11"/>
      <c r="SS50" s="11"/>
      <c r="ST50" s="11"/>
      <c r="SU50" s="11"/>
      <c r="SV50" s="11"/>
      <c r="SW50" s="11"/>
      <c r="SX50" s="11"/>
      <c r="SY50" s="11"/>
      <c r="SZ50" s="11"/>
      <c r="TA50" s="11"/>
      <c r="TB50" s="11"/>
      <c r="TC50" s="11"/>
      <c r="TD50" s="11"/>
      <c r="TE50" s="11"/>
      <c r="TF50" s="11"/>
      <c r="TG50" s="11"/>
      <c r="TH50" s="11"/>
      <c r="TI50" s="11"/>
      <c r="TJ50" s="11"/>
      <c r="TK50" s="11"/>
      <c r="TL50" s="11"/>
      <c r="TM50" s="11"/>
      <c r="TN50" s="11"/>
      <c r="TO50" s="11"/>
      <c r="TP50" s="11"/>
      <c r="TQ50" s="11"/>
      <c r="TR50" s="11"/>
      <c r="TS50" s="11"/>
      <c r="TT50" s="11"/>
      <c r="TU50" s="11"/>
      <c r="TV50" s="11"/>
      <c r="TW50" s="11"/>
      <c r="TX50" s="11"/>
      <c r="TY50" s="11"/>
      <c r="TZ50" s="11"/>
      <c r="UA50" s="11"/>
      <c r="UB50" s="11"/>
      <c r="UC50" s="11"/>
      <c r="UD50" s="11"/>
      <c r="UE50" s="11"/>
      <c r="UF50" s="11"/>
      <c r="UG50" s="11"/>
      <c r="UH50" s="11"/>
      <c r="UI50" s="11"/>
      <c r="UJ50" s="11"/>
      <c r="UK50" s="11"/>
      <c r="UL50" s="11"/>
      <c r="UM50" s="11"/>
      <c r="UN50" s="11"/>
      <c r="UO50" s="11"/>
      <c r="UP50" s="11"/>
      <c r="UQ50" s="11"/>
      <c r="UR50" s="11"/>
      <c r="US50" s="11"/>
      <c r="UT50" s="11"/>
      <c r="UU50" s="11"/>
      <c r="UV50" s="11"/>
      <c r="UW50" s="11"/>
      <c r="UX50" s="11"/>
      <c r="UY50" s="11"/>
      <c r="UZ50" s="11"/>
      <c r="VA50" s="11"/>
      <c r="VB50" s="11"/>
      <c r="VC50" s="11"/>
      <c r="VD50" s="11"/>
      <c r="VE50" s="11"/>
      <c r="VF50" s="11"/>
      <c r="VG50" s="11"/>
      <c r="VH50" s="11"/>
      <c r="VI50" s="11"/>
      <c r="VJ50" s="11"/>
      <c r="VK50" s="11"/>
      <c r="VL50" s="11"/>
      <c r="VM50" s="11"/>
      <c r="VN50" s="11"/>
      <c r="VO50" s="11"/>
      <c r="VP50" s="11"/>
      <c r="VQ50" s="11"/>
      <c r="VR50" s="11"/>
      <c r="VS50" s="11"/>
      <c r="VT50" s="11"/>
      <c r="VU50" s="11"/>
      <c r="VV50" s="11"/>
      <c r="VW50" s="11"/>
      <c r="VX50" s="11"/>
      <c r="VY50" s="11"/>
      <c r="VZ50" s="11"/>
      <c r="WA50" s="11"/>
      <c r="WB50" s="11"/>
      <c r="WC50" s="11"/>
      <c r="WD50" s="11"/>
      <c r="WE50" s="11"/>
      <c r="WF50" s="11"/>
      <c r="WG50" s="11"/>
      <c r="WH50" s="11"/>
      <c r="WI50" s="11"/>
      <c r="WJ50" s="11"/>
      <c r="WK50" s="11"/>
      <c r="WL50" s="11"/>
      <c r="WM50" s="11"/>
      <c r="WN50" s="11"/>
      <c r="WO50" s="11"/>
      <c r="WP50" s="11"/>
      <c r="WQ50" s="11"/>
      <c r="WR50" s="11"/>
      <c r="WS50" s="11"/>
      <c r="WT50" s="11"/>
      <c r="WU50" s="11"/>
      <c r="WV50" s="11"/>
      <c r="WW50" s="11"/>
      <c r="WX50" s="11"/>
      <c r="WY50" s="11"/>
      <c r="WZ50" s="11"/>
      <c r="XA50" s="11"/>
      <c r="XB50" s="11"/>
      <c r="XC50" s="11"/>
      <c r="XD50" s="11"/>
      <c r="XE50" s="11"/>
      <c r="XF50" s="11"/>
      <c r="XG50" s="11"/>
      <c r="XH50" s="11"/>
      <c r="XI50" s="11"/>
      <c r="XJ50" s="11"/>
      <c r="XK50" s="11"/>
      <c r="XL50" s="11"/>
      <c r="XM50" s="11"/>
      <c r="XN50" s="11"/>
      <c r="XO50" s="11"/>
      <c r="XP50" s="11"/>
      <c r="XQ50" s="11"/>
      <c r="XR50" s="11"/>
      <c r="XS50" s="11"/>
      <c r="XT50" s="11"/>
      <c r="XU50" s="11"/>
      <c r="XV50" s="11"/>
      <c r="XW50" s="11"/>
      <c r="XX50" s="11"/>
      <c r="XY50" s="11"/>
      <c r="XZ50" s="11"/>
      <c r="YA50" s="11"/>
      <c r="YB50" s="11"/>
      <c r="YC50" s="11"/>
      <c r="YD50" s="11"/>
      <c r="YE50" s="11"/>
      <c r="YF50" s="11"/>
      <c r="YG50" s="11"/>
      <c r="YH50" s="11"/>
      <c r="YI50" s="11"/>
      <c r="YJ50" s="11"/>
      <c r="YK50" s="11"/>
      <c r="YL50" s="11"/>
      <c r="YM50" s="11"/>
      <c r="YN50" s="11"/>
      <c r="YO50" s="11"/>
      <c r="YP50" s="11"/>
      <c r="YQ50" s="11"/>
      <c r="YR50" s="11"/>
      <c r="YS50" s="11"/>
      <c r="YT50" s="11"/>
      <c r="YU50" s="11"/>
      <c r="YV50" s="11"/>
      <c r="YW50" s="11"/>
      <c r="YX50" s="11"/>
      <c r="YY50" s="11"/>
      <c r="YZ50" s="11"/>
      <c r="ZA50" s="11"/>
      <c r="ZB50" s="11"/>
      <c r="ZC50" s="11"/>
      <c r="ZD50" s="11"/>
      <c r="ZE50" s="11"/>
      <c r="ZF50" s="11"/>
      <c r="ZG50" s="11"/>
      <c r="ZH50" s="11"/>
      <c r="ZI50" s="11"/>
      <c r="ZJ50" s="11"/>
      <c r="ZK50" s="11"/>
      <c r="ZL50" s="11"/>
      <c r="ZM50" s="11"/>
      <c r="ZN50" s="11"/>
      <c r="ZO50" s="11"/>
      <c r="ZP50" s="11"/>
      <c r="ZQ50" s="11"/>
      <c r="ZR50" s="11"/>
      <c r="ZS50" s="11"/>
      <c r="ZT50" s="11"/>
      <c r="ZU50" s="11"/>
      <c r="ZV50" s="11"/>
      <c r="ZW50" s="11"/>
      <c r="ZX50" s="11"/>
      <c r="ZY50" s="11"/>
      <c r="ZZ50" s="11"/>
      <c r="AAA50" s="11"/>
      <c r="AAB50" s="11"/>
      <c r="AAC50" s="11"/>
      <c r="AAD50" s="11"/>
      <c r="AAE50" s="11"/>
      <c r="AAF50" s="11"/>
      <c r="AAG50" s="11"/>
      <c r="AAH50" s="11"/>
      <c r="AAI50" s="11"/>
      <c r="AAJ50" s="11"/>
      <c r="AAK50" s="11"/>
      <c r="AAL50" s="11"/>
    </row>
    <row r="51" spans="1:714" s="6" customFormat="1" x14ac:dyDescent="0.3">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c r="CR51" s="11"/>
      <c r="CS51" s="11"/>
      <c r="CT51" s="11"/>
      <c r="CU51" s="11"/>
      <c r="CV51" s="11"/>
      <c r="CW51" s="11"/>
      <c r="CX51" s="11"/>
      <c r="CY51" s="11"/>
      <c r="CZ51" s="11"/>
      <c r="DA51" s="11"/>
      <c r="DB51" s="11"/>
      <c r="DC51" s="11"/>
      <c r="DD51" s="11"/>
      <c r="DE51" s="11"/>
      <c r="DF51" s="11"/>
      <c r="DG51" s="11"/>
      <c r="DH51" s="11"/>
      <c r="DI51" s="11"/>
      <c r="DJ51" s="11"/>
      <c r="DK51" s="11"/>
      <c r="DL51" s="11"/>
      <c r="DM51" s="11"/>
      <c r="DN51" s="11"/>
      <c r="DO51" s="11"/>
      <c r="DP51" s="11"/>
      <c r="DQ51" s="11"/>
      <c r="DR51" s="11"/>
      <c r="DS51" s="11"/>
      <c r="DT51" s="11"/>
      <c r="DU51" s="11"/>
      <c r="DV51" s="11"/>
      <c r="DW51" s="11"/>
      <c r="DX51" s="11"/>
      <c r="DY51" s="11"/>
      <c r="DZ51" s="11"/>
      <c r="EA51" s="11"/>
      <c r="EB51" s="11"/>
      <c r="EC51" s="11"/>
      <c r="ED51" s="11"/>
      <c r="EE51" s="11"/>
      <c r="EF51" s="11"/>
      <c r="EG51" s="11"/>
      <c r="EH51" s="11"/>
      <c r="EI51" s="11"/>
      <c r="EJ51" s="11"/>
      <c r="EK51" s="11"/>
      <c r="EL51" s="11"/>
      <c r="EM51" s="11"/>
      <c r="EN51" s="11"/>
      <c r="EO51" s="11"/>
      <c r="EP51" s="11"/>
      <c r="EQ51" s="11"/>
      <c r="ER51" s="11"/>
      <c r="ES51" s="11"/>
      <c r="ET51" s="11"/>
      <c r="EU51" s="11"/>
      <c r="EV51" s="11"/>
      <c r="EW51" s="11"/>
      <c r="EX51" s="11"/>
      <c r="EY51" s="11"/>
      <c r="EZ51" s="11"/>
      <c r="FA51" s="11"/>
      <c r="FB51" s="11"/>
      <c r="FC51" s="11"/>
      <c r="FD51" s="11"/>
      <c r="FE51" s="11"/>
      <c r="FF51" s="11"/>
      <c r="FG51" s="11"/>
      <c r="FH51" s="11"/>
      <c r="FI51" s="11"/>
      <c r="FJ51" s="11"/>
      <c r="FK51" s="11"/>
      <c r="FL51" s="11"/>
      <c r="FM51" s="11"/>
      <c r="FN51" s="11"/>
      <c r="FO51" s="11"/>
      <c r="FP51" s="11"/>
      <c r="FQ51" s="11"/>
      <c r="FR51" s="11"/>
      <c r="FS51" s="11"/>
      <c r="FT51" s="11"/>
      <c r="FU51" s="11"/>
      <c r="FV51" s="11"/>
      <c r="FW51" s="11"/>
      <c r="FX51" s="11"/>
      <c r="FY51" s="11"/>
      <c r="FZ51" s="11"/>
      <c r="GA51" s="11"/>
      <c r="GB51" s="11"/>
      <c r="GC51" s="11"/>
      <c r="GD51" s="11"/>
      <c r="GE51" s="11"/>
      <c r="GF51" s="11"/>
      <c r="GG51" s="11"/>
      <c r="GH51" s="11"/>
      <c r="GI51" s="11"/>
      <c r="GJ51" s="11"/>
      <c r="GK51" s="11"/>
      <c r="GL51" s="11"/>
      <c r="GM51" s="11"/>
      <c r="GN51" s="11"/>
      <c r="GO51" s="11"/>
      <c r="GP51" s="11"/>
      <c r="GQ51" s="11"/>
      <c r="GR51" s="11"/>
      <c r="GS51" s="11"/>
      <c r="GT51" s="11"/>
      <c r="GU51" s="11"/>
      <c r="GV51" s="11"/>
      <c r="GW51" s="11"/>
      <c r="GX51" s="11"/>
      <c r="GY51" s="11"/>
      <c r="GZ51" s="11"/>
      <c r="HA51" s="11"/>
      <c r="HB51" s="11"/>
      <c r="HC51" s="11"/>
      <c r="HD51" s="11"/>
      <c r="HE51" s="11"/>
      <c r="HF51" s="11"/>
      <c r="HG51" s="11"/>
      <c r="HH51" s="11"/>
      <c r="HI51" s="11"/>
      <c r="HJ51" s="11"/>
      <c r="HK51" s="11"/>
      <c r="HL51" s="11"/>
      <c r="HM51" s="11"/>
      <c r="HN51" s="11"/>
      <c r="HO51" s="11"/>
      <c r="HP51" s="11"/>
      <c r="HQ51" s="11"/>
      <c r="HR51" s="11"/>
      <c r="HS51" s="11"/>
      <c r="HT51" s="11"/>
      <c r="HU51" s="11"/>
      <c r="HV51" s="11"/>
      <c r="HW51" s="11"/>
      <c r="HX51" s="11"/>
      <c r="HY51" s="11"/>
      <c r="HZ51" s="11"/>
      <c r="IA51" s="11"/>
      <c r="IB51" s="11"/>
      <c r="IC51" s="11"/>
      <c r="ID51" s="11"/>
      <c r="IE51" s="11"/>
      <c r="IF51" s="11"/>
      <c r="IG51" s="11"/>
      <c r="IH51" s="11"/>
      <c r="II51" s="11"/>
      <c r="IJ51" s="11"/>
      <c r="IK51" s="11"/>
      <c r="IL51" s="11"/>
      <c r="IM51" s="11"/>
      <c r="IN51" s="11"/>
      <c r="IO51" s="11"/>
      <c r="IP51" s="11"/>
      <c r="IQ51" s="11"/>
      <c r="IR51" s="11"/>
      <c r="IS51" s="11"/>
      <c r="IT51" s="11"/>
      <c r="IU51" s="11"/>
      <c r="IV51" s="11"/>
      <c r="IW51" s="11"/>
      <c r="IX51" s="11"/>
      <c r="IY51" s="11"/>
      <c r="IZ51" s="11"/>
      <c r="JA51" s="11"/>
      <c r="JB51" s="11"/>
      <c r="JC51" s="11"/>
      <c r="JD51" s="11"/>
      <c r="JE51" s="11"/>
      <c r="JF51" s="11"/>
      <c r="JG51" s="11"/>
      <c r="JH51" s="11"/>
      <c r="JI51" s="11"/>
      <c r="JJ51" s="11"/>
      <c r="JK51" s="11"/>
      <c r="JL51" s="11"/>
      <c r="JM51" s="11"/>
      <c r="JN51" s="11"/>
      <c r="JO51" s="11"/>
      <c r="JP51" s="11"/>
      <c r="JQ51" s="11"/>
      <c r="JR51" s="11"/>
      <c r="JS51" s="11"/>
      <c r="JT51" s="11"/>
      <c r="JU51" s="11"/>
      <c r="JV51" s="11"/>
      <c r="JW51" s="11"/>
      <c r="JX51" s="11"/>
      <c r="JY51" s="11"/>
      <c r="JZ51" s="11"/>
      <c r="KA51" s="11"/>
      <c r="KB51" s="11"/>
      <c r="KC51" s="11"/>
      <c r="KD51" s="11"/>
      <c r="KE51" s="11"/>
      <c r="KF51" s="11"/>
      <c r="KG51" s="11"/>
      <c r="KH51" s="11"/>
      <c r="KI51" s="11"/>
      <c r="KJ51" s="11"/>
      <c r="KK51" s="11"/>
      <c r="KL51" s="11"/>
      <c r="KM51" s="11"/>
      <c r="KN51" s="11"/>
      <c r="KO51" s="11"/>
      <c r="KP51" s="11"/>
      <c r="KQ51" s="11"/>
      <c r="KR51" s="11"/>
      <c r="KS51" s="11"/>
      <c r="KT51" s="11"/>
      <c r="KU51" s="11"/>
      <c r="KV51" s="11"/>
      <c r="KW51" s="11"/>
      <c r="KX51" s="11"/>
      <c r="KY51" s="11"/>
      <c r="KZ51" s="11"/>
      <c r="LA51" s="11"/>
      <c r="LB51" s="11"/>
      <c r="LC51" s="11"/>
      <c r="LD51" s="11"/>
      <c r="LE51" s="11"/>
      <c r="LF51" s="11"/>
      <c r="LG51" s="11"/>
      <c r="LH51" s="11"/>
      <c r="LI51" s="11"/>
      <c r="LJ51" s="11"/>
      <c r="LK51" s="11"/>
      <c r="LL51" s="11"/>
      <c r="LM51" s="11"/>
      <c r="LN51" s="11"/>
      <c r="LO51" s="11"/>
      <c r="LP51" s="11"/>
      <c r="LQ51" s="11"/>
      <c r="LR51" s="11"/>
      <c r="LS51" s="11"/>
      <c r="LT51" s="11"/>
      <c r="LU51" s="11"/>
      <c r="LV51" s="11"/>
      <c r="LW51" s="11"/>
      <c r="LX51" s="11"/>
      <c r="LY51" s="11"/>
      <c r="LZ51" s="11"/>
      <c r="MA51" s="11"/>
      <c r="MB51" s="11"/>
      <c r="MC51" s="11"/>
      <c r="MD51" s="11"/>
      <c r="ME51" s="11"/>
      <c r="MF51" s="11"/>
      <c r="MG51" s="11"/>
      <c r="MH51" s="11"/>
      <c r="MI51" s="11"/>
      <c r="MJ51" s="11"/>
      <c r="MK51" s="11"/>
      <c r="ML51" s="11"/>
      <c r="MM51" s="11"/>
      <c r="MN51" s="11"/>
      <c r="MO51" s="11"/>
      <c r="MP51" s="11"/>
      <c r="MQ51" s="11"/>
      <c r="MR51" s="11"/>
      <c r="MS51" s="11"/>
      <c r="MT51" s="11"/>
      <c r="MU51" s="11"/>
      <c r="MV51" s="11"/>
      <c r="MW51" s="11"/>
      <c r="MX51" s="11"/>
      <c r="MY51" s="11"/>
      <c r="MZ51" s="11"/>
      <c r="NA51" s="11"/>
      <c r="NB51" s="11"/>
      <c r="NC51" s="11"/>
      <c r="ND51" s="11"/>
      <c r="NE51" s="11"/>
      <c r="NF51" s="11"/>
      <c r="NG51" s="11"/>
      <c r="NH51" s="11"/>
      <c r="NI51" s="11"/>
      <c r="NJ51" s="11"/>
      <c r="NK51" s="11"/>
      <c r="NL51" s="11"/>
      <c r="NM51" s="11"/>
      <c r="NN51" s="11"/>
      <c r="NO51" s="11"/>
      <c r="NP51" s="11"/>
      <c r="NQ51" s="11"/>
      <c r="NR51" s="11"/>
      <c r="NS51" s="11"/>
      <c r="NT51" s="11"/>
      <c r="NU51" s="11"/>
      <c r="NV51" s="11"/>
      <c r="NW51" s="11"/>
      <c r="NX51" s="11"/>
      <c r="NY51" s="11"/>
      <c r="NZ51" s="11"/>
      <c r="OA51" s="11"/>
      <c r="OB51" s="11"/>
      <c r="OC51" s="11"/>
      <c r="OD51" s="11"/>
      <c r="OE51" s="11"/>
      <c r="OF51" s="11"/>
      <c r="OG51" s="11"/>
      <c r="OH51" s="11"/>
      <c r="OI51" s="11"/>
      <c r="OJ51" s="11"/>
      <c r="OK51" s="11"/>
      <c r="OL51" s="11"/>
      <c r="OM51" s="11"/>
      <c r="ON51" s="11"/>
      <c r="OO51" s="11"/>
      <c r="OP51" s="11"/>
      <c r="OQ51" s="11"/>
      <c r="OR51" s="11"/>
      <c r="OS51" s="11"/>
      <c r="OT51" s="11"/>
      <c r="OU51" s="11"/>
      <c r="OV51" s="11"/>
      <c r="OW51" s="11"/>
      <c r="OX51" s="11"/>
      <c r="OY51" s="11"/>
      <c r="OZ51" s="11"/>
      <c r="PA51" s="11"/>
      <c r="PB51" s="11"/>
      <c r="PC51" s="11"/>
      <c r="PD51" s="11"/>
      <c r="PE51" s="11"/>
      <c r="PF51" s="11"/>
      <c r="PG51" s="11"/>
      <c r="PH51" s="11"/>
      <c r="PI51" s="11"/>
      <c r="PJ51" s="11"/>
      <c r="PK51" s="11"/>
      <c r="PL51" s="11"/>
      <c r="PM51" s="11"/>
      <c r="PN51" s="11"/>
      <c r="PO51" s="11"/>
      <c r="PP51" s="11"/>
      <c r="PQ51" s="11"/>
      <c r="PR51" s="11"/>
      <c r="PS51" s="11"/>
      <c r="PT51" s="11"/>
      <c r="PU51" s="11"/>
      <c r="PV51" s="11"/>
      <c r="PW51" s="11"/>
      <c r="PX51" s="11"/>
      <c r="PY51" s="11"/>
      <c r="PZ51" s="11"/>
      <c r="QA51" s="11"/>
      <c r="QB51" s="11"/>
      <c r="QC51" s="11"/>
      <c r="QD51" s="11"/>
      <c r="QE51" s="11"/>
      <c r="QF51" s="11"/>
      <c r="QG51" s="11"/>
      <c r="QH51" s="11"/>
      <c r="QI51" s="11"/>
      <c r="QJ51" s="11"/>
      <c r="QK51" s="11"/>
      <c r="QL51" s="11"/>
      <c r="QM51" s="11"/>
      <c r="QN51" s="11"/>
      <c r="QO51" s="11"/>
      <c r="QP51" s="11"/>
      <c r="QQ51" s="11"/>
      <c r="QR51" s="11"/>
      <c r="QS51" s="11"/>
      <c r="QT51" s="11"/>
      <c r="QU51" s="11"/>
      <c r="QV51" s="11"/>
      <c r="QW51" s="11"/>
      <c r="QX51" s="11"/>
      <c r="QY51" s="11"/>
      <c r="QZ51" s="11"/>
      <c r="RA51" s="11"/>
      <c r="RB51" s="11"/>
      <c r="RC51" s="11"/>
      <c r="RD51" s="11"/>
      <c r="RE51" s="11"/>
      <c r="RF51" s="11"/>
      <c r="RG51" s="11"/>
      <c r="RH51" s="11"/>
      <c r="RI51" s="11"/>
      <c r="RJ51" s="11"/>
      <c r="RK51" s="11"/>
      <c r="RL51" s="11"/>
      <c r="RM51" s="11"/>
      <c r="RN51" s="11"/>
      <c r="RO51" s="11"/>
      <c r="RP51" s="11"/>
      <c r="RQ51" s="11"/>
      <c r="RR51" s="11"/>
      <c r="RS51" s="11"/>
      <c r="RT51" s="11"/>
      <c r="RU51" s="11"/>
      <c r="RV51" s="11"/>
      <c r="RW51" s="11"/>
      <c r="RX51" s="11"/>
      <c r="RY51" s="11"/>
      <c r="RZ51" s="11"/>
      <c r="SA51" s="11"/>
      <c r="SB51" s="11"/>
      <c r="SC51" s="11"/>
      <c r="SD51" s="11"/>
      <c r="SE51" s="11"/>
      <c r="SF51" s="11"/>
      <c r="SG51" s="11"/>
      <c r="SH51" s="11"/>
      <c r="SI51" s="11"/>
      <c r="SJ51" s="11"/>
      <c r="SK51" s="11"/>
      <c r="SL51" s="11"/>
      <c r="SM51" s="11"/>
      <c r="SN51" s="11"/>
      <c r="SO51" s="11"/>
      <c r="SP51" s="11"/>
      <c r="SQ51" s="11"/>
      <c r="SR51" s="11"/>
      <c r="SS51" s="11"/>
      <c r="ST51" s="11"/>
      <c r="SU51" s="11"/>
      <c r="SV51" s="11"/>
      <c r="SW51" s="11"/>
      <c r="SX51" s="11"/>
      <c r="SY51" s="11"/>
      <c r="SZ51" s="11"/>
      <c r="TA51" s="11"/>
      <c r="TB51" s="11"/>
      <c r="TC51" s="11"/>
      <c r="TD51" s="11"/>
      <c r="TE51" s="11"/>
      <c r="TF51" s="11"/>
      <c r="TG51" s="11"/>
      <c r="TH51" s="11"/>
      <c r="TI51" s="11"/>
      <c r="TJ51" s="11"/>
      <c r="TK51" s="11"/>
      <c r="TL51" s="11"/>
      <c r="TM51" s="11"/>
      <c r="TN51" s="11"/>
      <c r="TO51" s="11"/>
      <c r="TP51" s="11"/>
      <c r="TQ51" s="11"/>
      <c r="TR51" s="11"/>
      <c r="TS51" s="11"/>
      <c r="TT51" s="11"/>
      <c r="TU51" s="11"/>
      <c r="TV51" s="11"/>
      <c r="TW51" s="11"/>
      <c r="TX51" s="11"/>
      <c r="TY51" s="11"/>
      <c r="TZ51" s="11"/>
      <c r="UA51" s="11"/>
      <c r="UB51" s="11"/>
      <c r="UC51" s="11"/>
      <c r="UD51" s="11"/>
      <c r="UE51" s="11"/>
      <c r="UF51" s="11"/>
      <c r="UG51" s="11"/>
      <c r="UH51" s="11"/>
      <c r="UI51" s="11"/>
      <c r="UJ51" s="11"/>
      <c r="UK51" s="11"/>
      <c r="UL51" s="11"/>
      <c r="UM51" s="11"/>
      <c r="UN51" s="11"/>
      <c r="UO51" s="11"/>
      <c r="UP51" s="11"/>
      <c r="UQ51" s="11"/>
      <c r="UR51" s="11"/>
      <c r="US51" s="11"/>
      <c r="UT51" s="11"/>
      <c r="UU51" s="11"/>
      <c r="UV51" s="11"/>
      <c r="UW51" s="11"/>
      <c r="UX51" s="11"/>
      <c r="UY51" s="11"/>
      <c r="UZ51" s="11"/>
      <c r="VA51" s="11"/>
      <c r="VB51" s="11"/>
      <c r="VC51" s="11"/>
      <c r="VD51" s="11"/>
      <c r="VE51" s="11"/>
      <c r="VF51" s="11"/>
      <c r="VG51" s="11"/>
      <c r="VH51" s="11"/>
      <c r="VI51" s="11"/>
      <c r="VJ51" s="11"/>
      <c r="VK51" s="11"/>
      <c r="VL51" s="11"/>
      <c r="VM51" s="11"/>
      <c r="VN51" s="11"/>
      <c r="VO51" s="11"/>
      <c r="VP51" s="11"/>
      <c r="VQ51" s="11"/>
      <c r="VR51" s="11"/>
      <c r="VS51" s="11"/>
      <c r="VT51" s="11"/>
      <c r="VU51" s="11"/>
      <c r="VV51" s="11"/>
      <c r="VW51" s="11"/>
      <c r="VX51" s="11"/>
      <c r="VY51" s="11"/>
      <c r="VZ51" s="11"/>
      <c r="WA51" s="11"/>
      <c r="WB51" s="11"/>
      <c r="WC51" s="11"/>
      <c r="WD51" s="11"/>
      <c r="WE51" s="11"/>
      <c r="WF51" s="11"/>
      <c r="WG51" s="11"/>
      <c r="WH51" s="11"/>
      <c r="WI51" s="11"/>
      <c r="WJ51" s="11"/>
      <c r="WK51" s="11"/>
      <c r="WL51" s="11"/>
      <c r="WM51" s="11"/>
      <c r="WN51" s="11"/>
      <c r="WO51" s="11"/>
      <c r="WP51" s="11"/>
      <c r="WQ51" s="11"/>
      <c r="WR51" s="11"/>
      <c r="WS51" s="11"/>
      <c r="WT51" s="11"/>
      <c r="WU51" s="11"/>
      <c r="WV51" s="11"/>
      <c r="WW51" s="11"/>
      <c r="WX51" s="11"/>
      <c r="WY51" s="11"/>
      <c r="WZ51" s="11"/>
      <c r="XA51" s="11"/>
      <c r="XB51" s="11"/>
      <c r="XC51" s="11"/>
      <c r="XD51" s="11"/>
      <c r="XE51" s="11"/>
      <c r="XF51" s="11"/>
      <c r="XG51" s="11"/>
      <c r="XH51" s="11"/>
      <c r="XI51" s="11"/>
      <c r="XJ51" s="11"/>
      <c r="XK51" s="11"/>
      <c r="XL51" s="11"/>
      <c r="XM51" s="11"/>
      <c r="XN51" s="11"/>
      <c r="XO51" s="11"/>
      <c r="XP51" s="11"/>
      <c r="XQ51" s="11"/>
      <c r="XR51" s="11"/>
      <c r="XS51" s="11"/>
      <c r="XT51" s="11"/>
      <c r="XU51" s="11"/>
      <c r="XV51" s="11"/>
      <c r="XW51" s="11"/>
      <c r="XX51" s="11"/>
      <c r="XY51" s="11"/>
      <c r="XZ51" s="11"/>
      <c r="YA51" s="11"/>
      <c r="YB51" s="11"/>
      <c r="YC51" s="11"/>
      <c r="YD51" s="11"/>
      <c r="YE51" s="11"/>
      <c r="YF51" s="11"/>
      <c r="YG51" s="11"/>
      <c r="YH51" s="11"/>
      <c r="YI51" s="11"/>
      <c r="YJ51" s="11"/>
      <c r="YK51" s="11"/>
      <c r="YL51" s="11"/>
      <c r="YM51" s="11"/>
      <c r="YN51" s="11"/>
      <c r="YO51" s="11"/>
      <c r="YP51" s="11"/>
      <c r="YQ51" s="11"/>
      <c r="YR51" s="11"/>
      <c r="YS51" s="11"/>
      <c r="YT51" s="11"/>
      <c r="YU51" s="11"/>
      <c r="YV51" s="11"/>
      <c r="YW51" s="11"/>
      <c r="YX51" s="11"/>
      <c r="YY51" s="11"/>
      <c r="YZ51" s="11"/>
      <c r="ZA51" s="11"/>
      <c r="ZB51" s="11"/>
      <c r="ZC51" s="11"/>
      <c r="ZD51" s="11"/>
      <c r="ZE51" s="11"/>
      <c r="ZF51" s="11"/>
      <c r="ZG51" s="11"/>
      <c r="ZH51" s="11"/>
      <c r="ZI51" s="11"/>
      <c r="ZJ51" s="11"/>
      <c r="ZK51" s="11"/>
      <c r="ZL51" s="11"/>
      <c r="ZM51" s="11"/>
      <c r="ZN51" s="11"/>
      <c r="ZO51" s="11"/>
      <c r="ZP51" s="11"/>
      <c r="ZQ51" s="11"/>
      <c r="ZR51" s="11"/>
      <c r="ZS51" s="11"/>
      <c r="ZT51" s="11"/>
      <c r="ZU51" s="11"/>
      <c r="ZV51" s="11"/>
      <c r="ZW51" s="11"/>
      <c r="ZX51" s="11"/>
      <c r="ZY51" s="11"/>
      <c r="ZZ51" s="11"/>
      <c r="AAA51" s="11"/>
      <c r="AAB51" s="11"/>
      <c r="AAC51" s="11"/>
      <c r="AAD51" s="11"/>
      <c r="AAE51" s="11"/>
      <c r="AAF51" s="11"/>
      <c r="AAG51" s="11"/>
      <c r="AAH51" s="11"/>
      <c r="AAI51" s="11"/>
      <c r="AAJ51" s="11"/>
      <c r="AAK51" s="11"/>
      <c r="AAL51" s="11"/>
    </row>
    <row r="52" spans="1:714" s="6" customFormat="1" x14ac:dyDescent="0.3">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c r="CJ52" s="11"/>
      <c r="CK52" s="11"/>
      <c r="CL52" s="11"/>
      <c r="CM52" s="11"/>
      <c r="CN52" s="11"/>
      <c r="CO52" s="11"/>
      <c r="CP52" s="11"/>
      <c r="CQ52" s="11"/>
      <c r="CR52" s="11"/>
      <c r="CS52" s="11"/>
      <c r="CT52" s="11"/>
      <c r="CU52" s="11"/>
      <c r="CV52" s="11"/>
      <c r="CW52" s="11"/>
      <c r="CX52" s="11"/>
      <c r="CY52" s="11"/>
      <c r="CZ52" s="11"/>
      <c r="DA52" s="11"/>
      <c r="DB52" s="11"/>
      <c r="DC52" s="11"/>
      <c r="DD52" s="11"/>
      <c r="DE52" s="11"/>
      <c r="DF52" s="11"/>
      <c r="DG52" s="11"/>
      <c r="DH52" s="11"/>
      <c r="DI52" s="11"/>
      <c r="DJ52" s="11"/>
      <c r="DK52" s="11"/>
      <c r="DL52" s="11"/>
      <c r="DM52" s="11"/>
      <c r="DN52" s="11"/>
      <c r="DO52" s="11"/>
      <c r="DP52" s="11"/>
      <c r="DQ52" s="11"/>
      <c r="DR52" s="11"/>
      <c r="DS52" s="11"/>
      <c r="DT52" s="11"/>
      <c r="DU52" s="11"/>
      <c r="DV52" s="11"/>
      <c r="DW52" s="11"/>
      <c r="DX52" s="11"/>
      <c r="DY52" s="11"/>
      <c r="DZ52" s="11"/>
      <c r="EA52" s="11"/>
      <c r="EB52" s="11"/>
      <c r="EC52" s="11"/>
      <c r="ED52" s="11"/>
      <c r="EE52" s="11"/>
      <c r="EF52" s="11"/>
      <c r="EG52" s="11"/>
      <c r="EH52" s="11"/>
      <c r="EI52" s="11"/>
      <c r="EJ52" s="11"/>
      <c r="EK52" s="11"/>
      <c r="EL52" s="11"/>
      <c r="EM52" s="11"/>
      <c r="EN52" s="11"/>
      <c r="EO52" s="11"/>
      <c r="EP52" s="11"/>
      <c r="EQ52" s="11"/>
      <c r="ER52" s="11"/>
      <c r="ES52" s="11"/>
      <c r="ET52" s="11"/>
      <c r="EU52" s="11"/>
      <c r="EV52" s="11"/>
      <c r="EW52" s="11"/>
      <c r="EX52" s="11"/>
      <c r="EY52" s="11"/>
      <c r="EZ52" s="11"/>
      <c r="FA52" s="11"/>
      <c r="FB52" s="11"/>
      <c r="FC52" s="11"/>
      <c r="FD52" s="11"/>
      <c r="FE52" s="11"/>
      <c r="FF52" s="11"/>
      <c r="FG52" s="11"/>
      <c r="FH52" s="11"/>
      <c r="FI52" s="11"/>
      <c r="FJ52" s="11"/>
      <c r="FK52" s="11"/>
      <c r="FL52" s="11"/>
      <c r="FM52" s="11"/>
      <c r="FN52" s="11"/>
      <c r="FO52" s="11"/>
      <c r="FP52" s="11"/>
      <c r="FQ52" s="11"/>
      <c r="FR52" s="11"/>
      <c r="FS52" s="11"/>
      <c r="FT52" s="11"/>
      <c r="FU52" s="11"/>
      <c r="FV52" s="11"/>
      <c r="FW52" s="11"/>
      <c r="FX52" s="11"/>
      <c r="FY52" s="11"/>
      <c r="FZ52" s="11"/>
      <c r="GA52" s="11"/>
      <c r="GB52" s="11"/>
      <c r="GC52" s="11"/>
      <c r="GD52" s="11"/>
      <c r="GE52" s="11"/>
      <c r="GF52" s="11"/>
      <c r="GG52" s="11"/>
      <c r="GH52" s="11"/>
      <c r="GI52" s="11"/>
      <c r="GJ52" s="11"/>
      <c r="GK52" s="11"/>
      <c r="GL52" s="11"/>
      <c r="GM52" s="11"/>
      <c r="GN52" s="11"/>
      <c r="GO52" s="11"/>
      <c r="GP52" s="11"/>
      <c r="GQ52" s="11"/>
      <c r="GR52" s="11"/>
      <c r="GS52" s="11"/>
      <c r="GT52" s="11"/>
      <c r="GU52" s="11"/>
      <c r="GV52" s="11"/>
      <c r="GW52" s="11"/>
      <c r="GX52" s="11"/>
      <c r="GY52" s="11"/>
      <c r="GZ52" s="11"/>
      <c r="HA52" s="11"/>
      <c r="HB52" s="11"/>
      <c r="HC52" s="11"/>
      <c r="HD52" s="11"/>
      <c r="HE52" s="11"/>
      <c r="HF52" s="11"/>
      <c r="HG52" s="11"/>
      <c r="HH52" s="11"/>
      <c r="HI52" s="11"/>
      <c r="HJ52" s="11"/>
      <c r="HK52" s="11"/>
      <c r="HL52" s="11"/>
      <c r="HM52" s="11"/>
      <c r="HN52" s="11"/>
      <c r="HO52" s="11"/>
      <c r="HP52" s="11"/>
      <c r="HQ52" s="11"/>
      <c r="HR52" s="11"/>
      <c r="HS52" s="11"/>
      <c r="HT52" s="11"/>
      <c r="HU52" s="11"/>
      <c r="HV52" s="11"/>
      <c r="HW52" s="11"/>
      <c r="HX52" s="11"/>
      <c r="HY52" s="11"/>
      <c r="HZ52" s="11"/>
      <c r="IA52" s="11"/>
      <c r="IB52" s="11"/>
      <c r="IC52" s="11"/>
      <c r="ID52" s="11"/>
      <c r="IE52" s="11"/>
      <c r="IF52" s="11"/>
      <c r="IG52" s="11"/>
      <c r="IH52" s="11"/>
      <c r="II52" s="11"/>
      <c r="IJ52" s="11"/>
      <c r="IK52" s="11"/>
      <c r="IL52" s="11"/>
      <c r="IM52" s="11"/>
      <c r="IN52" s="11"/>
      <c r="IO52" s="11"/>
      <c r="IP52" s="11"/>
      <c r="IQ52" s="11"/>
      <c r="IR52" s="11"/>
      <c r="IS52" s="11"/>
      <c r="IT52" s="11"/>
      <c r="IU52" s="11"/>
      <c r="IV52" s="11"/>
      <c r="IW52" s="11"/>
      <c r="IX52" s="11"/>
      <c r="IY52" s="11"/>
      <c r="IZ52" s="11"/>
      <c r="JA52" s="11"/>
      <c r="JB52" s="11"/>
      <c r="JC52" s="11"/>
      <c r="JD52" s="11"/>
      <c r="JE52" s="11"/>
      <c r="JF52" s="11"/>
      <c r="JG52" s="11"/>
      <c r="JH52" s="11"/>
      <c r="JI52" s="11"/>
      <c r="JJ52" s="11"/>
      <c r="JK52" s="11"/>
      <c r="JL52" s="11"/>
      <c r="JM52" s="11"/>
      <c r="JN52" s="11"/>
      <c r="JO52" s="11"/>
      <c r="JP52" s="11"/>
      <c r="JQ52" s="11"/>
      <c r="JR52" s="11"/>
      <c r="JS52" s="11"/>
      <c r="JT52" s="11"/>
      <c r="JU52" s="11"/>
      <c r="JV52" s="11"/>
      <c r="JW52" s="11"/>
      <c r="JX52" s="11"/>
      <c r="JY52" s="11"/>
      <c r="JZ52" s="11"/>
      <c r="KA52" s="11"/>
      <c r="KB52" s="11"/>
      <c r="KC52" s="11"/>
      <c r="KD52" s="11"/>
      <c r="KE52" s="11"/>
      <c r="KF52" s="11"/>
      <c r="KG52" s="11"/>
      <c r="KH52" s="11"/>
      <c r="KI52" s="11"/>
      <c r="KJ52" s="11"/>
      <c r="KK52" s="11"/>
      <c r="KL52" s="11"/>
      <c r="KM52" s="11"/>
      <c r="KN52" s="11"/>
      <c r="KO52" s="11"/>
      <c r="KP52" s="11"/>
      <c r="KQ52" s="11"/>
      <c r="KR52" s="11"/>
      <c r="KS52" s="11"/>
      <c r="KT52" s="11"/>
      <c r="KU52" s="11"/>
      <c r="KV52" s="11"/>
      <c r="KW52" s="11"/>
      <c r="KX52" s="11"/>
      <c r="KY52" s="11"/>
      <c r="KZ52" s="11"/>
      <c r="LA52" s="11"/>
      <c r="LB52" s="11"/>
      <c r="LC52" s="11"/>
      <c r="LD52" s="11"/>
      <c r="LE52" s="11"/>
      <c r="LF52" s="11"/>
      <c r="LG52" s="11"/>
      <c r="LH52" s="11"/>
      <c r="LI52" s="11"/>
      <c r="LJ52" s="11"/>
      <c r="LK52" s="11"/>
      <c r="LL52" s="11"/>
      <c r="LM52" s="11"/>
      <c r="LN52" s="11"/>
      <c r="LO52" s="11"/>
      <c r="LP52" s="11"/>
      <c r="LQ52" s="11"/>
      <c r="LR52" s="11"/>
      <c r="LS52" s="11"/>
      <c r="LT52" s="11"/>
      <c r="LU52" s="11"/>
      <c r="LV52" s="11"/>
      <c r="LW52" s="11"/>
      <c r="LX52" s="11"/>
      <c r="LY52" s="11"/>
      <c r="LZ52" s="11"/>
      <c r="MA52" s="11"/>
      <c r="MB52" s="11"/>
      <c r="MC52" s="11"/>
      <c r="MD52" s="11"/>
      <c r="ME52" s="11"/>
      <c r="MF52" s="11"/>
      <c r="MG52" s="11"/>
      <c r="MH52" s="11"/>
      <c r="MI52" s="11"/>
      <c r="MJ52" s="11"/>
      <c r="MK52" s="11"/>
      <c r="ML52" s="11"/>
      <c r="MM52" s="11"/>
      <c r="MN52" s="11"/>
      <c r="MO52" s="11"/>
      <c r="MP52" s="11"/>
      <c r="MQ52" s="11"/>
      <c r="MR52" s="11"/>
      <c r="MS52" s="11"/>
      <c r="MT52" s="11"/>
      <c r="MU52" s="11"/>
      <c r="MV52" s="11"/>
      <c r="MW52" s="11"/>
      <c r="MX52" s="11"/>
      <c r="MY52" s="11"/>
      <c r="MZ52" s="11"/>
      <c r="NA52" s="11"/>
      <c r="NB52" s="11"/>
      <c r="NC52" s="11"/>
      <c r="ND52" s="11"/>
      <c r="NE52" s="11"/>
      <c r="NF52" s="11"/>
      <c r="NG52" s="11"/>
      <c r="NH52" s="11"/>
      <c r="NI52" s="11"/>
      <c r="NJ52" s="11"/>
      <c r="NK52" s="11"/>
      <c r="NL52" s="11"/>
      <c r="NM52" s="11"/>
      <c r="NN52" s="11"/>
      <c r="NO52" s="11"/>
      <c r="NP52" s="11"/>
      <c r="NQ52" s="11"/>
      <c r="NR52" s="11"/>
      <c r="NS52" s="11"/>
      <c r="NT52" s="11"/>
      <c r="NU52" s="11"/>
      <c r="NV52" s="11"/>
      <c r="NW52" s="11"/>
      <c r="NX52" s="11"/>
      <c r="NY52" s="11"/>
      <c r="NZ52" s="11"/>
      <c r="OA52" s="11"/>
      <c r="OB52" s="11"/>
      <c r="OC52" s="11"/>
      <c r="OD52" s="11"/>
      <c r="OE52" s="11"/>
      <c r="OF52" s="11"/>
      <c r="OG52" s="11"/>
      <c r="OH52" s="11"/>
      <c r="OI52" s="11"/>
      <c r="OJ52" s="11"/>
      <c r="OK52" s="11"/>
      <c r="OL52" s="11"/>
      <c r="OM52" s="11"/>
      <c r="ON52" s="11"/>
      <c r="OO52" s="11"/>
      <c r="OP52" s="11"/>
      <c r="OQ52" s="11"/>
      <c r="OR52" s="11"/>
      <c r="OS52" s="11"/>
      <c r="OT52" s="11"/>
      <c r="OU52" s="11"/>
      <c r="OV52" s="11"/>
      <c r="OW52" s="11"/>
      <c r="OX52" s="11"/>
      <c r="OY52" s="11"/>
      <c r="OZ52" s="11"/>
      <c r="PA52" s="11"/>
      <c r="PB52" s="11"/>
      <c r="PC52" s="11"/>
      <c r="PD52" s="11"/>
      <c r="PE52" s="11"/>
      <c r="PF52" s="11"/>
      <c r="PG52" s="11"/>
      <c r="PH52" s="11"/>
      <c r="PI52" s="11"/>
      <c r="PJ52" s="11"/>
      <c r="PK52" s="11"/>
      <c r="PL52" s="11"/>
      <c r="PM52" s="11"/>
      <c r="PN52" s="11"/>
      <c r="PO52" s="11"/>
      <c r="PP52" s="11"/>
      <c r="PQ52" s="11"/>
      <c r="PR52" s="11"/>
      <c r="PS52" s="11"/>
      <c r="PT52" s="11"/>
      <c r="PU52" s="11"/>
      <c r="PV52" s="11"/>
      <c r="PW52" s="11"/>
      <c r="PX52" s="11"/>
      <c r="PY52" s="11"/>
      <c r="PZ52" s="11"/>
      <c r="QA52" s="11"/>
      <c r="QB52" s="11"/>
      <c r="QC52" s="11"/>
      <c r="QD52" s="11"/>
      <c r="QE52" s="11"/>
      <c r="QF52" s="11"/>
      <c r="QG52" s="11"/>
      <c r="QH52" s="11"/>
      <c r="QI52" s="11"/>
      <c r="QJ52" s="11"/>
      <c r="QK52" s="11"/>
      <c r="QL52" s="11"/>
      <c r="QM52" s="11"/>
      <c r="QN52" s="11"/>
      <c r="QO52" s="11"/>
      <c r="QP52" s="11"/>
      <c r="QQ52" s="11"/>
      <c r="QR52" s="11"/>
      <c r="QS52" s="11"/>
      <c r="QT52" s="11"/>
      <c r="QU52" s="11"/>
      <c r="QV52" s="11"/>
      <c r="QW52" s="11"/>
      <c r="QX52" s="11"/>
      <c r="QY52" s="11"/>
      <c r="QZ52" s="11"/>
      <c r="RA52" s="11"/>
      <c r="RB52" s="11"/>
      <c r="RC52" s="11"/>
      <c r="RD52" s="11"/>
      <c r="RE52" s="11"/>
      <c r="RF52" s="11"/>
      <c r="RG52" s="11"/>
      <c r="RH52" s="11"/>
      <c r="RI52" s="11"/>
      <c r="RJ52" s="11"/>
      <c r="RK52" s="11"/>
      <c r="RL52" s="11"/>
      <c r="RM52" s="11"/>
      <c r="RN52" s="11"/>
      <c r="RO52" s="11"/>
      <c r="RP52" s="11"/>
      <c r="RQ52" s="11"/>
      <c r="RR52" s="11"/>
      <c r="RS52" s="11"/>
      <c r="RT52" s="11"/>
      <c r="RU52" s="11"/>
      <c r="RV52" s="11"/>
      <c r="RW52" s="11"/>
      <c r="RX52" s="11"/>
      <c r="RY52" s="11"/>
      <c r="RZ52" s="11"/>
      <c r="SA52" s="11"/>
      <c r="SB52" s="11"/>
      <c r="SC52" s="11"/>
      <c r="SD52" s="11"/>
      <c r="SE52" s="11"/>
      <c r="SF52" s="11"/>
      <c r="SG52" s="11"/>
      <c r="SH52" s="11"/>
      <c r="SI52" s="11"/>
      <c r="SJ52" s="11"/>
      <c r="SK52" s="11"/>
      <c r="SL52" s="11"/>
      <c r="SM52" s="11"/>
      <c r="SN52" s="11"/>
      <c r="SO52" s="11"/>
      <c r="SP52" s="11"/>
      <c r="SQ52" s="11"/>
      <c r="SR52" s="11"/>
      <c r="SS52" s="11"/>
      <c r="ST52" s="11"/>
      <c r="SU52" s="11"/>
      <c r="SV52" s="11"/>
      <c r="SW52" s="11"/>
      <c r="SX52" s="11"/>
      <c r="SY52" s="11"/>
      <c r="SZ52" s="11"/>
      <c r="TA52" s="11"/>
      <c r="TB52" s="11"/>
      <c r="TC52" s="11"/>
      <c r="TD52" s="11"/>
      <c r="TE52" s="11"/>
      <c r="TF52" s="11"/>
      <c r="TG52" s="11"/>
      <c r="TH52" s="11"/>
      <c r="TI52" s="11"/>
      <c r="TJ52" s="11"/>
      <c r="TK52" s="11"/>
      <c r="TL52" s="11"/>
      <c r="TM52" s="11"/>
      <c r="TN52" s="11"/>
      <c r="TO52" s="11"/>
      <c r="TP52" s="11"/>
      <c r="TQ52" s="11"/>
      <c r="TR52" s="11"/>
      <c r="TS52" s="11"/>
      <c r="TT52" s="11"/>
      <c r="TU52" s="11"/>
      <c r="TV52" s="11"/>
      <c r="TW52" s="11"/>
      <c r="TX52" s="11"/>
      <c r="TY52" s="11"/>
      <c r="TZ52" s="11"/>
      <c r="UA52" s="11"/>
      <c r="UB52" s="11"/>
      <c r="UC52" s="11"/>
      <c r="UD52" s="11"/>
      <c r="UE52" s="11"/>
      <c r="UF52" s="11"/>
      <c r="UG52" s="11"/>
      <c r="UH52" s="11"/>
      <c r="UI52" s="11"/>
      <c r="UJ52" s="11"/>
      <c r="UK52" s="11"/>
      <c r="UL52" s="11"/>
      <c r="UM52" s="11"/>
      <c r="UN52" s="11"/>
      <c r="UO52" s="11"/>
      <c r="UP52" s="11"/>
      <c r="UQ52" s="11"/>
      <c r="UR52" s="11"/>
      <c r="US52" s="11"/>
      <c r="UT52" s="11"/>
      <c r="UU52" s="11"/>
      <c r="UV52" s="11"/>
      <c r="UW52" s="11"/>
      <c r="UX52" s="11"/>
      <c r="UY52" s="11"/>
      <c r="UZ52" s="11"/>
      <c r="VA52" s="11"/>
      <c r="VB52" s="11"/>
      <c r="VC52" s="11"/>
      <c r="VD52" s="11"/>
      <c r="VE52" s="11"/>
      <c r="VF52" s="11"/>
      <c r="VG52" s="11"/>
      <c r="VH52" s="11"/>
      <c r="VI52" s="11"/>
      <c r="VJ52" s="11"/>
      <c r="VK52" s="11"/>
      <c r="VL52" s="11"/>
      <c r="VM52" s="11"/>
      <c r="VN52" s="11"/>
      <c r="VO52" s="11"/>
      <c r="VP52" s="11"/>
      <c r="VQ52" s="11"/>
      <c r="VR52" s="11"/>
      <c r="VS52" s="11"/>
      <c r="VT52" s="11"/>
      <c r="VU52" s="11"/>
      <c r="VV52" s="11"/>
      <c r="VW52" s="11"/>
      <c r="VX52" s="11"/>
      <c r="VY52" s="11"/>
      <c r="VZ52" s="11"/>
      <c r="WA52" s="11"/>
      <c r="WB52" s="11"/>
      <c r="WC52" s="11"/>
      <c r="WD52" s="11"/>
      <c r="WE52" s="11"/>
      <c r="WF52" s="11"/>
      <c r="WG52" s="11"/>
      <c r="WH52" s="11"/>
      <c r="WI52" s="11"/>
      <c r="WJ52" s="11"/>
      <c r="WK52" s="11"/>
      <c r="WL52" s="11"/>
      <c r="WM52" s="11"/>
      <c r="WN52" s="11"/>
      <c r="WO52" s="11"/>
      <c r="WP52" s="11"/>
      <c r="WQ52" s="11"/>
      <c r="WR52" s="11"/>
      <c r="WS52" s="11"/>
      <c r="WT52" s="11"/>
      <c r="WU52" s="11"/>
      <c r="WV52" s="11"/>
      <c r="WW52" s="11"/>
      <c r="WX52" s="11"/>
      <c r="WY52" s="11"/>
      <c r="WZ52" s="11"/>
      <c r="XA52" s="11"/>
      <c r="XB52" s="11"/>
      <c r="XC52" s="11"/>
      <c r="XD52" s="11"/>
      <c r="XE52" s="11"/>
      <c r="XF52" s="11"/>
      <c r="XG52" s="11"/>
      <c r="XH52" s="11"/>
      <c r="XI52" s="11"/>
      <c r="XJ52" s="11"/>
      <c r="XK52" s="11"/>
      <c r="XL52" s="11"/>
      <c r="XM52" s="11"/>
      <c r="XN52" s="11"/>
      <c r="XO52" s="11"/>
      <c r="XP52" s="11"/>
      <c r="XQ52" s="11"/>
      <c r="XR52" s="11"/>
      <c r="XS52" s="11"/>
      <c r="XT52" s="11"/>
      <c r="XU52" s="11"/>
      <c r="XV52" s="11"/>
      <c r="XW52" s="11"/>
      <c r="XX52" s="11"/>
      <c r="XY52" s="11"/>
      <c r="XZ52" s="11"/>
      <c r="YA52" s="11"/>
      <c r="YB52" s="11"/>
      <c r="YC52" s="11"/>
      <c r="YD52" s="11"/>
      <c r="YE52" s="11"/>
      <c r="YF52" s="11"/>
      <c r="YG52" s="11"/>
      <c r="YH52" s="11"/>
      <c r="YI52" s="11"/>
      <c r="YJ52" s="11"/>
      <c r="YK52" s="11"/>
      <c r="YL52" s="11"/>
      <c r="YM52" s="11"/>
      <c r="YN52" s="11"/>
      <c r="YO52" s="11"/>
      <c r="YP52" s="11"/>
      <c r="YQ52" s="11"/>
      <c r="YR52" s="11"/>
      <c r="YS52" s="11"/>
      <c r="YT52" s="11"/>
      <c r="YU52" s="11"/>
      <c r="YV52" s="11"/>
      <c r="YW52" s="11"/>
      <c r="YX52" s="11"/>
      <c r="YY52" s="11"/>
      <c r="YZ52" s="11"/>
      <c r="ZA52" s="11"/>
      <c r="ZB52" s="11"/>
      <c r="ZC52" s="11"/>
      <c r="ZD52" s="11"/>
      <c r="ZE52" s="11"/>
      <c r="ZF52" s="11"/>
      <c r="ZG52" s="11"/>
      <c r="ZH52" s="11"/>
      <c r="ZI52" s="11"/>
      <c r="ZJ52" s="11"/>
      <c r="ZK52" s="11"/>
      <c r="ZL52" s="11"/>
      <c r="ZM52" s="11"/>
      <c r="ZN52" s="11"/>
      <c r="ZO52" s="11"/>
      <c r="ZP52" s="11"/>
      <c r="ZQ52" s="11"/>
      <c r="ZR52" s="11"/>
      <c r="ZS52" s="11"/>
      <c r="ZT52" s="11"/>
      <c r="ZU52" s="11"/>
      <c r="ZV52" s="11"/>
      <c r="ZW52" s="11"/>
      <c r="ZX52" s="11"/>
      <c r="ZY52" s="11"/>
      <c r="ZZ52" s="11"/>
      <c r="AAA52" s="11"/>
      <c r="AAB52" s="11"/>
      <c r="AAC52" s="11"/>
      <c r="AAD52" s="11"/>
      <c r="AAE52" s="11"/>
      <c r="AAF52" s="11"/>
      <c r="AAG52" s="11"/>
      <c r="AAH52" s="11"/>
      <c r="AAI52" s="11"/>
      <c r="AAJ52" s="11"/>
      <c r="AAK52" s="11"/>
      <c r="AAL52" s="11"/>
    </row>
    <row r="53" spans="1:714" s="6" customFormat="1" x14ac:dyDescent="0.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c r="CR53" s="11"/>
      <c r="CS53" s="11"/>
      <c r="CT53" s="11"/>
      <c r="CU53" s="11"/>
      <c r="CV53" s="11"/>
      <c r="CW53" s="11"/>
      <c r="CX53" s="11"/>
      <c r="CY53" s="11"/>
      <c r="CZ53" s="11"/>
      <c r="DA53" s="11"/>
      <c r="DB53" s="11"/>
      <c r="DC53" s="11"/>
      <c r="DD53" s="11"/>
      <c r="DE53" s="11"/>
      <c r="DF53" s="11"/>
      <c r="DG53" s="11"/>
      <c r="DH53" s="11"/>
      <c r="DI53" s="11"/>
      <c r="DJ53" s="11"/>
      <c r="DK53" s="11"/>
      <c r="DL53" s="11"/>
      <c r="DM53" s="11"/>
      <c r="DN53" s="11"/>
      <c r="DO53" s="11"/>
      <c r="DP53" s="11"/>
      <c r="DQ53" s="11"/>
      <c r="DR53" s="11"/>
      <c r="DS53" s="11"/>
      <c r="DT53" s="11"/>
      <c r="DU53" s="11"/>
      <c r="DV53" s="11"/>
      <c r="DW53" s="11"/>
      <c r="DX53" s="11"/>
      <c r="DY53" s="11"/>
      <c r="DZ53" s="11"/>
      <c r="EA53" s="11"/>
      <c r="EB53" s="11"/>
      <c r="EC53" s="11"/>
      <c r="ED53" s="11"/>
      <c r="EE53" s="11"/>
      <c r="EF53" s="11"/>
      <c r="EG53" s="11"/>
      <c r="EH53" s="11"/>
      <c r="EI53" s="11"/>
      <c r="EJ53" s="11"/>
      <c r="EK53" s="11"/>
      <c r="EL53" s="11"/>
      <c r="EM53" s="11"/>
      <c r="EN53" s="11"/>
      <c r="EO53" s="11"/>
      <c r="EP53" s="11"/>
      <c r="EQ53" s="11"/>
      <c r="ER53" s="11"/>
      <c r="ES53" s="11"/>
      <c r="ET53" s="11"/>
      <c r="EU53" s="11"/>
      <c r="EV53" s="11"/>
      <c r="EW53" s="11"/>
      <c r="EX53" s="11"/>
      <c r="EY53" s="11"/>
      <c r="EZ53" s="11"/>
      <c r="FA53" s="11"/>
      <c r="FB53" s="11"/>
      <c r="FC53" s="11"/>
      <c r="FD53" s="11"/>
      <c r="FE53" s="11"/>
      <c r="FF53" s="11"/>
      <c r="FG53" s="11"/>
      <c r="FH53" s="11"/>
      <c r="FI53" s="11"/>
      <c r="FJ53" s="11"/>
      <c r="FK53" s="11"/>
      <c r="FL53" s="11"/>
      <c r="FM53" s="11"/>
      <c r="FN53" s="11"/>
      <c r="FO53" s="11"/>
      <c r="FP53" s="11"/>
      <c r="FQ53" s="11"/>
      <c r="FR53" s="11"/>
      <c r="FS53" s="11"/>
      <c r="FT53" s="11"/>
      <c r="FU53" s="11"/>
      <c r="FV53" s="11"/>
      <c r="FW53" s="11"/>
      <c r="FX53" s="11"/>
      <c r="FY53" s="11"/>
      <c r="FZ53" s="11"/>
      <c r="GA53" s="11"/>
      <c r="GB53" s="11"/>
      <c r="GC53" s="11"/>
      <c r="GD53" s="11"/>
      <c r="GE53" s="11"/>
      <c r="GF53" s="11"/>
      <c r="GG53" s="11"/>
      <c r="GH53" s="11"/>
      <c r="GI53" s="11"/>
      <c r="GJ53" s="11"/>
      <c r="GK53" s="11"/>
      <c r="GL53" s="11"/>
      <c r="GM53" s="11"/>
      <c r="GN53" s="11"/>
      <c r="GO53" s="11"/>
      <c r="GP53" s="11"/>
      <c r="GQ53" s="11"/>
      <c r="GR53" s="11"/>
      <c r="GS53" s="11"/>
      <c r="GT53" s="11"/>
      <c r="GU53" s="11"/>
      <c r="GV53" s="11"/>
      <c r="GW53" s="11"/>
      <c r="GX53" s="11"/>
      <c r="GY53" s="11"/>
      <c r="GZ53" s="11"/>
      <c r="HA53" s="11"/>
      <c r="HB53" s="11"/>
      <c r="HC53" s="11"/>
      <c r="HD53" s="11"/>
      <c r="HE53" s="11"/>
      <c r="HF53" s="11"/>
      <c r="HG53" s="11"/>
      <c r="HH53" s="11"/>
      <c r="HI53" s="11"/>
      <c r="HJ53" s="11"/>
      <c r="HK53" s="11"/>
      <c r="HL53" s="11"/>
      <c r="HM53" s="11"/>
      <c r="HN53" s="11"/>
      <c r="HO53" s="11"/>
      <c r="HP53" s="11"/>
      <c r="HQ53" s="11"/>
      <c r="HR53" s="11"/>
      <c r="HS53" s="11"/>
      <c r="HT53" s="11"/>
      <c r="HU53" s="11"/>
      <c r="HV53" s="11"/>
      <c r="HW53" s="11"/>
      <c r="HX53" s="11"/>
      <c r="HY53" s="11"/>
      <c r="HZ53" s="11"/>
      <c r="IA53" s="11"/>
      <c r="IB53" s="11"/>
      <c r="IC53" s="11"/>
      <c r="ID53" s="11"/>
      <c r="IE53" s="11"/>
      <c r="IF53" s="11"/>
      <c r="IG53" s="11"/>
      <c r="IH53" s="11"/>
      <c r="II53" s="11"/>
      <c r="IJ53" s="11"/>
      <c r="IK53" s="11"/>
      <c r="IL53" s="11"/>
      <c r="IM53" s="11"/>
      <c r="IN53" s="11"/>
      <c r="IO53" s="11"/>
      <c r="IP53" s="11"/>
      <c r="IQ53" s="11"/>
      <c r="IR53" s="11"/>
      <c r="IS53" s="11"/>
      <c r="IT53" s="11"/>
      <c r="IU53" s="11"/>
      <c r="IV53" s="11"/>
      <c r="IW53" s="11"/>
      <c r="IX53" s="11"/>
      <c r="IY53" s="11"/>
      <c r="IZ53" s="11"/>
      <c r="JA53" s="11"/>
      <c r="JB53" s="11"/>
      <c r="JC53" s="11"/>
      <c r="JD53" s="11"/>
      <c r="JE53" s="11"/>
      <c r="JF53" s="11"/>
      <c r="JG53" s="11"/>
      <c r="JH53" s="11"/>
      <c r="JI53" s="11"/>
      <c r="JJ53" s="11"/>
      <c r="JK53" s="11"/>
      <c r="JL53" s="11"/>
      <c r="JM53" s="11"/>
      <c r="JN53" s="11"/>
      <c r="JO53" s="11"/>
      <c r="JP53" s="11"/>
      <c r="JQ53" s="11"/>
      <c r="JR53" s="11"/>
      <c r="JS53" s="11"/>
      <c r="JT53" s="11"/>
      <c r="JU53" s="11"/>
      <c r="JV53" s="11"/>
      <c r="JW53" s="11"/>
      <c r="JX53" s="11"/>
      <c r="JY53" s="11"/>
      <c r="JZ53" s="11"/>
      <c r="KA53" s="11"/>
      <c r="KB53" s="11"/>
      <c r="KC53" s="11"/>
      <c r="KD53" s="11"/>
      <c r="KE53" s="11"/>
      <c r="KF53" s="11"/>
      <c r="KG53" s="11"/>
      <c r="KH53" s="11"/>
      <c r="KI53" s="11"/>
      <c r="KJ53" s="11"/>
      <c r="KK53" s="11"/>
      <c r="KL53" s="11"/>
      <c r="KM53" s="11"/>
      <c r="KN53" s="11"/>
      <c r="KO53" s="11"/>
      <c r="KP53" s="11"/>
      <c r="KQ53" s="11"/>
      <c r="KR53" s="11"/>
      <c r="KS53" s="11"/>
      <c r="KT53" s="11"/>
      <c r="KU53" s="11"/>
      <c r="KV53" s="11"/>
      <c r="KW53" s="11"/>
      <c r="KX53" s="11"/>
      <c r="KY53" s="11"/>
      <c r="KZ53" s="11"/>
      <c r="LA53" s="11"/>
      <c r="LB53" s="11"/>
      <c r="LC53" s="11"/>
      <c r="LD53" s="11"/>
      <c r="LE53" s="11"/>
      <c r="LF53" s="11"/>
      <c r="LG53" s="11"/>
      <c r="LH53" s="11"/>
      <c r="LI53" s="11"/>
      <c r="LJ53" s="11"/>
      <c r="LK53" s="11"/>
      <c r="LL53" s="11"/>
      <c r="LM53" s="11"/>
      <c r="LN53" s="11"/>
      <c r="LO53" s="11"/>
      <c r="LP53" s="11"/>
      <c r="LQ53" s="11"/>
      <c r="LR53" s="11"/>
      <c r="LS53" s="11"/>
      <c r="LT53" s="11"/>
      <c r="LU53" s="11"/>
      <c r="LV53" s="11"/>
      <c r="LW53" s="11"/>
      <c r="LX53" s="11"/>
      <c r="LY53" s="11"/>
      <c r="LZ53" s="11"/>
      <c r="MA53" s="11"/>
      <c r="MB53" s="11"/>
      <c r="MC53" s="11"/>
      <c r="MD53" s="11"/>
      <c r="ME53" s="11"/>
      <c r="MF53" s="11"/>
      <c r="MG53" s="11"/>
      <c r="MH53" s="11"/>
      <c r="MI53" s="11"/>
      <c r="MJ53" s="11"/>
      <c r="MK53" s="11"/>
      <c r="ML53" s="11"/>
      <c r="MM53" s="11"/>
      <c r="MN53" s="11"/>
      <c r="MO53" s="11"/>
      <c r="MP53" s="11"/>
      <c r="MQ53" s="11"/>
      <c r="MR53" s="11"/>
      <c r="MS53" s="11"/>
      <c r="MT53" s="11"/>
      <c r="MU53" s="11"/>
      <c r="MV53" s="11"/>
      <c r="MW53" s="11"/>
      <c r="MX53" s="11"/>
      <c r="MY53" s="11"/>
      <c r="MZ53" s="11"/>
      <c r="NA53" s="11"/>
      <c r="NB53" s="11"/>
      <c r="NC53" s="11"/>
      <c r="ND53" s="11"/>
      <c r="NE53" s="11"/>
      <c r="NF53" s="11"/>
      <c r="NG53" s="11"/>
      <c r="NH53" s="11"/>
      <c r="NI53" s="11"/>
      <c r="NJ53" s="11"/>
      <c r="NK53" s="11"/>
      <c r="NL53" s="11"/>
      <c r="NM53" s="11"/>
      <c r="NN53" s="11"/>
      <c r="NO53" s="11"/>
      <c r="NP53" s="11"/>
      <c r="NQ53" s="11"/>
      <c r="NR53" s="11"/>
      <c r="NS53" s="11"/>
      <c r="NT53" s="11"/>
      <c r="NU53" s="11"/>
      <c r="NV53" s="11"/>
      <c r="NW53" s="11"/>
      <c r="NX53" s="11"/>
      <c r="NY53" s="11"/>
      <c r="NZ53" s="11"/>
      <c r="OA53" s="11"/>
      <c r="OB53" s="11"/>
      <c r="OC53" s="11"/>
      <c r="OD53" s="11"/>
      <c r="OE53" s="11"/>
      <c r="OF53" s="11"/>
      <c r="OG53" s="11"/>
      <c r="OH53" s="11"/>
      <c r="OI53" s="11"/>
      <c r="OJ53" s="11"/>
      <c r="OK53" s="11"/>
      <c r="OL53" s="11"/>
      <c r="OM53" s="11"/>
      <c r="ON53" s="11"/>
      <c r="OO53" s="11"/>
      <c r="OP53" s="11"/>
      <c r="OQ53" s="11"/>
      <c r="OR53" s="11"/>
      <c r="OS53" s="11"/>
      <c r="OT53" s="11"/>
      <c r="OU53" s="11"/>
      <c r="OV53" s="11"/>
      <c r="OW53" s="11"/>
      <c r="OX53" s="11"/>
      <c r="OY53" s="11"/>
      <c r="OZ53" s="11"/>
      <c r="PA53" s="11"/>
      <c r="PB53" s="11"/>
      <c r="PC53" s="11"/>
      <c r="PD53" s="11"/>
      <c r="PE53" s="11"/>
      <c r="PF53" s="11"/>
      <c r="PG53" s="11"/>
      <c r="PH53" s="11"/>
      <c r="PI53" s="11"/>
      <c r="PJ53" s="11"/>
      <c r="PK53" s="11"/>
      <c r="PL53" s="11"/>
      <c r="PM53" s="11"/>
      <c r="PN53" s="11"/>
      <c r="PO53" s="11"/>
      <c r="PP53" s="11"/>
      <c r="PQ53" s="11"/>
      <c r="PR53" s="11"/>
      <c r="PS53" s="11"/>
      <c r="PT53" s="11"/>
      <c r="PU53" s="11"/>
      <c r="PV53" s="11"/>
      <c r="PW53" s="11"/>
      <c r="PX53" s="11"/>
      <c r="PY53" s="11"/>
      <c r="PZ53" s="11"/>
      <c r="QA53" s="11"/>
      <c r="QB53" s="11"/>
      <c r="QC53" s="11"/>
      <c r="QD53" s="11"/>
      <c r="QE53" s="11"/>
      <c r="QF53" s="11"/>
      <c r="QG53" s="11"/>
      <c r="QH53" s="11"/>
      <c r="QI53" s="11"/>
      <c r="QJ53" s="11"/>
      <c r="QK53" s="11"/>
      <c r="QL53" s="11"/>
      <c r="QM53" s="11"/>
      <c r="QN53" s="11"/>
      <c r="QO53" s="11"/>
      <c r="QP53" s="11"/>
      <c r="QQ53" s="11"/>
      <c r="QR53" s="11"/>
      <c r="QS53" s="11"/>
      <c r="QT53" s="11"/>
      <c r="QU53" s="11"/>
      <c r="QV53" s="11"/>
      <c r="QW53" s="11"/>
      <c r="QX53" s="11"/>
      <c r="QY53" s="11"/>
      <c r="QZ53" s="11"/>
      <c r="RA53" s="11"/>
      <c r="RB53" s="11"/>
      <c r="RC53" s="11"/>
      <c r="RD53" s="11"/>
      <c r="RE53" s="11"/>
      <c r="RF53" s="11"/>
      <c r="RG53" s="11"/>
      <c r="RH53" s="11"/>
      <c r="RI53" s="11"/>
      <c r="RJ53" s="11"/>
      <c r="RK53" s="11"/>
      <c r="RL53" s="11"/>
      <c r="RM53" s="11"/>
      <c r="RN53" s="11"/>
      <c r="RO53" s="11"/>
      <c r="RP53" s="11"/>
      <c r="RQ53" s="11"/>
      <c r="RR53" s="11"/>
      <c r="RS53" s="11"/>
      <c r="RT53" s="11"/>
      <c r="RU53" s="11"/>
      <c r="RV53" s="11"/>
      <c r="RW53" s="11"/>
      <c r="RX53" s="11"/>
      <c r="RY53" s="11"/>
      <c r="RZ53" s="11"/>
      <c r="SA53" s="11"/>
      <c r="SB53" s="11"/>
      <c r="SC53" s="11"/>
      <c r="SD53" s="11"/>
      <c r="SE53" s="11"/>
      <c r="SF53" s="11"/>
      <c r="SG53" s="11"/>
      <c r="SH53" s="11"/>
      <c r="SI53" s="11"/>
      <c r="SJ53" s="11"/>
      <c r="SK53" s="11"/>
      <c r="SL53" s="11"/>
      <c r="SM53" s="11"/>
      <c r="SN53" s="11"/>
      <c r="SO53" s="11"/>
      <c r="SP53" s="11"/>
      <c r="SQ53" s="11"/>
      <c r="SR53" s="11"/>
      <c r="SS53" s="11"/>
      <c r="ST53" s="11"/>
      <c r="SU53" s="11"/>
      <c r="SV53" s="11"/>
      <c r="SW53" s="11"/>
      <c r="SX53" s="11"/>
      <c r="SY53" s="11"/>
      <c r="SZ53" s="11"/>
      <c r="TA53" s="11"/>
      <c r="TB53" s="11"/>
      <c r="TC53" s="11"/>
      <c r="TD53" s="11"/>
      <c r="TE53" s="11"/>
      <c r="TF53" s="11"/>
      <c r="TG53" s="11"/>
      <c r="TH53" s="11"/>
      <c r="TI53" s="11"/>
      <c r="TJ53" s="11"/>
      <c r="TK53" s="11"/>
      <c r="TL53" s="11"/>
      <c r="TM53" s="11"/>
      <c r="TN53" s="11"/>
      <c r="TO53" s="11"/>
      <c r="TP53" s="11"/>
      <c r="TQ53" s="11"/>
      <c r="TR53" s="11"/>
      <c r="TS53" s="11"/>
      <c r="TT53" s="11"/>
      <c r="TU53" s="11"/>
      <c r="TV53" s="11"/>
      <c r="TW53" s="11"/>
      <c r="TX53" s="11"/>
      <c r="TY53" s="11"/>
      <c r="TZ53" s="11"/>
      <c r="UA53" s="11"/>
      <c r="UB53" s="11"/>
      <c r="UC53" s="11"/>
      <c r="UD53" s="11"/>
      <c r="UE53" s="11"/>
      <c r="UF53" s="11"/>
      <c r="UG53" s="11"/>
      <c r="UH53" s="11"/>
      <c r="UI53" s="11"/>
      <c r="UJ53" s="11"/>
      <c r="UK53" s="11"/>
      <c r="UL53" s="11"/>
      <c r="UM53" s="11"/>
      <c r="UN53" s="11"/>
      <c r="UO53" s="11"/>
      <c r="UP53" s="11"/>
      <c r="UQ53" s="11"/>
      <c r="UR53" s="11"/>
      <c r="US53" s="11"/>
      <c r="UT53" s="11"/>
      <c r="UU53" s="11"/>
      <c r="UV53" s="11"/>
      <c r="UW53" s="11"/>
      <c r="UX53" s="11"/>
      <c r="UY53" s="11"/>
      <c r="UZ53" s="11"/>
      <c r="VA53" s="11"/>
      <c r="VB53" s="11"/>
      <c r="VC53" s="11"/>
      <c r="VD53" s="11"/>
      <c r="VE53" s="11"/>
      <c r="VF53" s="11"/>
      <c r="VG53" s="11"/>
      <c r="VH53" s="11"/>
      <c r="VI53" s="11"/>
      <c r="VJ53" s="11"/>
      <c r="VK53" s="11"/>
      <c r="VL53" s="11"/>
      <c r="VM53" s="11"/>
      <c r="VN53" s="11"/>
      <c r="VO53" s="11"/>
      <c r="VP53" s="11"/>
      <c r="VQ53" s="11"/>
      <c r="VR53" s="11"/>
      <c r="VS53" s="11"/>
      <c r="VT53" s="11"/>
      <c r="VU53" s="11"/>
      <c r="VV53" s="11"/>
      <c r="VW53" s="11"/>
      <c r="VX53" s="11"/>
      <c r="VY53" s="11"/>
      <c r="VZ53" s="11"/>
      <c r="WA53" s="11"/>
      <c r="WB53" s="11"/>
      <c r="WC53" s="11"/>
      <c r="WD53" s="11"/>
      <c r="WE53" s="11"/>
      <c r="WF53" s="11"/>
      <c r="WG53" s="11"/>
      <c r="WH53" s="11"/>
      <c r="WI53" s="11"/>
      <c r="WJ53" s="11"/>
      <c r="WK53" s="11"/>
      <c r="WL53" s="11"/>
      <c r="WM53" s="11"/>
      <c r="WN53" s="11"/>
      <c r="WO53" s="11"/>
      <c r="WP53" s="11"/>
      <c r="WQ53" s="11"/>
      <c r="WR53" s="11"/>
      <c r="WS53" s="11"/>
      <c r="WT53" s="11"/>
      <c r="WU53" s="11"/>
      <c r="WV53" s="11"/>
      <c r="WW53" s="11"/>
      <c r="WX53" s="11"/>
      <c r="WY53" s="11"/>
      <c r="WZ53" s="11"/>
      <c r="XA53" s="11"/>
      <c r="XB53" s="11"/>
      <c r="XC53" s="11"/>
      <c r="XD53" s="11"/>
      <c r="XE53" s="11"/>
      <c r="XF53" s="11"/>
      <c r="XG53" s="11"/>
      <c r="XH53" s="11"/>
      <c r="XI53" s="11"/>
      <c r="XJ53" s="11"/>
      <c r="XK53" s="11"/>
      <c r="XL53" s="11"/>
      <c r="XM53" s="11"/>
      <c r="XN53" s="11"/>
      <c r="XO53" s="11"/>
      <c r="XP53" s="11"/>
      <c r="XQ53" s="11"/>
      <c r="XR53" s="11"/>
      <c r="XS53" s="11"/>
      <c r="XT53" s="11"/>
      <c r="XU53" s="11"/>
      <c r="XV53" s="11"/>
      <c r="XW53" s="11"/>
      <c r="XX53" s="11"/>
      <c r="XY53" s="11"/>
      <c r="XZ53" s="11"/>
      <c r="YA53" s="11"/>
      <c r="YB53" s="11"/>
      <c r="YC53" s="11"/>
      <c r="YD53" s="11"/>
      <c r="YE53" s="11"/>
      <c r="YF53" s="11"/>
      <c r="YG53" s="11"/>
      <c r="YH53" s="11"/>
      <c r="YI53" s="11"/>
      <c r="YJ53" s="11"/>
      <c r="YK53" s="11"/>
      <c r="YL53" s="11"/>
      <c r="YM53" s="11"/>
      <c r="YN53" s="11"/>
      <c r="YO53" s="11"/>
      <c r="YP53" s="11"/>
      <c r="YQ53" s="11"/>
      <c r="YR53" s="11"/>
      <c r="YS53" s="11"/>
      <c r="YT53" s="11"/>
      <c r="YU53" s="11"/>
      <c r="YV53" s="11"/>
      <c r="YW53" s="11"/>
      <c r="YX53" s="11"/>
      <c r="YY53" s="11"/>
      <c r="YZ53" s="11"/>
      <c r="ZA53" s="11"/>
      <c r="ZB53" s="11"/>
      <c r="ZC53" s="11"/>
      <c r="ZD53" s="11"/>
      <c r="ZE53" s="11"/>
      <c r="ZF53" s="11"/>
      <c r="ZG53" s="11"/>
      <c r="ZH53" s="11"/>
      <c r="ZI53" s="11"/>
      <c r="ZJ53" s="11"/>
      <c r="ZK53" s="11"/>
      <c r="ZL53" s="11"/>
      <c r="ZM53" s="11"/>
      <c r="ZN53" s="11"/>
      <c r="ZO53" s="11"/>
      <c r="ZP53" s="11"/>
      <c r="ZQ53" s="11"/>
      <c r="ZR53" s="11"/>
      <c r="ZS53" s="11"/>
      <c r="ZT53" s="11"/>
      <c r="ZU53" s="11"/>
      <c r="ZV53" s="11"/>
      <c r="ZW53" s="11"/>
      <c r="ZX53" s="11"/>
      <c r="ZY53" s="11"/>
      <c r="ZZ53" s="11"/>
      <c r="AAA53" s="11"/>
      <c r="AAB53" s="11"/>
      <c r="AAC53" s="11"/>
      <c r="AAD53" s="11"/>
      <c r="AAE53" s="11"/>
      <c r="AAF53" s="11"/>
      <c r="AAG53" s="11"/>
      <c r="AAH53" s="11"/>
      <c r="AAI53" s="11"/>
      <c r="AAJ53" s="11"/>
      <c r="AAK53" s="11"/>
      <c r="AAL53" s="11"/>
    </row>
    <row r="54" spans="1:714" s="6" customFormat="1" x14ac:dyDescent="0.3">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c r="DA54" s="11"/>
      <c r="DB54" s="11"/>
      <c r="DC54" s="11"/>
      <c r="DD54" s="11"/>
      <c r="DE54" s="11"/>
      <c r="DF54" s="11"/>
      <c r="DG54" s="11"/>
      <c r="DH54" s="11"/>
      <c r="DI54" s="11"/>
      <c r="DJ54" s="11"/>
      <c r="DK54" s="11"/>
      <c r="DL54" s="11"/>
      <c r="DM54" s="11"/>
      <c r="DN54" s="11"/>
      <c r="DO54" s="11"/>
      <c r="DP54" s="11"/>
      <c r="DQ54" s="11"/>
      <c r="DR54" s="11"/>
      <c r="DS54" s="11"/>
      <c r="DT54" s="11"/>
      <c r="DU54" s="11"/>
      <c r="DV54" s="11"/>
      <c r="DW54" s="11"/>
      <c r="DX54" s="11"/>
      <c r="DY54" s="11"/>
      <c r="DZ54" s="11"/>
      <c r="EA54" s="11"/>
      <c r="EB54" s="11"/>
      <c r="EC54" s="11"/>
      <c r="ED54" s="11"/>
      <c r="EE54" s="11"/>
      <c r="EF54" s="11"/>
      <c r="EG54" s="11"/>
      <c r="EH54" s="11"/>
      <c r="EI54" s="11"/>
      <c r="EJ54" s="11"/>
      <c r="EK54" s="11"/>
      <c r="EL54" s="11"/>
      <c r="EM54" s="11"/>
      <c r="EN54" s="11"/>
      <c r="EO54" s="11"/>
      <c r="EP54" s="11"/>
      <c r="EQ54" s="11"/>
      <c r="ER54" s="11"/>
      <c r="ES54" s="11"/>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c r="FZ54" s="11"/>
      <c r="GA54" s="11"/>
      <c r="GB54" s="11"/>
      <c r="GC54" s="11"/>
      <c r="GD54" s="11"/>
      <c r="GE54" s="11"/>
      <c r="GF54" s="11"/>
      <c r="GG54" s="11"/>
      <c r="GH54" s="11"/>
      <c r="GI54" s="11"/>
      <c r="GJ54" s="11"/>
      <c r="GK54" s="11"/>
      <c r="GL54" s="11"/>
      <c r="GM54" s="11"/>
      <c r="GN54" s="11"/>
      <c r="GO54" s="11"/>
      <c r="GP54" s="11"/>
      <c r="GQ54" s="11"/>
      <c r="GR54" s="11"/>
      <c r="GS54" s="11"/>
      <c r="GT54" s="11"/>
      <c r="GU54" s="11"/>
      <c r="GV54" s="11"/>
      <c r="GW54" s="11"/>
      <c r="GX54" s="11"/>
      <c r="GY54" s="11"/>
      <c r="GZ54" s="11"/>
      <c r="HA54" s="11"/>
      <c r="HB54" s="11"/>
      <c r="HC54" s="11"/>
      <c r="HD54" s="11"/>
      <c r="HE54" s="11"/>
      <c r="HF54" s="11"/>
      <c r="HG54" s="11"/>
      <c r="HH54" s="11"/>
      <c r="HI54" s="11"/>
      <c r="HJ54" s="11"/>
      <c r="HK54" s="11"/>
      <c r="HL54" s="11"/>
      <c r="HM54" s="11"/>
      <c r="HN54" s="11"/>
      <c r="HO54" s="11"/>
      <c r="HP54" s="11"/>
      <c r="HQ54" s="11"/>
      <c r="HR54" s="11"/>
      <c r="HS54" s="11"/>
      <c r="HT54" s="11"/>
      <c r="HU54" s="11"/>
      <c r="HV54" s="11"/>
      <c r="HW54" s="11"/>
      <c r="HX54" s="11"/>
      <c r="HY54" s="11"/>
      <c r="HZ54" s="11"/>
      <c r="IA54" s="11"/>
      <c r="IB54" s="11"/>
      <c r="IC54" s="11"/>
      <c r="ID54" s="11"/>
      <c r="IE54" s="11"/>
      <c r="IF54" s="11"/>
      <c r="IG54" s="11"/>
      <c r="IH54" s="11"/>
      <c r="II54" s="11"/>
      <c r="IJ54" s="11"/>
      <c r="IK54" s="11"/>
      <c r="IL54" s="11"/>
      <c r="IM54" s="11"/>
      <c r="IN54" s="11"/>
      <c r="IO54" s="11"/>
      <c r="IP54" s="11"/>
      <c r="IQ54" s="11"/>
      <c r="IR54" s="11"/>
      <c r="IS54" s="11"/>
      <c r="IT54" s="11"/>
      <c r="IU54" s="11"/>
      <c r="IV54" s="11"/>
      <c r="IW54" s="11"/>
      <c r="IX54" s="11"/>
      <c r="IY54" s="11"/>
      <c r="IZ54" s="11"/>
      <c r="JA54" s="11"/>
      <c r="JB54" s="11"/>
      <c r="JC54" s="11"/>
      <c r="JD54" s="11"/>
      <c r="JE54" s="11"/>
      <c r="JF54" s="11"/>
      <c r="JG54" s="11"/>
      <c r="JH54" s="11"/>
      <c r="JI54" s="11"/>
      <c r="JJ54" s="11"/>
      <c r="JK54" s="11"/>
      <c r="JL54" s="11"/>
      <c r="JM54" s="11"/>
      <c r="JN54" s="11"/>
      <c r="JO54" s="11"/>
      <c r="JP54" s="11"/>
      <c r="JQ54" s="11"/>
      <c r="JR54" s="11"/>
      <c r="JS54" s="11"/>
      <c r="JT54" s="11"/>
      <c r="JU54" s="11"/>
      <c r="JV54" s="11"/>
      <c r="JW54" s="11"/>
      <c r="JX54" s="11"/>
      <c r="JY54" s="11"/>
      <c r="JZ54" s="11"/>
      <c r="KA54" s="11"/>
      <c r="KB54" s="11"/>
      <c r="KC54" s="11"/>
      <c r="KD54" s="11"/>
      <c r="KE54" s="11"/>
      <c r="KF54" s="11"/>
      <c r="KG54" s="11"/>
      <c r="KH54" s="11"/>
      <c r="KI54" s="11"/>
      <c r="KJ54" s="11"/>
      <c r="KK54" s="11"/>
      <c r="KL54" s="11"/>
      <c r="KM54" s="11"/>
      <c r="KN54" s="11"/>
      <c r="KO54" s="11"/>
      <c r="KP54" s="11"/>
      <c r="KQ54" s="11"/>
      <c r="KR54" s="11"/>
      <c r="KS54" s="11"/>
      <c r="KT54" s="11"/>
      <c r="KU54" s="11"/>
      <c r="KV54" s="11"/>
      <c r="KW54" s="11"/>
      <c r="KX54" s="11"/>
      <c r="KY54" s="11"/>
      <c r="KZ54" s="11"/>
      <c r="LA54" s="11"/>
      <c r="LB54" s="11"/>
      <c r="LC54" s="11"/>
      <c r="LD54" s="11"/>
      <c r="LE54" s="11"/>
      <c r="LF54" s="11"/>
      <c r="LG54" s="11"/>
      <c r="LH54" s="11"/>
      <c r="LI54" s="11"/>
      <c r="LJ54" s="11"/>
      <c r="LK54" s="11"/>
      <c r="LL54" s="11"/>
      <c r="LM54" s="11"/>
      <c r="LN54" s="11"/>
      <c r="LO54" s="11"/>
      <c r="LP54" s="11"/>
      <c r="LQ54" s="11"/>
      <c r="LR54" s="11"/>
      <c r="LS54" s="11"/>
      <c r="LT54" s="11"/>
      <c r="LU54" s="11"/>
      <c r="LV54" s="11"/>
      <c r="LW54" s="11"/>
      <c r="LX54" s="11"/>
      <c r="LY54" s="11"/>
      <c r="LZ54" s="11"/>
      <c r="MA54" s="11"/>
      <c r="MB54" s="11"/>
      <c r="MC54" s="11"/>
      <c r="MD54" s="11"/>
      <c r="ME54" s="11"/>
      <c r="MF54" s="11"/>
      <c r="MG54" s="11"/>
      <c r="MH54" s="11"/>
      <c r="MI54" s="11"/>
      <c r="MJ54" s="11"/>
      <c r="MK54" s="11"/>
      <c r="ML54" s="11"/>
      <c r="MM54" s="11"/>
      <c r="MN54" s="11"/>
      <c r="MO54" s="11"/>
      <c r="MP54" s="11"/>
      <c r="MQ54" s="11"/>
      <c r="MR54" s="11"/>
      <c r="MS54" s="11"/>
      <c r="MT54" s="11"/>
      <c r="MU54" s="11"/>
      <c r="MV54" s="11"/>
      <c r="MW54" s="11"/>
      <c r="MX54" s="11"/>
      <c r="MY54" s="11"/>
      <c r="MZ54" s="11"/>
      <c r="NA54" s="11"/>
      <c r="NB54" s="11"/>
      <c r="NC54" s="11"/>
      <c r="ND54" s="11"/>
      <c r="NE54" s="11"/>
      <c r="NF54" s="11"/>
      <c r="NG54" s="11"/>
      <c r="NH54" s="11"/>
      <c r="NI54" s="11"/>
      <c r="NJ54" s="11"/>
      <c r="NK54" s="11"/>
      <c r="NL54" s="11"/>
      <c r="NM54" s="11"/>
      <c r="NN54" s="11"/>
      <c r="NO54" s="11"/>
      <c r="NP54" s="11"/>
      <c r="NQ54" s="11"/>
      <c r="NR54" s="11"/>
      <c r="NS54" s="11"/>
      <c r="NT54" s="11"/>
      <c r="NU54" s="11"/>
      <c r="NV54" s="11"/>
      <c r="NW54" s="11"/>
      <c r="NX54" s="11"/>
      <c r="NY54" s="11"/>
      <c r="NZ54" s="11"/>
      <c r="OA54" s="11"/>
      <c r="OB54" s="11"/>
      <c r="OC54" s="11"/>
      <c r="OD54" s="11"/>
      <c r="OE54" s="11"/>
      <c r="OF54" s="11"/>
      <c r="OG54" s="11"/>
      <c r="OH54" s="11"/>
      <c r="OI54" s="11"/>
      <c r="OJ54" s="11"/>
      <c r="OK54" s="11"/>
      <c r="OL54" s="11"/>
      <c r="OM54" s="11"/>
      <c r="ON54" s="11"/>
      <c r="OO54" s="11"/>
      <c r="OP54" s="11"/>
      <c r="OQ54" s="11"/>
      <c r="OR54" s="11"/>
      <c r="OS54" s="11"/>
      <c r="OT54" s="11"/>
      <c r="OU54" s="11"/>
      <c r="OV54" s="11"/>
      <c r="OW54" s="11"/>
      <c r="OX54" s="11"/>
      <c r="OY54" s="11"/>
      <c r="OZ54" s="11"/>
      <c r="PA54" s="11"/>
      <c r="PB54" s="11"/>
      <c r="PC54" s="11"/>
      <c r="PD54" s="11"/>
      <c r="PE54" s="11"/>
      <c r="PF54" s="11"/>
      <c r="PG54" s="11"/>
      <c r="PH54" s="11"/>
      <c r="PI54" s="11"/>
      <c r="PJ54" s="11"/>
      <c r="PK54" s="11"/>
      <c r="PL54" s="11"/>
      <c r="PM54" s="11"/>
      <c r="PN54" s="11"/>
      <c r="PO54" s="11"/>
      <c r="PP54" s="11"/>
      <c r="PQ54" s="11"/>
      <c r="PR54" s="11"/>
      <c r="PS54" s="11"/>
      <c r="PT54" s="11"/>
      <c r="PU54" s="11"/>
      <c r="PV54" s="11"/>
      <c r="PW54" s="11"/>
      <c r="PX54" s="11"/>
      <c r="PY54" s="11"/>
      <c r="PZ54" s="11"/>
      <c r="QA54" s="11"/>
      <c r="QB54" s="11"/>
      <c r="QC54" s="11"/>
      <c r="QD54" s="11"/>
      <c r="QE54" s="11"/>
      <c r="QF54" s="11"/>
      <c r="QG54" s="11"/>
      <c r="QH54" s="11"/>
      <c r="QI54" s="11"/>
      <c r="QJ54" s="11"/>
      <c r="QK54" s="11"/>
      <c r="QL54" s="11"/>
      <c r="QM54" s="11"/>
      <c r="QN54" s="11"/>
      <c r="QO54" s="11"/>
      <c r="QP54" s="11"/>
      <c r="QQ54" s="11"/>
      <c r="QR54" s="11"/>
      <c r="QS54" s="11"/>
      <c r="QT54" s="11"/>
      <c r="QU54" s="11"/>
      <c r="QV54" s="11"/>
      <c r="QW54" s="11"/>
      <c r="QX54" s="11"/>
      <c r="QY54" s="11"/>
      <c r="QZ54" s="11"/>
      <c r="RA54" s="11"/>
      <c r="RB54" s="11"/>
      <c r="RC54" s="11"/>
      <c r="RD54" s="11"/>
      <c r="RE54" s="11"/>
      <c r="RF54" s="11"/>
      <c r="RG54" s="11"/>
      <c r="RH54" s="11"/>
      <c r="RI54" s="11"/>
      <c r="RJ54" s="11"/>
      <c r="RK54" s="11"/>
      <c r="RL54" s="11"/>
      <c r="RM54" s="11"/>
      <c r="RN54" s="11"/>
      <c r="RO54" s="11"/>
      <c r="RP54" s="11"/>
      <c r="RQ54" s="11"/>
      <c r="RR54" s="11"/>
      <c r="RS54" s="11"/>
      <c r="RT54" s="11"/>
      <c r="RU54" s="11"/>
      <c r="RV54" s="11"/>
      <c r="RW54" s="11"/>
      <c r="RX54" s="11"/>
      <c r="RY54" s="11"/>
      <c r="RZ54" s="11"/>
      <c r="SA54" s="11"/>
      <c r="SB54" s="11"/>
      <c r="SC54" s="11"/>
      <c r="SD54" s="11"/>
      <c r="SE54" s="11"/>
      <c r="SF54" s="11"/>
      <c r="SG54" s="11"/>
      <c r="SH54" s="11"/>
      <c r="SI54" s="11"/>
      <c r="SJ54" s="11"/>
      <c r="SK54" s="11"/>
      <c r="SL54" s="11"/>
      <c r="SM54" s="11"/>
      <c r="SN54" s="11"/>
      <c r="SO54" s="11"/>
      <c r="SP54" s="11"/>
      <c r="SQ54" s="11"/>
      <c r="SR54" s="11"/>
      <c r="SS54" s="11"/>
      <c r="ST54" s="11"/>
      <c r="SU54" s="11"/>
      <c r="SV54" s="11"/>
      <c r="SW54" s="11"/>
      <c r="SX54" s="11"/>
      <c r="SY54" s="11"/>
      <c r="SZ54" s="11"/>
      <c r="TA54" s="11"/>
      <c r="TB54" s="11"/>
      <c r="TC54" s="11"/>
      <c r="TD54" s="11"/>
      <c r="TE54" s="11"/>
      <c r="TF54" s="11"/>
      <c r="TG54" s="11"/>
      <c r="TH54" s="11"/>
      <c r="TI54" s="11"/>
      <c r="TJ54" s="11"/>
      <c r="TK54" s="11"/>
      <c r="TL54" s="11"/>
      <c r="TM54" s="11"/>
      <c r="TN54" s="11"/>
      <c r="TO54" s="11"/>
      <c r="TP54" s="11"/>
      <c r="TQ54" s="11"/>
      <c r="TR54" s="11"/>
      <c r="TS54" s="11"/>
      <c r="TT54" s="11"/>
      <c r="TU54" s="11"/>
      <c r="TV54" s="11"/>
      <c r="TW54" s="11"/>
      <c r="TX54" s="11"/>
      <c r="TY54" s="11"/>
      <c r="TZ54" s="11"/>
      <c r="UA54" s="11"/>
      <c r="UB54" s="11"/>
      <c r="UC54" s="11"/>
      <c r="UD54" s="11"/>
      <c r="UE54" s="11"/>
      <c r="UF54" s="11"/>
      <c r="UG54" s="11"/>
      <c r="UH54" s="11"/>
      <c r="UI54" s="11"/>
      <c r="UJ54" s="11"/>
      <c r="UK54" s="11"/>
      <c r="UL54" s="11"/>
      <c r="UM54" s="11"/>
      <c r="UN54" s="11"/>
      <c r="UO54" s="11"/>
      <c r="UP54" s="11"/>
      <c r="UQ54" s="11"/>
      <c r="UR54" s="11"/>
      <c r="US54" s="11"/>
      <c r="UT54" s="11"/>
      <c r="UU54" s="11"/>
      <c r="UV54" s="11"/>
      <c r="UW54" s="11"/>
      <c r="UX54" s="11"/>
      <c r="UY54" s="11"/>
      <c r="UZ54" s="11"/>
      <c r="VA54" s="11"/>
      <c r="VB54" s="11"/>
      <c r="VC54" s="11"/>
      <c r="VD54" s="11"/>
      <c r="VE54" s="11"/>
      <c r="VF54" s="11"/>
      <c r="VG54" s="11"/>
      <c r="VH54" s="11"/>
      <c r="VI54" s="11"/>
      <c r="VJ54" s="11"/>
      <c r="VK54" s="11"/>
      <c r="VL54" s="11"/>
      <c r="VM54" s="11"/>
      <c r="VN54" s="11"/>
      <c r="VO54" s="11"/>
      <c r="VP54" s="11"/>
      <c r="VQ54" s="11"/>
      <c r="VR54" s="11"/>
      <c r="VS54" s="11"/>
      <c r="VT54" s="11"/>
      <c r="VU54" s="11"/>
      <c r="VV54" s="11"/>
      <c r="VW54" s="11"/>
      <c r="VX54" s="11"/>
      <c r="VY54" s="11"/>
      <c r="VZ54" s="11"/>
      <c r="WA54" s="11"/>
      <c r="WB54" s="11"/>
      <c r="WC54" s="11"/>
      <c r="WD54" s="11"/>
      <c r="WE54" s="11"/>
      <c r="WF54" s="11"/>
      <c r="WG54" s="11"/>
      <c r="WH54" s="11"/>
      <c r="WI54" s="11"/>
      <c r="WJ54" s="11"/>
      <c r="WK54" s="11"/>
      <c r="WL54" s="11"/>
      <c r="WM54" s="11"/>
      <c r="WN54" s="11"/>
      <c r="WO54" s="11"/>
      <c r="WP54" s="11"/>
      <c r="WQ54" s="11"/>
      <c r="WR54" s="11"/>
      <c r="WS54" s="11"/>
      <c r="WT54" s="11"/>
      <c r="WU54" s="11"/>
      <c r="WV54" s="11"/>
      <c r="WW54" s="11"/>
      <c r="WX54" s="11"/>
      <c r="WY54" s="11"/>
      <c r="WZ54" s="11"/>
      <c r="XA54" s="11"/>
      <c r="XB54" s="11"/>
      <c r="XC54" s="11"/>
      <c r="XD54" s="11"/>
      <c r="XE54" s="11"/>
      <c r="XF54" s="11"/>
      <c r="XG54" s="11"/>
      <c r="XH54" s="11"/>
      <c r="XI54" s="11"/>
      <c r="XJ54" s="11"/>
      <c r="XK54" s="11"/>
      <c r="XL54" s="11"/>
      <c r="XM54" s="11"/>
      <c r="XN54" s="11"/>
      <c r="XO54" s="11"/>
      <c r="XP54" s="11"/>
      <c r="XQ54" s="11"/>
      <c r="XR54" s="11"/>
      <c r="XS54" s="11"/>
      <c r="XT54" s="11"/>
      <c r="XU54" s="11"/>
      <c r="XV54" s="11"/>
      <c r="XW54" s="11"/>
      <c r="XX54" s="11"/>
      <c r="XY54" s="11"/>
      <c r="XZ54" s="11"/>
      <c r="YA54" s="11"/>
      <c r="YB54" s="11"/>
      <c r="YC54" s="11"/>
      <c r="YD54" s="11"/>
      <c r="YE54" s="11"/>
      <c r="YF54" s="11"/>
      <c r="YG54" s="11"/>
      <c r="YH54" s="11"/>
      <c r="YI54" s="11"/>
      <c r="YJ54" s="11"/>
      <c r="YK54" s="11"/>
      <c r="YL54" s="11"/>
      <c r="YM54" s="11"/>
      <c r="YN54" s="11"/>
      <c r="YO54" s="11"/>
      <c r="YP54" s="11"/>
      <c r="YQ54" s="11"/>
      <c r="YR54" s="11"/>
      <c r="YS54" s="11"/>
      <c r="YT54" s="11"/>
      <c r="YU54" s="11"/>
      <c r="YV54" s="11"/>
      <c r="YW54" s="11"/>
      <c r="YX54" s="11"/>
      <c r="YY54" s="11"/>
      <c r="YZ54" s="11"/>
      <c r="ZA54" s="11"/>
      <c r="ZB54" s="11"/>
      <c r="ZC54" s="11"/>
      <c r="ZD54" s="11"/>
      <c r="ZE54" s="11"/>
      <c r="ZF54" s="11"/>
      <c r="ZG54" s="11"/>
      <c r="ZH54" s="11"/>
      <c r="ZI54" s="11"/>
      <c r="ZJ54" s="11"/>
      <c r="ZK54" s="11"/>
      <c r="ZL54" s="11"/>
      <c r="ZM54" s="11"/>
      <c r="ZN54" s="11"/>
      <c r="ZO54" s="11"/>
      <c r="ZP54" s="11"/>
      <c r="ZQ54" s="11"/>
      <c r="ZR54" s="11"/>
      <c r="ZS54" s="11"/>
      <c r="ZT54" s="11"/>
      <c r="ZU54" s="11"/>
      <c r="ZV54" s="11"/>
      <c r="ZW54" s="11"/>
      <c r="ZX54" s="11"/>
      <c r="ZY54" s="11"/>
      <c r="ZZ54" s="11"/>
      <c r="AAA54" s="11"/>
      <c r="AAB54" s="11"/>
      <c r="AAC54" s="11"/>
      <c r="AAD54" s="11"/>
      <c r="AAE54" s="11"/>
      <c r="AAF54" s="11"/>
      <c r="AAG54" s="11"/>
      <c r="AAH54" s="11"/>
      <c r="AAI54" s="11"/>
      <c r="AAJ54" s="11"/>
      <c r="AAK54" s="11"/>
      <c r="AAL54" s="11"/>
    </row>
    <row r="55" spans="1:714" s="6" customFormat="1" x14ac:dyDescent="0.3">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c r="HC55" s="11"/>
      <c r="HD55" s="11"/>
      <c r="HE55" s="11"/>
      <c r="HF55" s="11"/>
      <c r="HG55" s="11"/>
      <c r="HH55" s="11"/>
      <c r="HI55" s="11"/>
      <c r="HJ55" s="11"/>
      <c r="HK55" s="11"/>
      <c r="HL55" s="11"/>
      <c r="HM55" s="11"/>
      <c r="HN55" s="11"/>
      <c r="HO55" s="11"/>
      <c r="HP55" s="11"/>
      <c r="HQ55" s="11"/>
      <c r="HR55" s="11"/>
      <c r="HS55" s="11"/>
      <c r="HT55" s="11"/>
      <c r="HU55" s="11"/>
      <c r="HV55" s="11"/>
      <c r="HW55" s="11"/>
      <c r="HX55" s="11"/>
      <c r="HY55" s="11"/>
      <c r="HZ55" s="11"/>
      <c r="IA55" s="11"/>
      <c r="IB55" s="11"/>
      <c r="IC55" s="11"/>
      <c r="ID55" s="11"/>
      <c r="IE55" s="11"/>
      <c r="IF55" s="11"/>
      <c r="IG55" s="11"/>
      <c r="IH55" s="11"/>
      <c r="II55" s="11"/>
      <c r="IJ55" s="11"/>
      <c r="IK55" s="11"/>
      <c r="IL55" s="11"/>
      <c r="IM55" s="11"/>
      <c r="IN55" s="11"/>
      <c r="IO55" s="11"/>
      <c r="IP55" s="11"/>
      <c r="IQ55" s="11"/>
      <c r="IR55" s="11"/>
      <c r="IS55" s="11"/>
      <c r="IT55" s="11"/>
      <c r="IU55" s="11"/>
      <c r="IV55" s="11"/>
      <c r="IW55" s="11"/>
      <c r="IX55" s="11"/>
      <c r="IY55" s="11"/>
      <c r="IZ55" s="11"/>
      <c r="JA55" s="11"/>
      <c r="JB55" s="11"/>
      <c r="JC55" s="11"/>
      <c r="JD55" s="11"/>
      <c r="JE55" s="11"/>
      <c r="JF55" s="11"/>
      <c r="JG55" s="11"/>
      <c r="JH55" s="11"/>
      <c r="JI55" s="11"/>
      <c r="JJ55" s="11"/>
      <c r="JK55" s="11"/>
      <c r="JL55" s="11"/>
      <c r="JM55" s="11"/>
      <c r="JN55" s="11"/>
      <c r="JO55" s="11"/>
      <c r="JP55" s="11"/>
      <c r="JQ55" s="11"/>
      <c r="JR55" s="11"/>
      <c r="JS55" s="11"/>
      <c r="JT55" s="11"/>
      <c r="JU55" s="11"/>
      <c r="JV55" s="11"/>
      <c r="JW55" s="11"/>
      <c r="JX55" s="11"/>
      <c r="JY55" s="11"/>
      <c r="JZ55" s="11"/>
      <c r="KA55" s="11"/>
      <c r="KB55" s="11"/>
      <c r="KC55" s="11"/>
      <c r="KD55" s="11"/>
      <c r="KE55" s="11"/>
      <c r="KF55" s="11"/>
      <c r="KG55" s="11"/>
      <c r="KH55" s="11"/>
      <c r="KI55" s="11"/>
      <c r="KJ55" s="11"/>
      <c r="KK55" s="11"/>
      <c r="KL55" s="11"/>
      <c r="KM55" s="11"/>
      <c r="KN55" s="11"/>
      <c r="KO55" s="11"/>
      <c r="KP55" s="11"/>
      <c r="KQ55" s="11"/>
      <c r="KR55" s="11"/>
      <c r="KS55" s="11"/>
      <c r="KT55" s="11"/>
      <c r="KU55" s="11"/>
      <c r="KV55" s="11"/>
      <c r="KW55" s="11"/>
      <c r="KX55" s="11"/>
      <c r="KY55" s="11"/>
      <c r="KZ55" s="11"/>
      <c r="LA55" s="11"/>
      <c r="LB55" s="11"/>
      <c r="LC55" s="11"/>
      <c r="LD55" s="11"/>
      <c r="LE55" s="11"/>
      <c r="LF55" s="11"/>
      <c r="LG55" s="11"/>
      <c r="LH55" s="11"/>
      <c r="LI55" s="11"/>
      <c r="LJ55" s="11"/>
      <c r="LK55" s="11"/>
      <c r="LL55" s="11"/>
      <c r="LM55" s="11"/>
      <c r="LN55" s="11"/>
      <c r="LO55" s="11"/>
      <c r="LP55" s="11"/>
      <c r="LQ55" s="11"/>
      <c r="LR55" s="11"/>
      <c r="LS55" s="11"/>
      <c r="LT55" s="11"/>
      <c r="LU55" s="11"/>
      <c r="LV55" s="11"/>
      <c r="LW55" s="11"/>
      <c r="LX55" s="11"/>
      <c r="LY55" s="11"/>
      <c r="LZ55" s="11"/>
      <c r="MA55" s="11"/>
      <c r="MB55" s="11"/>
      <c r="MC55" s="11"/>
      <c r="MD55" s="11"/>
      <c r="ME55" s="11"/>
      <c r="MF55" s="11"/>
      <c r="MG55" s="11"/>
      <c r="MH55" s="11"/>
      <c r="MI55" s="11"/>
      <c r="MJ55" s="11"/>
      <c r="MK55" s="11"/>
      <c r="ML55" s="11"/>
      <c r="MM55" s="11"/>
      <c r="MN55" s="11"/>
      <c r="MO55" s="11"/>
      <c r="MP55" s="11"/>
      <c r="MQ55" s="11"/>
      <c r="MR55" s="11"/>
      <c r="MS55" s="11"/>
      <c r="MT55" s="11"/>
      <c r="MU55" s="11"/>
      <c r="MV55" s="11"/>
      <c r="MW55" s="11"/>
      <c r="MX55" s="11"/>
      <c r="MY55" s="11"/>
      <c r="MZ55" s="11"/>
      <c r="NA55" s="11"/>
      <c r="NB55" s="11"/>
      <c r="NC55" s="11"/>
      <c r="ND55" s="11"/>
      <c r="NE55" s="11"/>
      <c r="NF55" s="11"/>
      <c r="NG55" s="11"/>
      <c r="NH55" s="11"/>
      <c r="NI55" s="11"/>
      <c r="NJ55" s="11"/>
      <c r="NK55" s="11"/>
      <c r="NL55" s="11"/>
      <c r="NM55" s="11"/>
      <c r="NN55" s="11"/>
      <c r="NO55" s="11"/>
      <c r="NP55" s="11"/>
      <c r="NQ55" s="11"/>
      <c r="NR55" s="11"/>
      <c r="NS55" s="11"/>
      <c r="NT55" s="11"/>
      <c r="NU55" s="11"/>
      <c r="NV55" s="11"/>
      <c r="NW55" s="11"/>
      <c r="NX55" s="11"/>
      <c r="NY55" s="11"/>
      <c r="NZ55" s="11"/>
      <c r="OA55" s="11"/>
      <c r="OB55" s="11"/>
      <c r="OC55" s="11"/>
      <c r="OD55" s="11"/>
      <c r="OE55" s="11"/>
      <c r="OF55" s="11"/>
      <c r="OG55" s="11"/>
      <c r="OH55" s="11"/>
      <c r="OI55" s="11"/>
      <c r="OJ55" s="11"/>
      <c r="OK55" s="11"/>
      <c r="OL55" s="11"/>
      <c r="OM55" s="11"/>
      <c r="ON55" s="11"/>
      <c r="OO55" s="11"/>
      <c r="OP55" s="11"/>
      <c r="OQ55" s="11"/>
      <c r="OR55" s="11"/>
      <c r="OS55" s="11"/>
      <c r="OT55" s="11"/>
      <c r="OU55" s="11"/>
      <c r="OV55" s="11"/>
      <c r="OW55" s="11"/>
      <c r="OX55" s="11"/>
      <c r="OY55" s="11"/>
      <c r="OZ55" s="11"/>
      <c r="PA55" s="11"/>
      <c r="PB55" s="11"/>
      <c r="PC55" s="11"/>
      <c r="PD55" s="11"/>
      <c r="PE55" s="11"/>
      <c r="PF55" s="11"/>
      <c r="PG55" s="11"/>
      <c r="PH55" s="11"/>
      <c r="PI55" s="11"/>
      <c r="PJ55" s="11"/>
      <c r="PK55" s="11"/>
      <c r="PL55" s="11"/>
      <c r="PM55" s="11"/>
      <c r="PN55" s="11"/>
      <c r="PO55" s="11"/>
      <c r="PP55" s="11"/>
      <c r="PQ55" s="11"/>
      <c r="PR55" s="11"/>
      <c r="PS55" s="11"/>
      <c r="PT55" s="11"/>
      <c r="PU55" s="11"/>
      <c r="PV55" s="11"/>
      <c r="PW55" s="11"/>
      <c r="PX55" s="11"/>
      <c r="PY55" s="11"/>
      <c r="PZ55" s="11"/>
      <c r="QA55" s="11"/>
      <c r="QB55" s="11"/>
      <c r="QC55" s="11"/>
      <c r="QD55" s="11"/>
      <c r="QE55" s="11"/>
      <c r="QF55" s="11"/>
      <c r="QG55" s="11"/>
      <c r="QH55" s="11"/>
      <c r="QI55" s="11"/>
      <c r="QJ55" s="11"/>
      <c r="QK55" s="11"/>
      <c r="QL55" s="11"/>
      <c r="QM55" s="11"/>
      <c r="QN55" s="11"/>
      <c r="QO55" s="11"/>
      <c r="QP55" s="11"/>
      <c r="QQ55" s="11"/>
      <c r="QR55" s="11"/>
      <c r="QS55" s="11"/>
      <c r="QT55" s="11"/>
      <c r="QU55" s="11"/>
      <c r="QV55" s="11"/>
      <c r="QW55" s="11"/>
      <c r="QX55" s="11"/>
      <c r="QY55" s="11"/>
      <c r="QZ55" s="11"/>
      <c r="RA55" s="11"/>
      <c r="RB55" s="11"/>
      <c r="RC55" s="11"/>
      <c r="RD55" s="11"/>
      <c r="RE55" s="11"/>
      <c r="RF55" s="11"/>
      <c r="RG55" s="11"/>
      <c r="RH55" s="11"/>
      <c r="RI55" s="11"/>
      <c r="RJ55" s="11"/>
      <c r="RK55" s="11"/>
      <c r="RL55" s="11"/>
      <c r="RM55" s="11"/>
      <c r="RN55" s="11"/>
      <c r="RO55" s="11"/>
      <c r="RP55" s="11"/>
      <c r="RQ55" s="11"/>
      <c r="RR55" s="11"/>
      <c r="RS55" s="11"/>
      <c r="RT55" s="11"/>
      <c r="RU55" s="11"/>
      <c r="RV55" s="11"/>
      <c r="RW55" s="11"/>
      <c r="RX55" s="11"/>
      <c r="RY55" s="11"/>
      <c r="RZ55" s="11"/>
      <c r="SA55" s="11"/>
      <c r="SB55" s="11"/>
      <c r="SC55" s="11"/>
      <c r="SD55" s="11"/>
      <c r="SE55" s="11"/>
      <c r="SF55" s="11"/>
      <c r="SG55" s="11"/>
      <c r="SH55" s="11"/>
      <c r="SI55" s="11"/>
      <c r="SJ55" s="11"/>
      <c r="SK55" s="11"/>
      <c r="SL55" s="11"/>
      <c r="SM55" s="11"/>
      <c r="SN55" s="11"/>
      <c r="SO55" s="11"/>
      <c r="SP55" s="11"/>
      <c r="SQ55" s="11"/>
      <c r="SR55" s="11"/>
      <c r="SS55" s="11"/>
      <c r="ST55" s="11"/>
      <c r="SU55" s="11"/>
      <c r="SV55" s="11"/>
      <c r="SW55" s="11"/>
      <c r="SX55" s="11"/>
      <c r="SY55" s="11"/>
      <c r="SZ55" s="11"/>
      <c r="TA55" s="11"/>
      <c r="TB55" s="11"/>
      <c r="TC55" s="11"/>
      <c r="TD55" s="11"/>
      <c r="TE55" s="11"/>
      <c r="TF55" s="11"/>
      <c r="TG55" s="11"/>
      <c r="TH55" s="11"/>
      <c r="TI55" s="11"/>
      <c r="TJ55" s="11"/>
      <c r="TK55" s="11"/>
      <c r="TL55" s="11"/>
      <c r="TM55" s="11"/>
      <c r="TN55" s="11"/>
      <c r="TO55" s="11"/>
      <c r="TP55" s="11"/>
      <c r="TQ55" s="11"/>
      <c r="TR55" s="11"/>
      <c r="TS55" s="11"/>
      <c r="TT55" s="11"/>
      <c r="TU55" s="11"/>
      <c r="TV55" s="11"/>
      <c r="TW55" s="11"/>
      <c r="TX55" s="11"/>
      <c r="TY55" s="11"/>
      <c r="TZ55" s="11"/>
      <c r="UA55" s="11"/>
      <c r="UB55" s="11"/>
      <c r="UC55" s="11"/>
      <c r="UD55" s="11"/>
      <c r="UE55" s="11"/>
      <c r="UF55" s="11"/>
      <c r="UG55" s="11"/>
      <c r="UH55" s="11"/>
      <c r="UI55" s="11"/>
      <c r="UJ55" s="11"/>
      <c r="UK55" s="11"/>
      <c r="UL55" s="11"/>
      <c r="UM55" s="11"/>
      <c r="UN55" s="11"/>
      <c r="UO55" s="11"/>
      <c r="UP55" s="11"/>
      <c r="UQ55" s="11"/>
      <c r="UR55" s="11"/>
      <c r="US55" s="11"/>
      <c r="UT55" s="11"/>
      <c r="UU55" s="11"/>
      <c r="UV55" s="11"/>
      <c r="UW55" s="11"/>
      <c r="UX55" s="11"/>
      <c r="UY55" s="11"/>
      <c r="UZ55" s="11"/>
      <c r="VA55" s="11"/>
      <c r="VB55" s="11"/>
      <c r="VC55" s="11"/>
      <c r="VD55" s="11"/>
      <c r="VE55" s="11"/>
      <c r="VF55" s="11"/>
      <c r="VG55" s="11"/>
      <c r="VH55" s="11"/>
      <c r="VI55" s="11"/>
      <c r="VJ55" s="11"/>
      <c r="VK55" s="11"/>
      <c r="VL55" s="11"/>
      <c r="VM55" s="11"/>
      <c r="VN55" s="11"/>
      <c r="VO55" s="11"/>
      <c r="VP55" s="11"/>
      <c r="VQ55" s="11"/>
      <c r="VR55" s="11"/>
      <c r="VS55" s="11"/>
      <c r="VT55" s="11"/>
      <c r="VU55" s="11"/>
      <c r="VV55" s="11"/>
      <c r="VW55" s="11"/>
      <c r="VX55" s="11"/>
      <c r="VY55" s="11"/>
      <c r="VZ55" s="11"/>
      <c r="WA55" s="11"/>
      <c r="WB55" s="11"/>
      <c r="WC55" s="11"/>
      <c r="WD55" s="11"/>
      <c r="WE55" s="11"/>
      <c r="WF55" s="11"/>
      <c r="WG55" s="11"/>
      <c r="WH55" s="11"/>
      <c r="WI55" s="11"/>
      <c r="WJ55" s="11"/>
      <c r="WK55" s="11"/>
      <c r="WL55" s="11"/>
      <c r="WM55" s="11"/>
      <c r="WN55" s="11"/>
      <c r="WO55" s="11"/>
      <c r="WP55" s="11"/>
      <c r="WQ55" s="11"/>
      <c r="WR55" s="11"/>
      <c r="WS55" s="11"/>
      <c r="WT55" s="11"/>
      <c r="WU55" s="11"/>
      <c r="WV55" s="11"/>
      <c r="WW55" s="11"/>
      <c r="WX55" s="11"/>
      <c r="WY55" s="11"/>
      <c r="WZ55" s="11"/>
      <c r="XA55" s="11"/>
      <c r="XB55" s="11"/>
      <c r="XC55" s="11"/>
      <c r="XD55" s="11"/>
      <c r="XE55" s="11"/>
      <c r="XF55" s="11"/>
      <c r="XG55" s="11"/>
      <c r="XH55" s="11"/>
      <c r="XI55" s="11"/>
      <c r="XJ55" s="11"/>
      <c r="XK55" s="11"/>
      <c r="XL55" s="11"/>
      <c r="XM55" s="11"/>
      <c r="XN55" s="11"/>
      <c r="XO55" s="11"/>
      <c r="XP55" s="11"/>
      <c r="XQ55" s="11"/>
      <c r="XR55" s="11"/>
      <c r="XS55" s="11"/>
      <c r="XT55" s="11"/>
      <c r="XU55" s="11"/>
      <c r="XV55" s="11"/>
      <c r="XW55" s="11"/>
      <c r="XX55" s="11"/>
      <c r="XY55" s="11"/>
      <c r="XZ55" s="11"/>
      <c r="YA55" s="11"/>
      <c r="YB55" s="11"/>
      <c r="YC55" s="11"/>
      <c r="YD55" s="11"/>
      <c r="YE55" s="11"/>
      <c r="YF55" s="11"/>
      <c r="YG55" s="11"/>
      <c r="YH55" s="11"/>
      <c r="YI55" s="11"/>
      <c r="YJ55" s="11"/>
      <c r="YK55" s="11"/>
      <c r="YL55" s="11"/>
      <c r="YM55" s="11"/>
      <c r="YN55" s="11"/>
      <c r="YO55" s="11"/>
      <c r="YP55" s="11"/>
      <c r="YQ55" s="11"/>
      <c r="YR55" s="11"/>
      <c r="YS55" s="11"/>
      <c r="YT55" s="11"/>
      <c r="YU55" s="11"/>
      <c r="YV55" s="11"/>
      <c r="YW55" s="11"/>
      <c r="YX55" s="11"/>
      <c r="YY55" s="11"/>
      <c r="YZ55" s="11"/>
      <c r="ZA55" s="11"/>
      <c r="ZB55" s="11"/>
      <c r="ZC55" s="11"/>
      <c r="ZD55" s="11"/>
      <c r="ZE55" s="11"/>
      <c r="ZF55" s="11"/>
      <c r="ZG55" s="11"/>
      <c r="ZH55" s="11"/>
      <c r="ZI55" s="11"/>
      <c r="ZJ55" s="11"/>
      <c r="ZK55" s="11"/>
      <c r="ZL55" s="11"/>
      <c r="ZM55" s="11"/>
      <c r="ZN55" s="11"/>
      <c r="ZO55" s="11"/>
      <c r="ZP55" s="11"/>
      <c r="ZQ55" s="11"/>
      <c r="ZR55" s="11"/>
      <c r="ZS55" s="11"/>
      <c r="ZT55" s="11"/>
      <c r="ZU55" s="11"/>
      <c r="ZV55" s="11"/>
      <c r="ZW55" s="11"/>
      <c r="ZX55" s="11"/>
      <c r="ZY55" s="11"/>
      <c r="ZZ55" s="11"/>
      <c r="AAA55" s="11"/>
      <c r="AAB55" s="11"/>
      <c r="AAC55" s="11"/>
      <c r="AAD55" s="11"/>
      <c r="AAE55" s="11"/>
      <c r="AAF55" s="11"/>
      <c r="AAG55" s="11"/>
      <c r="AAH55" s="11"/>
      <c r="AAI55" s="11"/>
      <c r="AAJ55" s="11"/>
      <c r="AAK55" s="11"/>
      <c r="AAL55" s="11"/>
    </row>
    <row r="56" spans="1:714" s="6" customFormat="1" x14ac:dyDescent="0.3">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c r="HC56" s="11"/>
      <c r="HD56" s="11"/>
      <c r="HE56" s="11"/>
      <c r="HF56" s="11"/>
      <c r="HG56" s="11"/>
      <c r="HH56" s="11"/>
      <c r="HI56" s="11"/>
      <c r="HJ56" s="11"/>
      <c r="HK56" s="11"/>
      <c r="HL56" s="11"/>
      <c r="HM56" s="11"/>
      <c r="HN56" s="11"/>
      <c r="HO56" s="11"/>
      <c r="HP56" s="11"/>
      <c r="HQ56" s="11"/>
      <c r="HR56" s="11"/>
      <c r="HS56" s="11"/>
      <c r="HT56" s="11"/>
      <c r="HU56" s="11"/>
      <c r="HV56" s="11"/>
      <c r="HW56" s="11"/>
      <c r="HX56" s="11"/>
      <c r="HY56" s="11"/>
      <c r="HZ56" s="11"/>
      <c r="IA56" s="11"/>
      <c r="IB56" s="11"/>
      <c r="IC56" s="11"/>
      <c r="ID56" s="11"/>
      <c r="IE56" s="11"/>
      <c r="IF56" s="11"/>
      <c r="IG56" s="11"/>
      <c r="IH56" s="11"/>
      <c r="II56" s="11"/>
      <c r="IJ56" s="11"/>
      <c r="IK56" s="11"/>
      <c r="IL56" s="11"/>
      <c r="IM56" s="11"/>
      <c r="IN56" s="11"/>
      <c r="IO56" s="11"/>
      <c r="IP56" s="11"/>
      <c r="IQ56" s="11"/>
      <c r="IR56" s="11"/>
      <c r="IS56" s="11"/>
      <c r="IT56" s="11"/>
      <c r="IU56" s="11"/>
      <c r="IV56" s="11"/>
      <c r="IW56" s="11"/>
      <c r="IX56" s="11"/>
      <c r="IY56" s="11"/>
      <c r="IZ56" s="11"/>
      <c r="JA56" s="11"/>
      <c r="JB56" s="11"/>
      <c r="JC56" s="11"/>
      <c r="JD56" s="11"/>
      <c r="JE56" s="11"/>
      <c r="JF56" s="11"/>
      <c r="JG56" s="11"/>
      <c r="JH56" s="11"/>
      <c r="JI56" s="11"/>
      <c r="JJ56" s="11"/>
      <c r="JK56" s="11"/>
      <c r="JL56" s="11"/>
      <c r="JM56" s="11"/>
      <c r="JN56" s="11"/>
      <c r="JO56" s="11"/>
      <c r="JP56" s="11"/>
      <c r="JQ56" s="11"/>
      <c r="JR56" s="11"/>
      <c r="JS56" s="11"/>
      <c r="JT56" s="11"/>
      <c r="JU56" s="11"/>
      <c r="JV56" s="11"/>
      <c r="JW56" s="11"/>
      <c r="JX56" s="11"/>
      <c r="JY56" s="11"/>
      <c r="JZ56" s="11"/>
      <c r="KA56" s="11"/>
      <c r="KB56" s="11"/>
      <c r="KC56" s="11"/>
      <c r="KD56" s="11"/>
      <c r="KE56" s="11"/>
      <c r="KF56" s="11"/>
      <c r="KG56" s="11"/>
      <c r="KH56" s="11"/>
      <c r="KI56" s="11"/>
      <c r="KJ56" s="11"/>
      <c r="KK56" s="11"/>
      <c r="KL56" s="11"/>
      <c r="KM56" s="11"/>
      <c r="KN56" s="11"/>
      <c r="KO56" s="11"/>
      <c r="KP56" s="11"/>
      <c r="KQ56" s="11"/>
      <c r="KR56" s="11"/>
      <c r="KS56" s="11"/>
      <c r="KT56" s="11"/>
      <c r="KU56" s="11"/>
      <c r="KV56" s="11"/>
      <c r="KW56" s="11"/>
      <c r="KX56" s="11"/>
      <c r="KY56" s="11"/>
      <c r="KZ56" s="11"/>
      <c r="LA56" s="11"/>
      <c r="LB56" s="11"/>
      <c r="LC56" s="11"/>
      <c r="LD56" s="11"/>
      <c r="LE56" s="11"/>
      <c r="LF56" s="11"/>
      <c r="LG56" s="11"/>
      <c r="LH56" s="11"/>
      <c r="LI56" s="11"/>
      <c r="LJ56" s="11"/>
      <c r="LK56" s="11"/>
      <c r="LL56" s="11"/>
      <c r="LM56" s="11"/>
      <c r="LN56" s="11"/>
      <c r="LO56" s="11"/>
      <c r="LP56" s="11"/>
      <c r="LQ56" s="11"/>
      <c r="LR56" s="11"/>
      <c r="LS56" s="11"/>
      <c r="LT56" s="11"/>
      <c r="LU56" s="11"/>
      <c r="LV56" s="11"/>
      <c r="LW56" s="11"/>
      <c r="LX56" s="11"/>
      <c r="LY56" s="11"/>
      <c r="LZ56" s="11"/>
      <c r="MA56" s="11"/>
      <c r="MB56" s="11"/>
      <c r="MC56" s="11"/>
      <c r="MD56" s="11"/>
      <c r="ME56" s="11"/>
      <c r="MF56" s="11"/>
      <c r="MG56" s="11"/>
      <c r="MH56" s="11"/>
      <c r="MI56" s="11"/>
      <c r="MJ56" s="11"/>
      <c r="MK56" s="11"/>
      <c r="ML56" s="11"/>
      <c r="MM56" s="11"/>
      <c r="MN56" s="11"/>
      <c r="MO56" s="11"/>
      <c r="MP56" s="11"/>
      <c r="MQ56" s="11"/>
      <c r="MR56" s="11"/>
      <c r="MS56" s="11"/>
      <c r="MT56" s="11"/>
      <c r="MU56" s="11"/>
      <c r="MV56" s="11"/>
      <c r="MW56" s="11"/>
      <c r="MX56" s="11"/>
      <c r="MY56" s="11"/>
      <c r="MZ56" s="11"/>
      <c r="NA56" s="11"/>
      <c r="NB56" s="11"/>
      <c r="NC56" s="11"/>
      <c r="ND56" s="11"/>
      <c r="NE56" s="11"/>
      <c r="NF56" s="11"/>
      <c r="NG56" s="11"/>
      <c r="NH56" s="11"/>
      <c r="NI56" s="11"/>
      <c r="NJ56" s="11"/>
      <c r="NK56" s="11"/>
      <c r="NL56" s="11"/>
      <c r="NM56" s="11"/>
      <c r="NN56" s="11"/>
      <c r="NO56" s="11"/>
      <c r="NP56" s="11"/>
      <c r="NQ56" s="11"/>
      <c r="NR56" s="11"/>
      <c r="NS56" s="11"/>
      <c r="NT56" s="11"/>
      <c r="NU56" s="11"/>
      <c r="NV56" s="11"/>
      <c r="NW56" s="11"/>
      <c r="NX56" s="11"/>
      <c r="NY56" s="11"/>
      <c r="NZ56" s="11"/>
      <c r="OA56" s="11"/>
      <c r="OB56" s="11"/>
      <c r="OC56" s="11"/>
      <c r="OD56" s="11"/>
      <c r="OE56" s="11"/>
      <c r="OF56" s="11"/>
      <c r="OG56" s="11"/>
      <c r="OH56" s="11"/>
      <c r="OI56" s="11"/>
      <c r="OJ56" s="11"/>
      <c r="OK56" s="11"/>
      <c r="OL56" s="11"/>
      <c r="OM56" s="11"/>
      <c r="ON56" s="11"/>
      <c r="OO56" s="11"/>
      <c r="OP56" s="11"/>
      <c r="OQ56" s="11"/>
      <c r="OR56" s="11"/>
      <c r="OS56" s="11"/>
      <c r="OT56" s="11"/>
      <c r="OU56" s="11"/>
      <c r="OV56" s="11"/>
      <c r="OW56" s="11"/>
      <c r="OX56" s="11"/>
      <c r="OY56" s="11"/>
      <c r="OZ56" s="11"/>
      <c r="PA56" s="11"/>
      <c r="PB56" s="11"/>
      <c r="PC56" s="11"/>
      <c r="PD56" s="11"/>
      <c r="PE56" s="11"/>
      <c r="PF56" s="11"/>
      <c r="PG56" s="11"/>
      <c r="PH56" s="11"/>
      <c r="PI56" s="11"/>
      <c r="PJ56" s="11"/>
      <c r="PK56" s="11"/>
      <c r="PL56" s="11"/>
      <c r="PM56" s="11"/>
      <c r="PN56" s="11"/>
      <c r="PO56" s="11"/>
      <c r="PP56" s="11"/>
      <c r="PQ56" s="11"/>
      <c r="PR56" s="11"/>
      <c r="PS56" s="11"/>
      <c r="PT56" s="11"/>
      <c r="PU56" s="11"/>
      <c r="PV56" s="11"/>
      <c r="PW56" s="11"/>
      <c r="PX56" s="11"/>
      <c r="PY56" s="11"/>
      <c r="PZ56" s="11"/>
      <c r="QA56" s="11"/>
      <c r="QB56" s="11"/>
      <c r="QC56" s="11"/>
      <c r="QD56" s="11"/>
      <c r="QE56" s="11"/>
      <c r="QF56" s="11"/>
      <c r="QG56" s="11"/>
      <c r="QH56" s="11"/>
      <c r="QI56" s="11"/>
      <c r="QJ56" s="11"/>
      <c r="QK56" s="11"/>
      <c r="QL56" s="11"/>
      <c r="QM56" s="11"/>
      <c r="QN56" s="11"/>
      <c r="QO56" s="11"/>
      <c r="QP56" s="11"/>
      <c r="QQ56" s="11"/>
      <c r="QR56" s="11"/>
      <c r="QS56" s="11"/>
      <c r="QT56" s="11"/>
      <c r="QU56" s="11"/>
      <c r="QV56" s="11"/>
      <c r="QW56" s="11"/>
      <c r="QX56" s="11"/>
      <c r="QY56" s="11"/>
      <c r="QZ56" s="11"/>
      <c r="RA56" s="11"/>
      <c r="RB56" s="11"/>
      <c r="RC56" s="11"/>
      <c r="RD56" s="11"/>
      <c r="RE56" s="11"/>
      <c r="RF56" s="11"/>
      <c r="RG56" s="11"/>
      <c r="RH56" s="11"/>
      <c r="RI56" s="11"/>
      <c r="RJ56" s="11"/>
      <c r="RK56" s="11"/>
      <c r="RL56" s="11"/>
      <c r="RM56" s="11"/>
      <c r="RN56" s="11"/>
      <c r="RO56" s="11"/>
      <c r="RP56" s="11"/>
      <c r="RQ56" s="11"/>
      <c r="RR56" s="11"/>
      <c r="RS56" s="11"/>
      <c r="RT56" s="11"/>
      <c r="RU56" s="11"/>
      <c r="RV56" s="11"/>
      <c r="RW56" s="11"/>
      <c r="RX56" s="11"/>
      <c r="RY56" s="11"/>
      <c r="RZ56" s="11"/>
      <c r="SA56" s="11"/>
      <c r="SB56" s="11"/>
      <c r="SC56" s="11"/>
      <c r="SD56" s="11"/>
      <c r="SE56" s="11"/>
      <c r="SF56" s="11"/>
      <c r="SG56" s="11"/>
      <c r="SH56" s="11"/>
      <c r="SI56" s="11"/>
      <c r="SJ56" s="11"/>
      <c r="SK56" s="11"/>
      <c r="SL56" s="11"/>
      <c r="SM56" s="11"/>
      <c r="SN56" s="11"/>
      <c r="SO56" s="11"/>
      <c r="SP56" s="11"/>
      <c r="SQ56" s="11"/>
      <c r="SR56" s="11"/>
      <c r="SS56" s="11"/>
      <c r="ST56" s="11"/>
      <c r="SU56" s="11"/>
      <c r="SV56" s="11"/>
      <c r="SW56" s="11"/>
      <c r="SX56" s="11"/>
      <c r="SY56" s="11"/>
      <c r="SZ56" s="11"/>
      <c r="TA56" s="11"/>
      <c r="TB56" s="11"/>
      <c r="TC56" s="11"/>
      <c r="TD56" s="11"/>
      <c r="TE56" s="11"/>
      <c r="TF56" s="11"/>
      <c r="TG56" s="11"/>
      <c r="TH56" s="11"/>
      <c r="TI56" s="11"/>
      <c r="TJ56" s="11"/>
      <c r="TK56" s="11"/>
      <c r="TL56" s="11"/>
      <c r="TM56" s="11"/>
      <c r="TN56" s="11"/>
      <c r="TO56" s="11"/>
      <c r="TP56" s="11"/>
      <c r="TQ56" s="11"/>
      <c r="TR56" s="11"/>
      <c r="TS56" s="11"/>
      <c r="TT56" s="11"/>
      <c r="TU56" s="11"/>
      <c r="TV56" s="11"/>
      <c r="TW56" s="11"/>
      <c r="TX56" s="11"/>
      <c r="TY56" s="11"/>
      <c r="TZ56" s="11"/>
      <c r="UA56" s="11"/>
      <c r="UB56" s="11"/>
      <c r="UC56" s="11"/>
      <c r="UD56" s="11"/>
      <c r="UE56" s="11"/>
      <c r="UF56" s="11"/>
      <c r="UG56" s="11"/>
      <c r="UH56" s="11"/>
      <c r="UI56" s="11"/>
      <c r="UJ56" s="11"/>
      <c r="UK56" s="11"/>
      <c r="UL56" s="11"/>
      <c r="UM56" s="11"/>
      <c r="UN56" s="11"/>
      <c r="UO56" s="11"/>
      <c r="UP56" s="11"/>
      <c r="UQ56" s="11"/>
      <c r="UR56" s="11"/>
      <c r="US56" s="11"/>
      <c r="UT56" s="11"/>
      <c r="UU56" s="11"/>
      <c r="UV56" s="11"/>
      <c r="UW56" s="11"/>
      <c r="UX56" s="11"/>
      <c r="UY56" s="11"/>
      <c r="UZ56" s="11"/>
      <c r="VA56" s="11"/>
      <c r="VB56" s="11"/>
      <c r="VC56" s="11"/>
      <c r="VD56" s="11"/>
      <c r="VE56" s="11"/>
      <c r="VF56" s="11"/>
      <c r="VG56" s="11"/>
      <c r="VH56" s="11"/>
      <c r="VI56" s="11"/>
      <c r="VJ56" s="11"/>
      <c r="VK56" s="11"/>
      <c r="VL56" s="11"/>
      <c r="VM56" s="11"/>
      <c r="VN56" s="11"/>
      <c r="VO56" s="11"/>
      <c r="VP56" s="11"/>
      <c r="VQ56" s="11"/>
      <c r="VR56" s="11"/>
      <c r="VS56" s="11"/>
      <c r="VT56" s="11"/>
      <c r="VU56" s="11"/>
      <c r="VV56" s="11"/>
      <c r="VW56" s="11"/>
      <c r="VX56" s="11"/>
      <c r="VY56" s="11"/>
      <c r="VZ56" s="11"/>
      <c r="WA56" s="11"/>
      <c r="WB56" s="11"/>
      <c r="WC56" s="11"/>
      <c r="WD56" s="11"/>
      <c r="WE56" s="11"/>
      <c r="WF56" s="11"/>
      <c r="WG56" s="11"/>
      <c r="WH56" s="11"/>
      <c r="WI56" s="11"/>
      <c r="WJ56" s="11"/>
      <c r="WK56" s="11"/>
      <c r="WL56" s="11"/>
      <c r="WM56" s="11"/>
      <c r="WN56" s="11"/>
      <c r="WO56" s="11"/>
      <c r="WP56" s="11"/>
      <c r="WQ56" s="11"/>
      <c r="WR56" s="11"/>
      <c r="WS56" s="11"/>
      <c r="WT56" s="11"/>
      <c r="WU56" s="11"/>
      <c r="WV56" s="11"/>
      <c r="WW56" s="11"/>
      <c r="WX56" s="11"/>
      <c r="WY56" s="11"/>
      <c r="WZ56" s="11"/>
      <c r="XA56" s="11"/>
      <c r="XB56" s="11"/>
      <c r="XC56" s="11"/>
      <c r="XD56" s="11"/>
      <c r="XE56" s="11"/>
      <c r="XF56" s="11"/>
      <c r="XG56" s="11"/>
      <c r="XH56" s="11"/>
      <c r="XI56" s="11"/>
      <c r="XJ56" s="11"/>
      <c r="XK56" s="11"/>
      <c r="XL56" s="11"/>
      <c r="XM56" s="11"/>
      <c r="XN56" s="11"/>
      <c r="XO56" s="11"/>
      <c r="XP56" s="11"/>
      <c r="XQ56" s="11"/>
      <c r="XR56" s="11"/>
      <c r="XS56" s="11"/>
      <c r="XT56" s="11"/>
      <c r="XU56" s="11"/>
      <c r="XV56" s="11"/>
      <c r="XW56" s="11"/>
      <c r="XX56" s="11"/>
      <c r="XY56" s="11"/>
      <c r="XZ56" s="11"/>
      <c r="YA56" s="11"/>
      <c r="YB56" s="11"/>
      <c r="YC56" s="11"/>
      <c r="YD56" s="11"/>
      <c r="YE56" s="11"/>
      <c r="YF56" s="11"/>
      <c r="YG56" s="11"/>
      <c r="YH56" s="11"/>
      <c r="YI56" s="11"/>
      <c r="YJ56" s="11"/>
      <c r="YK56" s="11"/>
      <c r="YL56" s="11"/>
      <c r="YM56" s="11"/>
      <c r="YN56" s="11"/>
      <c r="YO56" s="11"/>
      <c r="YP56" s="11"/>
      <c r="YQ56" s="11"/>
      <c r="YR56" s="11"/>
      <c r="YS56" s="11"/>
      <c r="YT56" s="11"/>
      <c r="YU56" s="11"/>
      <c r="YV56" s="11"/>
      <c r="YW56" s="11"/>
      <c r="YX56" s="11"/>
      <c r="YY56" s="11"/>
      <c r="YZ56" s="11"/>
      <c r="ZA56" s="11"/>
      <c r="ZB56" s="11"/>
      <c r="ZC56" s="11"/>
      <c r="ZD56" s="11"/>
      <c r="ZE56" s="11"/>
      <c r="ZF56" s="11"/>
      <c r="ZG56" s="11"/>
      <c r="ZH56" s="11"/>
      <c r="ZI56" s="11"/>
      <c r="ZJ56" s="11"/>
      <c r="ZK56" s="11"/>
      <c r="ZL56" s="11"/>
      <c r="ZM56" s="11"/>
      <c r="ZN56" s="11"/>
      <c r="ZO56" s="11"/>
      <c r="ZP56" s="11"/>
      <c r="ZQ56" s="11"/>
      <c r="ZR56" s="11"/>
      <c r="ZS56" s="11"/>
      <c r="ZT56" s="11"/>
      <c r="ZU56" s="11"/>
      <c r="ZV56" s="11"/>
      <c r="ZW56" s="11"/>
      <c r="ZX56" s="11"/>
      <c r="ZY56" s="11"/>
      <c r="ZZ56" s="11"/>
      <c r="AAA56" s="11"/>
      <c r="AAB56" s="11"/>
      <c r="AAC56" s="11"/>
      <c r="AAD56" s="11"/>
      <c r="AAE56" s="11"/>
      <c r="AAF56" s="11"/>
      <c r="AAG56" s="11"/>
      <c r="AAH56" s="11"/>
      <c r="AAI56" s="11"/>
      <c r="AAJ56" s="11"/>
      <c r="AAK56" s="11"/>
      <c r="AAL56" s="11"/>
    </row>
    <row r="57" spans="1:714" s="6" customFormat="1" x14ac:dyDescent="0.3">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GY57" s="11"/>
      <c r="GZ57" s="11"/>
      <c r="HA57" s="11"/>
      <c r="HB57" s="11"/>
      <c r="HC57" s="11"/>
      <c r="HD57" s="11"/>
      <c r="HE57" s="11"/>
      <c r="HF57" s="11"/>
      <c r="HG57" s="11"/>
      <c r="HH57" s="11"/>
      <c r="HI57" s="11"/>
      <c r="HJ57" s="11"/>
      <c r="HK57" s="11"/>
      <c r="HL57" s="11"/>
      <c r="HM57" s="11"/>
      <c r="HN57" s="11"/>
      <c r="HO57" s="11"/>
      <c r="HP57" s="11"/>
      <c r="HQ57" s="11"/>
      <c r="HR57" s="11"/>
      <c r="HS57" s="11"/>
      <c r="HT57" s="11"/>
      <c r="HU57" s="11"/>
      <c r="HV57" s="11"/>
      <c r="HW57" s="11"/>
      <c r="HX57" s="11"/>
      <c r="HY57" s="11"/>
      <c r="HZ57" s="11"/>
      <c r="IA57" s="11"/>
      <c r="IB57" s="11"/>
      <c r="IC57" s="11"/>
      <c r="ID57" s="11"/>
      <c r="IE57" s="11"/>
      <c r="IF57" s="11"/>
      <c r="IG57" s="11"/>
      <c r="IH57" s="11"/>
      <c r="II57" s="11"/>
      <c r="IJ57" s="11"/>
      <c r="IK57" s="11"/>
      <c r="IL57" s="11"/>
      <c r="IM57" s="11"/>
      <c r="IN57" s="11"/>
      <c r="IO57" s="11"/>
      <c r="IP57" s="11"/>
      <c r="IQ57" s="11"/>
      <c r="IR57" s="11"/>
      <c r="IS57" s="11"/>
      <c r="IT57" s="11"/>
      <c r="IU57" s="11"/>
      <c r="IV57" s="11"/>
      <c r="IW57" s="11"/>
      <c r="IX57" s="11"/>
      <c r="IY57" s="11"/>
      <c r="IZ57" s="11"/>
      <c r="JA57" s="11"/>
      <c r="JB57" s="11"/>
      <c r="JC57" s="11"/>
      <c r="JD57" s="11"/>
      <c r="JE57" s="11"/>
      <c r="JF57" s="11"/>
      <c r="JG57" s="11"/>
      <c r="JH57" s="11"/>
      <c r="JI57" s="11"/>
      <c r="JJ57" s="11"/>
      <c r="JK57" s="11"/>
      <c r="JL57" s="11"/>
      <c r="JM57" s="11"/>
      <c r="JN57" s="11"/>
      <c r="JO57" s="11"/>
      <c r="JP57" s="11"/>
      <c r="JQ57" s="11"/>
      <c r="JR57" s="11"/>
      <c r="JS57" s="11"/>
      <c r="JT57" s="11"/>
      <c r="JU57" s="11"/>
      <c r="JV57" s="11"/>
      <c r="JW57" s="11"/>
      <c r="JX57" s="11"/>
      <c r="JY57" s="11"/>
      <c r="JZ57" s="11"/>
      <c r="KA57" s="11"/>
      <c r="KB57" s="11"/>
      <c r="KC57" s="11"/>
      <c r="KD57" s="11"/>
      <c r="KE57" s="11"/>
      <c r="KF57" s="11"/>
      <c r="KG57" s="11"/>
      <c r="KH57" s="11"/>
      <c r="KI57" s="11"/>
      <c r="KJ57" s="11"/>
      <c r="KK57" s="11"/>
      <c r="KL57" s="11"/>
      <c r="KM57" s="11"/>
      <c r="KN57" s="11"/>
      <c r="KO57" s="11"/>
      <c r="KP57" s="11"/>
      <c r="KQ57" s="11"/>
      <c r="KR57" s="11"/>
      <c r="KS57" s="11"/>
      <c r="KT57" s="11"/>
      <c r="KU57" s="11"/>
      <c r="KV57" s="11"/>
      <c r="KW57" s="11"/>
      <c r="KX57" s="11"/>
      <c r="KY57" s="11"/>
      <c r="KZ57" s="11"/>
      <c r="LA57" s="11"/>
      <c r="LB57" s="11"/>
      <c r="LC57" s="11"/>
      <c r="LD57" s="11"/>
      <c r="LE57" s="11"/>
      <c r="LF57" s="11"/>
      <c r="LG57" s="11"/>
      <c r="LH57" s="11"/>
      <c r="LI57" s="11"/>
      <c r="LJ57" s="11"/>
      <c r="LK57" s="11"/>
      <c r="LL57" s="11"/>
      <c r="LM57" s="11"/>
      <c r="LN57" s="11"/>
      <c r="LO57" s="11"/>
      <c r="LP57" s="11"/>
      <c r="LQ57" s="11"/>
      <c r="LR57" s="11"/>
      <c r="LS57" s="11"/>
      <c r="LT57" s="11"/>
      <c r="LU57" s="11"/>
      <c r="LV57" s="11"/>
      <c r="LW57" s="11"/>
      <c r="LX57" s="11"/>
      <c r="LY57" s="11"/>
      <c r="LZ57" s="11"/>
      <c r="MA57" s="11"/>
      <c r="MB57" s="11"/>
      <c r="MC57" s="11"/>
      <c r="MD57" s="11"/>
      <c r="ME57" s="11"/>
      <c r="MF57" s="11"/>
      <c r="MG57" s="11"/>
      <c r="MH57" s="11"/>
      <c r="MI57" s="11"/>
      <c r="MJ57" s="11"/>
      <c r="MK57" s="11"/>
      <c r="ML57" s="11"/>
      <c r="MM57" s="11"/>
      <c r="MN57" s="11"/>
      <c r="MO57" s="11"/>
      <c r="MP57" s="11"/>
      <c r="MQ57" s="11"/>
      <c r="MR57" s="11"/>
      <c r="MS57" s="11"/>
      <c r="MT57" s="11"/>
      <c r="MU57" s="11"/>
      <c r="MV57" s="11"/>
      <c r="MW57" s="11"/>
      <c r="MX57" s="11"/>
      <c r="MY57" s="11"/>
      <c r="MZ57" s="11"/>
      <c r="NA57" s="11"/>
      <c r="NB57" s="11"/>
      <c r="NC57" s="11"/>
      <c r="ND57" s="11"/>
      <c r="NE57" s="11"/>
      <c r="NF57" s="11"/>
      <c r="NG57" s="11"/>
      <c r="NH57" s="11"/>
      <c r="NI57" s="11"/>
      <c r="NJ57" s="11"/>
      <c r="NK57" s="11"/>
      <c r="NL57" s="11"/>
      <c r="NM57" s="11"/>
      <c r="NN57" s="11"/>
      <c r="NO57" s="11"/>
      <c r="NP57" s="11"/>
      <c r="NQ57" s="11"/>
      <c r="NR57" s="11"/>
      <c r="NS57" s="11"/>
      <c r="NT57" s="11"/>
      <c r="NU57" s="11"/>
      <c r="NV57" s="11"/>
      <c r="NW57" s="11"/>
      <c r="NX57" s="11"/>
      <c r="NY57" s="11"/>
      <c r="NZ57" s="11"/>
      <c r="OA57" s="11"/>
      <c r="OB57" s="11"/>
      <c r="OC57" s="11"/>
      <c r="OD57" s="11"/>
      <c r="OE57" s="11"/>
      <c r="OF57" s="11"/>
      <c r="OG57" s="11"/>
      <c r="OH57" s="11"/>
      <c r="OI57" s="11"/>
      <c r="OJ57" s="11"/>
      <c r="OK57" s="11"/>
      <c r="OL57" s="11"/>
      <c r="OM57" s="11"/>
      <c r="ON57" s="11"/>
      <c r="OO57" s="11"/>
      <c r="OP57" s="11"/>
      <c r="OQ57" s="11"/>
      <c r="OR57" s="11"/>
      <c r="OS57" s="11"/>
      <c r="OT57" s="11"/>
      <c r="OU57" s="11"/>
      <c r="OV57" s="11"/>
      <c r="OW57" s="11"/>
      <c r="OX57" s="11"/>
      <c r="OY57" s="11"/>
      <c r="OZ57" s="11"/>
      <c r="PA57" s="11"/>
      <c r="PB57" s="11"/>
      <c r="PC57" s="11"/>
      <c r="PD57" s="11"/>
      <c r="PE57" s="11"/>
      <c r="PF57" s="11"/>
      <c r="PG57" s="11"/>
      <c r="PH57" s="11"/>
      <c r="PI57" s="11"/>
      <c r="PJ57" s="11"/>
      <c r="PK57" s="11"/>
      <c r="PL57" s="11"/>
      <c r="PM57" s="11"/>
      <c r="PN57" s="11"/>
      <c r="PO57" s="11"/>
      <c r="PP57" s="11"/>
      <c r="PQ57" s="11"/>
      <c r="PR57" s="11"/>
      <c r="PS57" s="11"/>
      <c r="PT57" s="11"/>
      <c r="PU57" s="11"/>
      <c r="PV57" s="11"/>
      <c r="PW57" s="11"/>
      <c r="PX57" s="11"/>
      <c r="PY57" s="11"/>
      <c r="PZ57" s="11"/>
      <c r="QA57" s="11"/>
      <c r="QB57" s="11"/>
      <c r="QC57" s="11"/>
      <c r="QD57" s="11"/>
      <c r="QE57" s="11"/>
      <c r="QF57" s="11"/>
      <c r="QG57" s="11"/>
      <c r="QH57" s="11"/>
      <c r="QI57" s="11"/>
      <c r="QJ57" s="11"/>
      <c r="QK57" s="11"/>
      <c r="QL57" s="11"/>
      <c r="QM57" s="11"/>
      <c r="QN57" s="11"/>
      <c r="QO57" s="11"/>
      <c r="QP57" s="11"/>
      <c r="QQ57" s="11"/>
      <c r="QR57" s="11"/>
      <c r="QS57" s="11"/>
      <c r="QT57" s="11"/>
      <c r="QU57" s="11"/>
      <c r="QV57" s="11"/>
      <c r="QW57" s="11"/>
      <c r="QX57" s="11"/>
      <c r="QY57" s="11"/>
      <c r="QZ57" s="11"/>
      <c r="RA57" s="11"/>
      <c r="RB57" s="11"/>
      <c r="RC57" s="11"/>
      <c r="RD57" s="11"/>
      <c r="RE57" s="11"/>
      <c r="RF57" s="11"/>
      <c r="RG57" s="11"/>
      <c r="RH57" s="11"/>
      <c r="RI57" s="11"/>
      <c r="RJ57" s="11"/>
      <c r="RK57" s="11"/>
      <c r="RL57" s="11"/>
      <c r="RM57" s="11"/>
      <c r="RN57" s="11"/>
      <c r="RO57" s="11"/>
      <c r="RP57" s="11"/>
      <c r="RQ57" s="11"/>
      <c r="RR57" s="11"/>
      <c r="RS57" s="11"/>
      <c r="RT57" s="11"/>
      <c r="RU57" s="11"/>
      <c r="RV57" s="11"/>
      <c r="RW57" s="11"/>
      <c r="RX57" s="11"/>
      <c r="RY57" s="11"/>
      <c r="RZ57" s="11"/>
      <c r="SA57" s="11"/>
      <c r="SB57" s="11"/>
      <c r="SC57" s="11"/>
      <c r="SD57" s="11"/>
      <c r="SE57" s="11"/>
      <c r="SF57" s="11"/>
      <c r="SG57" s="11"/>
      <c r="SH57" s="11"/>
      <c r="SI57" s="11"/>
      <c r="SJ57" s="11"/>
      <c r="SK57" s="11"/>
      <c r="SL57" s="11"/>
      <c r="SM57" s="11"/>
      <c r="SN57" s="11"/>
      <c r="SO57" s="11"/>
      <c r="SP57" s="11"/>
      <c r="SQ57" s="11"/>
      <c r="SR57" s="11"/>
      <c r="SS57" s="11"/>
      <c r="ST57" s="11"/>
      <c r="SU57" s="11"/>
      <c r="SV57" s="11"/>
      <c r="SW57" s="11"/>
      <c r="SX57" s="11"/>
      <c r="SY57" s="11"/>
      <c r="SZ57" s="11"/>
      <c r="TA57" s="11"/>
      <c r="TB57" s="11"/>
      <c r="TC57" s="11"/>
      <c r="TD57" s="11"/>
      <c r="TE57" s="11"/>
      <c r="TF57" s="11"/>
      <c r="TG57" s="11"/>
      <c r="TH57" s="11"/>
      <c r="TI57" s="11"/>
      <c r="TJ57" s="11"/>
      <c r="TK57" s="11"/>
      <c r="TL57" s="11"/>
      <c r="TM57" s="11"/>
      <c r="TN57" s="11"/>
      <c r="TO57" s="11"/>
      <c r="TP57" s="11"/>
      <c r="TQ57" s="11"/>
      <c r="TR57" s="11"/>
      <c r="TS57" s="11"/>
      <c r="TT57" s="11"/>
      <c r="TU57" s="11"/>
      <c r="TV57" s="11"/>
      <c r="TW57" s="11"/>
      <c r="TX57" s="11"/>
      <c r="TY57" s="11"/>
      <c r="TZ57" s="11"/>
      <c r="UA57" s="11"/>
      <c r="UB57" s="11"/>
      <c r="UC57" s="11"/>
      <c r="UD57" s="11"/>
      <c r="UE57" s="11"/>
      <c r="UF57" s="11"/>
      <c r="UG57" s="11"/>
      <c r="UH57" s="11"/>
      <c r="UI57" s="11"/>
      <c r="UJ57" s="11"/>
      <c r="UK57" s="11"/>
      <c r="UL57" s="11"/>
      <c r="UM57" s="11"/>
      <c r="UN57" s="11"/>
      <c r="UO57" s="11"/>
      <c r="UP57" s="11"/>
      <c r="UQ57" s="11"/>
      <c r="UR57" s="11"/>
      <c r="US57" s="11"/>
      <c r="UT57" s="11"/>
      <c r="UU57" s="11"/>
      <c r="UV57" s="11"/>
      <c r="UW57" s="11"/>
      <c r="UX57" s="11"/>
      <c r="UY57" s="11"/>
      <c r="UZ57" s="11"/>
      <c r="VA57" s="11"/>
      <c r="VB57" s="11"/>
      <c r="VC57" s="11"/>
      <c r="VD57" s="11"/>
      <c r="VE57" s="11"/>
      <c r="VF57" s="11"/>
      <c r="VG57" s="11"/>
      <c r="VH57" s="11"/>
      <c r="VI57" s="11"/>
      <c r="VJ57" s="11"/>
      <c r="VK57" s="11"/>
      <c r="VL57" s="11"/>
      <c r="VM57" s="11"/>
      <c r="VN57" s="11"/>
      <c r="VO57" s="11"/>
      <c r="VP57" s="11"/>
      <c r="VQ57" s="11"/>
      <c r="VR57" s="11"/>
      <c r="VS57" s="11"/>
      <c r="VT57" s="11"/>
      <c r="VU57" s="11"/>
      <c r="VV57" s="11"/>
      <c r="VW57" s="11"/>
      <c r="VX57" s="11"/>
      <c r="VY57" s="11"/>
      <c r="VZ57" s="11"/>
      <c r="WA57" s="11"/>
      <c r="WB57" s="11"/>
      <c r="WC57" s="11"/>
      <c r="WD57" s="11"/>
      <c r="WE57" s="11"/>
      <c r="WF57" s="11"/>
      <c r="WG57" s="11"/>
      <c r="WH57" s="11"/>
      <c r="WI57" s="11"/>
      <c r="WJ57" s="11"/>
      <c r="WK57" s="11"/>
      <c r="WL57" s="11"/>
      <c r="WM57" s="11"/>
      <c r="WN57" s="11"/>
      <c r="WO57" s="11"/>
      <c r="WP57" s="11"/>
      <c r="WQ57" s="11"/>
      <c r="WR57" s="11"/>
      <c r="WS57" s="11"/>
      <c r="WT57" s="11"/>
      <c r="WU57" s="11"/>
      <c r="WV57" s="11"/>
      <c r="WW57" s="11"/>
      <c r="WX57" s="11"/>
      <c r="WY57" s="11"/>
      <c r="WZ57" s="11"/>
      <c r="XA57" s="11"/>
      <c r="XB57" s="11"/>
      <c r="XC57" s="11"/>
      <c r="XD57" s="11"/>
      <c r="XE57" s="11"/>
      <c r="XF57" s="11"/>
      <c r="XG57" s="11"/>
      <c r="XH57" s="11"/>
      <c r="XI57" s="11"/>
      <c r="XJ57" s="11"/>
      <c r="XK57" s="11"/>
      <c r="XL57" s="11"/>
      <c r="XM57" s="11"/>
      <c r="XN57" s="11"/>
      <c r="XO57" s="11"/>
      <c r="XP57" s="11"/>
      <c r="XQ57" s="11"/>
      <c r="XR57" s="11"/>
      <c r="XS57" s="11"/>
      <c r="XT57" s="11"/>
      <c r="XU57" s="11"/>
      <c r="XV57" s="11"/>
      <c r="XW57" s="11"/>
      <c r="XX57" s="11"/>
      <c r="XY57" s="11"/>
      <c r="XZ57" s="11"/>
      <c r="YA57" s="11"/>
      <c r="YB57" s="11"/>
      <c r="YC57" s="11"/>
      <c r="YD57" s="11"/>
      <c r="YE57" s="11"/>
      <c r="YF57" s="11"/>
      <c r="YG57" s="11"/>
      <c r="YH57" s="11"/>
      <c r="YI57" s="11"/>
      <c r="YJ57" s="11"/>
      <c r="YK57" s="11"/>
      <c r="YL57" s="11"/>
      <c r="YM57" s="11"/>
      <c r="YN57" s="11"/>
      <c r="YO57" s="11"/>
      <c r="YP57" s="11"/>
      <c r="YQ57" s="11"/>
      <c r="YR57" s="11"/>
      <c r="YS57" s="11"/>
      <c r="YT57" s="11"/>
      <c r="YU57" s="11"/>
      <c r="YV57" s="11"/>
      <c r="YW57" s="11"/>
      <c r="YX57" s="11"/>
      <c r="YY57" s="11"/>
      <c r="YZ57" s="11"/>
      <c r="ZA57" s="11"/>
      <c r="ZB57" s="11"/>
      <c r="ZC57" s="11"/>
      <c r="ZD57" s="11"/>
      <c r="ZE57" s="11"/>
      <c r="ZF57" s="11"/>
      <c r="ZG57" s="11"/>
      <c r="ZH57" s="11"/>
      <c r="ZI57" s="11"/>
      <c r="ZJ57" s="11"/>
      <c r="ZK57" s="11"/>
      <c r="ZL57" s="11"/>
      <c r="ZM57" s="11"/>
      <c r="ZN57" s="11"/>
      <c r="ZO57" s="11"/>
      <c r="ZP57" s="11"/>
      <c r="ZQ57" s="11"/>
      <c r="ZR57" s="11"/>
      <c r="ZS57" s="11"/>
      <c r="ZT57" s="11"/>
      <c r="ZU57" s="11"/>
      <c r="ZV57" s="11"/>
      <c r="ZW57" s="11"/>
      <c r="ZX57" s="11"/>
      <c r="ZY57" s="11"/>
      <c r="ZZ57" s="11"/>
      <c r="AAA57" s="11"/>
      <c r="AAB57" s="11"/>
      <c r="AAC57" s="11"/>
      <c r="AAD57" s="11"/>
      <c r="AAE57" s="11"/>
      <c r="AAF57" s="11"/>
      <c r="AAG57" s="11"/>
      <c r="AAH57" s="11"/>
      <c r="AAI57" s="11"/>
      <c r="AAJ57" s="11"/>
      <c r="AAK57" s="11"/>
      <c r="AAL57" s="11"/>
    </row>
    <row r="58" spans="1:714" s="6" customFormat="1" x14ac:dyDescent="0.3">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1"/>
      <c r="GN58" s="11"/>
      <c r="GO58" s="11"/>
      <c r="GP58" s="11"/>
      <c r="GQ58" s="11"/>
      <c r="GR58" s="11"/>
      <c r="GS58" s="11"/>
      <c r="GT58" s="11"/>
      <c r="GU58" s="11"/>
      <c r="GV58" s="11"/>
      <c r="GW58" s="11"/>
      <c r="GX58" s="11"/>
      <c r="GY58" s="11"/>
      <c r="GZ58" s="11"/>
      <c r="HA58" s="11"/>
      <c r="HB58" s="11"/>
      <c r="HC58" s="11"/>
      <c r="HD58" s="11"/>
      <c r="HE58" s="11"/>
      <c r="HF58" s="11"/>
      <c r="HG58" s="11"/>
      <c r="HH58" s="11"/>
      <c r="HI58" s="11"/>
      <c r="HJ58" s="11"/>
      <c r="HK58" s="11"/>
      <c r="HL58" s="11"/>
      <c r="HM58" s="11"/>
      <c r="HN58" s="11"/>
      <c r="HO58" s="11"/>
      <c r="HP58" s="11"/>
      <c r="HQ58" s="11"/>
      <c r="HR58" s="11"/>
      <c r="HS58" s="11"/>
      <c r="HT58" s="11"/>
      <c r="HU58" s="11"/>
      <c r="HV58" s="11"/>
      <c r="HW58" s="11"/>
      <c r="HX58" s="11"/>
      <c r="HY58" s="11"/>
      <c r="HZ58" s="11"/>
      <c r="IA58" s="11"/>
      <c r="IB58" s="11"/>
      <c r="IC58" s="11"/>
      <c r="ID58" s="11"/>
      <c r="IE58" s="11"/>
      <c r="IF58" s="11"/>
      <c r="IG58" s="11"/>
      <c r="IH58" s="11"/>
      <c r="II58" s="11"/>
      <c r="IJ58" s="11"/>
      <c r="IK58" s="11"/>
      <c r="IL58" s="11"/>
      <c r="IM58" s="11"/>
      <c r="IN58" s="11"/>
      <c r="IO58" s="11"/>
      <c r="IP58" s="11"/>
      <c r="IQ58" s="11"/>
      <c r="IR58" s="11"/>
      <c r="IS58" s="11"/>
      <c r="IT58" s="11"/>
      <c r="IU58" s="11"/>
      <c r="IV58" s="11"/>
      <c r="IW58" s="11"/>
      <c r="IX58" s="11"/>
      <c r="IY58" s="11"/>
      <c r="IZ58" s="11"/>
      <c r="JA58" s="11"/>
      <c r="JB58" s="11"/>
      <c r="JC58" s="11"/>
      <c r="JD58" s="11"/>
      <c r="JE58" s="11"/>
      <c r="JF58" s="11"/>
      <c r="JG58" s="11"/>
      <c r="JH58" s="11"/>
      <c r="JI58" s="11"/>
      <c r="JJ58" s="11"/>
      <c r="JK58" s="11"/>
      <c r="JL58" s="11"/>
      <c r="JM58" s="11"/>
      <c r="JN58" s="11"/>
      <c r="JO58" s="11"/>
      <c r="JP58" s="11"/>
      <c r="JQ58" s="11"/>
      <c r="JR58" s="11"/>
      <c r="JS58" s="11"/>
      <c r="JT58" s="11"/>
      <c r="JU58" s="11"/>
      <c r="JV58" s="11"/>
      <c r="JW58" s="11"/>
      <c r="JX58" s="11"/>
      <c r="JY58" s="11"/>
      <c r="JZ58" s="11"/>
      <c r="KA58" s="11"/>
      <c r="KB58" s="11"/>
      <c r="KC58" s="11"/>
      <c r="KD58" s="11"/>
      <c r="KE58" s="11"/>
      <c r="KF58" s="11"/>
      <c r="KG58" s="11"/>
      <c r="KH58" s="11"/>
      <c r="KI58" s="11"/>
      <c r="KJ58" s="11"/>
      <c r="KK58" s="11"/>
      <c r="KL58" s="11"/>
      <c r="KM58" s="11"/>
      <c r="KN58" s="11"/>
      <c r="KO58" s="11"/>
      <c r="KP58" s="11"/>
      <c r="KQ58" s="11"/>
      <c r="KR58" s="11"/>
      <c r="KS58" s="11"/>
      <c r="KT58" s="11"/>
      <c r="KU58" s="11"/>
      <c r="KV58" s="11"/>
      <c r="KW58" s="11"/>
      <c r="KX58" s="11"/>
      <c r="KY58" s="11"/>
      <c r="KZ58" s="11"/>
      <c r="LA58" s="11"/>
      <c r="LB58" s="11"/>
      <c r="LC58" s="11"/>
      <c r="LD58" s="11"/>
      <c r="LE58" s="11"/>
      <c r="LF58" s="11"/>
      <c r="LG58" s="11"/>
      <c r="LH58" s="11"/>
      <c r="LI58" s="11"/>
      <c r="LJ58" s="11"/>
      <c r="LK58" s="11"/>
      <c r="LL58" s="11"/>
      <c r="LM58" s="11"/>
      <c r="LN58" s="11"/>
      <c r="LO58" s="11"/>
      <c r="LP58" s="11"/>
      <c r="LQ58" s="11"/>
      <c r="LR58" s="11"/>
      <c r="LS58" s="11"/>
      <c r="LT58" s="11"/>
      <c r="LU58" s="11"/>
      <c r="LV58" s="11"/>
      <c r="LW58" s="11"/>
      <c r="LX58" s="11"/>
      <c r="LY58" s="11"/>
      <c r="LZ58" s="11"/>
      <c r="MA58" s="11"/>
      <c r="MB58" s="11"/>
      <c r="MC58" s="11"/>
      <c r="MD58" s="11"/>
      <c r="ME58" s="11"/>
      <c r="MF58" s="11"/>
      <c r="MG58" s="11"/>
      <c r="MH58" s="11"/>
      <c r="MI58" s="11"/>
      <c r="MJ58" s="11"/>
      <c r="MK58" s="11"/>
      <c r="ML58" s="11"/>
      <c r="MM58" s="11"/>
      <c r="MN58" s="11"/>
      <c r="MO58" s="11"/>
      <c r="MP58" s="11"/>
      <c r="MQ58" s="11"/>
      <c r="MR58" s="11"/>
      <c r="MS58" s="11"/>
      <c r="MT58" s="11"/>
      <c r="MU58" s="11"/>
      <c r="MV58" s="11"/>
      <c r="MW58" s="11"/>
      <c r="MX58" s="11"/>
      <c r="MY58" s="11"/>
      <c r="MZ58" s="11"/>
      <c r="NA58" s="11"/>
      <c r="NB58" s="11"/>
      <c r="NC58" s="11"/>
      <c r="ND58" s="11"/>
      <c r="NE58" s="11"/>
      <c r="NF58" s="11"/>
      <c r="NG58" s="11"/>
      <c r="NH58" s="11"/>
      <c r="NI58" s="11"/>
      <c r="NJ58" s="11"/>
      <c r="NK58" s="11"/>
      <c r="NL58" s="11"/>
      <c r="NM58" s="11"/>
      <c r="NN58" s="11"/>
      <c r="NO58" s="11"/>
      <c r="NP58" s="11"/>
      <c r="NQ58" s="11"/>
      <c r="NR58" s="11"/>
      <c r="NS58" s="11"/>
      <c r="NT58" s="11"/>
      <c r="NU58" s="11"/>
      <c r="NV58" s="11"/>
      <c r="NW58" s="11"/>
      <c r="NX58" s="11"/>
      <c r="NY58" s="11"/>
      <c r="NZ58" s="11"/>
      <c r="OA58" s="11"/>
      <c r="OB58" s="11"/>
      <c r="OC58" s="11"/>
      <c r="OD58" s="11"/>
      <c r="OE58" s="11"/>
      <c r="OF58" s="11"/>
      <c r="OG58" s="11"/>
      <c r="OH58" s="11"/>
      <c r="OI58" s="11"/>
      <c r="OJ58" s="11"/>
      <c r="OK58" s="11"/>
      <c r="OL58" s="11"/>
      <c r="OM58" s="11"/>
      <c r="ON58" s="11"/>
      <c r="OO58" s="11"/>
      <c r="OP58" s="11"/>
      <c r="OQ58" s="11"/>
      <c r="OR58" s="11"/>
      <c r="OS58" s="11"/>
      <c r="OT58" s="11"/>
      <c r="OU58" s="11"/>
      <c r="OV58" s="11"/>
      <c r="OW58" s="11"/>
      <c r="OX58" s="11"/>
      <c r="OY58" s="11"/>
      <c r="OZ58" s="11"/>
      <c r="PA58" s="11"/>
      <c r="PB58" s="11"/>
      <c r="PC58" s="11"/>
      <c r="PD58" s="11"/>
      <c r="PE58" s="11"/>
      <c r="PF58" s="11"/>
      <c r="PG58" s="11"/>
      <c r="PH58" s="11"/>
      <c r="PI58" s="11"/>
      <c r="PJ58" s="11"/>
      <c r="PK58" s="11"/>
      <c r="PL58" s="11"/>
      <c r="PM58" s="11"/>
      <c r="PN58" s="11"/>
      <c r="PO58" s="11"/>
      <c r="PP58" s="11"/>
      <c r="PQ58" s="11"/>
      <c r="PR58" s="11"/>
      <c r="PS58" s="11"/>
      <c r="PT58" s="11"/>
      <c r="PU58" s="11"/>
      <c r="PV58" s="11"/>
      <c r="PW58" s="11"/>
      <c r="PX58" s="11"/>
      <c r="PY58" s="11"/>
      <c r="PZ58" s="11"/>
      <c r="QA58" s="11"/>
      <c r="QB58" s="11"/>
      <c r="QC58" s="11"/>
      <c r="QD58" s="11"/>
      <c r="QE58" s="11"/>
      <c r="QF58" s="11"/>
      <c r="QG58" s="11"/>
      <c r="QH58" s="11"/>
      <c r="QI58" s="11"/>
      <c r="QJ58" s="11"/>
      <c r="QK58" s="11"/>
      <c r="QL58" s="11"/>
      <c r="QM58" s="11"/>
      <c r="QN58" s="11"/>
      <c r="QO58" s="11"/>
      <c r="QP58" s="11"/>
      <c r="QQ58" s="11"/>
      <c r="QR58" s="11"/>
      <c r="QS58" s="11"/>
      <c r="QT58" s="11"/>
      <c r="QU58" s="11"/>
      <c r="QV58" s="11"/>
      <c r="QW58" s="11"/>
      <c r="QX58" s="11"/>
      <c r="QY58" s="11"/>
      <c r="QZ58" s="11"/>
      <c r="RA58" s="11"/>
      <c r="RB58" s="11"/>
      <c r="RC58" s="11"/>
      <c r="RD58" s="11"/>
      <c r="RE58" s="11"/>
      <c r="RF58" s="11"/>
      <c r="RG58" s="11"/>
      <c r="RH58" s="11"/>
      <c r="RI58" s="11"/>
      <c r="RJ58" s="11"/>
      <c r="RK58" s="11"/>
      <c r="RL58" s="11"/>
      <c r="RM58" s="11"/>
      <c r="RN58" s="11"/>
      <c r="RO58" s="11"/>
      <c r="RP58" s="11"/>
      <c r="RQ58" s="11"/>
      <c r="RR58" s="11"/>
      <c r="RS58" s="11"/>
      <c r="RT58" s="11"/>
      <c r="RU58" s="11"/>
      <c r="RV58" s="11"/>
      <c r="RW58" s="11"/>
      <c r="RX58" s="11"/>
      <c r="RY58" s="11"/>
      <c r="RZ58" s="11"/>
      <c r="SA58" s="11"/>
      <c r="SB58" s="11"/>
      <c r="SC58" s="11"/>
      <c r="SD58" s="11"/>
      <c r="SE58" s="11"/>
      <c r="SF58" s="11"/>
      <c r="SG58" s="11"/>
      <c r="SH58" s="11"/>
      <c r="SI58" s="11"/>
      <c r="SJ58" s="11"/>
      <c r="SK58" s="11"/>
      <c r="SL58" s="11"/>
      <c r="SM58" s="11"/>
      <c r="SN58" s="11"/>
      <c r="SO58" s="11"/>
      <c r="SP58" s="11"/>
      <c r="SQ58" s="11"/>
      <c r="SR58" s="11"/>
      <c r="SS58" s="11"/>
      <c r="ST58" s="11"/>
      <c r="SU58" s="11"/>
      <c r="SV58" s="11"/>
      <c r="SW58" s="11"/>
      <c r="SX58" s="11"/>
      <c r="SY58" s="11"/>
      <c r="SZ58" s="11"/>
      <c r="TA58" s="11"/>
      <c r="TB58" s="11"/>
      <c r="TC58" s="11"/>
      <c r="TD58" s="11"/>
      <c r="TE58" s="11"/>
      <c r="TF58" s="11"/>
      <c r="TG58" s="11"/>
      <c r="TH58" s="11"/>
      <c r="TI58" s="11"/>
      <c r="TJ58" s="11"/>
      <c r="TK58" s="11"/>
      <c r="TL58" s="11"/>
      <c r="TM58" s="11"/>
      <c r="TN58" s="11"/>
      <c r="TO58" s="11"/>
      <c r="TP58" s="11"/>
      <c r="TQ58" s="11"/>
      <c r="TR58" s="11"/>
      <c r="TS58" s="11"/>
      <c r="TT58" s="11"/>
      <c r="TU58" s="11"/>
      <c r="TV58" s="11"/>
      <c r="TW58" s="11"/>
      <c r="TX58" s="11"/>
      <c r="TY58" s="11"/>
      <c r="TZ58" s="11"/>
      <c r="UA58" s="11"/>
      <c r="UB58" s="11"/>
      <c r="UC58" s="11"/>
      <c r="UD58" s="11"/>
      <c r="UE58" s="11"/>
      <c r="UF58" s="11"/>
      <c r="UG58" s="11"/>
      <c r="UH58" s="11"/>
      <c r="UI58" s="11"/>
      <c r="UJ58" s="11"/>
      <c r="UK58" s="11"/>
      <c r="UL58" s="11"/>
      <c r="UM58" s="11"/>
      <c r="UN58" s="11"/>
      <c r="UO58" s="11"/>
      <c r="UP58" s="11"/>
      <c r="UQ58" s="11"/>
      <c r="UR58" s="11"/>
      <c r="US58" s="11"/>
      <c r="UT58" s="11"/>
      <c r="UU58" s="11"/>
      <c r="UV58" s="11"/>
      <c r="UW58" s="11"/>
      <c r="UX58" s="11"/>
      <c r="UY58" s="11"/>
      <c r="UZ58" s="11"/>
      <c r="VA58" s="11"/>
      <c r="VB58" s="11"/>
      <c r="VC58" s="11"/>
      <c r="VD58" s="11"/>
      <c r="VE58" s="11"/>
      <c r="VF58" s="11"/>
      <c r="VG58" s="11"/>
      <c r="VH58" s="11"/>
      <c r="VI58" s="11"/>
      <c r="VJ58" s="11"/>
      <c r="VK58" s="11"/>
      <c r="VL58" s="11"/>
      <c r="VM58" s="11"/>
      <c r="VN58" s="11"/>
      <c r="VO58" s="11"/>
      <c r="VP58" s="11"/>
      <c r="VQ58" s="11"/>
      <c r="VR58" s="11"/>
      <c r="VS58" s="11"/>
      <c r="VT58" s="11"/>
      <c r="VU58" s="11"/>
      <c r="VV58" s="11"/>
      <c r="VW58" s="11"/>
      <c r="VX58" s="11"/>
      <c r="VY58" s="11"/>
      <c r="VZ58" s="11"/>
      <c r="WA58" s="11"/>
      <c r="WB58" s="11"/>
      <c r="WC58" s="11"/>
      <c r="WD58" s="11"/>
      <c r="WE58" s="11"/>
      <c r="WF58" s="11"/>
      <c r="WG58" s="11"/>
      <c r="WH58" s="11"/>
      <c r="WI58" s="11"/>
      <c r="WJ58" s="11"/>
      <c r="WK58" s="11"/>
      <c r="WL58" s="11"/>
      <c r="WM58" s="11"/>
      <c r="WN58" s="11"/>
      <c r="WO58" s="11"/>
      <c r="WP58" s="11"/>
      <c r="WQ58" s="11"/>
      <c r="WR58" s="11"/>
      <c r="WS58" s="11"/>
      <c r="WT58" s="11"/>
      <c r="WU58" s="11"/>
      <c r="WV58" s="11"/>
      <c r="WW58" s="11"/>
      <c r="WX58" s="11"/>
      <c r="WY58" s="11"/>
      <c r="WZ58" s="11"/>
      <c r="XA58" s="11"/>
      <c r="XB58" s="11"/>
      <c r="XC58" s="11"/>
      <c r="XD58" s="11"/>
      <c r="XE58" s="11"/>
      <c r="XF58" s="11"/>
      <c r="XG58" s="11"/>
      <c r="XH58" s="11"/>
      <c r="XI58" s="11"/>
      <c r="XJ58" s="11"/>
      <c r="XK58" s="11"/>
      <c r="XL58" s="11"/>
      <c r="XM58" s="11"/>
      <c r="XN58" s="11"/>
      <c r="XO58" s="11"/>
      <c r="XP58" s="11"/>
      <c r="XQ58" s="11"/>
      <c r="XR58" s="11"/>
      <c r="XS58" s="11"/>
      <c r="XT58" s="11"/>
      <c r="XU58" s="11"/>
      <c r="XV58" s="11"/>
      <c r="XW58" s="11"/>
      <c r="XX58" s="11"/>
      <c r="XY58" s="11"/>
      <c r="XZ58" s="11"/>
      <c r="YA58" s="11"/>
      <c r="YB58" s="11"/>
      <c r="YC58" s="11"/>
      <c r="YD58" s="11"/>
      <c r="YE58" s="11"/>
      <c r="YF58" s="11"/>
      <c r="YG58" s="11"/>
      <c r="YH58" s="11"/>
      <c r="YI58" s="11"/>
      <c r="YJ58" s="11"/>
      <c r="YK58" s="11"/>
      <c r="YL58" s="11"/>
      <c r="YM58" s="11"/>
      <c r="YN58" s="11"/>
      <c r="YO58" s="11"/>
      <c r="YP58" s="11"/>
      <c r="YQ58" s="11"/>
      <c r="YR58" s="11"/>
      <c r="YS58" s="11"/>
      <c r="YT58" s="11"/>
      <c r="YU58" s="11"/>
      <c r="YV58" s="11"/>
      <c r="YW58" s="11"/>
      <c r="YX58" s="11"/>
      <c r="YY58" s="11"/>
      <c r="YZ58" s="11"/>
      <c r="ZA58" s="11"/>
      <c r="ZB58" s="11"/>
      <c r="ZC58" s="11"/>
      <c r="ZD58" s="11"/>
      <c r="ZE58" s="11"/>
      <c r="ZF58" s="11"/>
      <c r="ZG58" s="11"/>
      <c r="ZH58" s="11"/>
      <c r="ZI58" s="11"/>
      <c r="ZJ58" s="11"/>
      <c r="ZK58" s="11"/>
      <c r="ZL58" s="11"/>
      <c r="ZM58" s="11"/>
      <c r="ZN58" s="11"/>
      <c r="ZO58" s="11"/>
      <c r="ZP58" s="11"/>
      <c r="ZQ58" s="11"/>
      <c r="ZR58" s="11"/>
      <c r="ZS58" s="11"/>
      <c r="ZT58" s="11"/>
      <c r="ZU58" s="11"/>
      <c r="ZV58" s="11"/>
      <c r="ZW58" s="11"/>
      <c r="ZX58" s="11"/>
      <c r="ZY58" s="11"/>
      <c r="ZZ58" s="11"/>
      <c r="AAA58" s="11"/>
      <c r="AAB58" s="11"/>
      <c r="AAC58" s="11"/>
      <c r="AAD58" s="11"/>
      <c r="AAE58" s="11"/>
      <c r="AAF58" s="11"/>
      <c r="AAG58" s="11"/>
      <c r="AAH58" s="11"/>
      <c r="AAI58" s="11"/>
      <c r="AAJ58" s="11"/>
      <c r="AAK58" s="11"/>
      <c r="AAL58" s="11"/>
    </row>
    <row r="59" spans="1:714" s="6" customFormat="1" x14ac:dyDescent="0.3">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c r="DC59" s="11"/>
      <c r="DD59" s="11"/>
      <c r="DE59" s="11"/>
      <c r="DF59" s="11"/>
      <c r="DG59" s="11"/>
      <c r="DH59" s="11"/>
      <c r="DI59" s="11"/>
      <c r="DJ59" s="11"/>
      <c r="DK59" s="11"/>
      <c r="DL59" s="11"/>
      <c r="DM59" s="11"/>
      <c r="DN59" s="11"/>
      <c r="DO59" s="11"/>
      <c r="DP59" s="11"/>
      <c r="DQ59" s="11"/>
      <c r="DR59" s="11"/>
      <c r="DS59" s="11"/>
      <c r="DT59" s="11"/>
      <c r="DU59" s="11"/>
      <c r="DV59" s="11"/>
      <c r="DW59" s="11"/>
      <c r="DX59" s="11"/>
      <c r="DY59" s="11"/>
      <c r="DZ59" s="11"/>
      <c r="EA59" s="11"/>
      <c r="EB59" s="11"/>
      <c r="EC59" s="11"/>
      <c r="ED59" s="11"/>
      <c r="EE59" s="11"/>
      <c r="EF59" s="11"/>
      <c r="EG59" s="11"/>
      <c r="EH59" s="11"/>
      <c r="EI59" s="11"/>
      <c r="EJ59" s="11"/>
      <c r="EK59" s="11"/>
      <c r="EL59" s="11"/>
      <c r="EM59" s="11"/>
      <c r="EN59" s="11"/>
      <c r="EO59" s="11"/>
      <c r="EP59" s="11"/>
      <c r="EQ59" s="11"/>
      <c r="ER59" s="11"/>
      <c r="ES59" s="11"/>
      <c r="ET59" s="11"/>
      <c r="EU59" s="11"/>
      <c r="EV59" s="11"/>
      <c r="EW59" s="11"/>
      <c r="EX59" s="11"/>
      <c r="EY59" s="11"/>
      <c r="EZ59" s="11"/>
      <c r="FA59" s="11"/>
      <c r="FB59" s="11"/>
      <c r="FC59" s="11"/>
      <c r="FD59" s="11"/>
      <c r="FE59" s="11"/>
      <c r="FF59" s="11"/>
      <c r="FG59" s="11"/>
      <c r="FH59" s="11"/>
      <c r="FI59" s="11"/>
      <c r="FJ59" s="11"/>
      <c r="FK59" s="11"/>
      <c r="FL59" s="11"/>
      <c r="FM59" s="11"/>
      <c r="FN59" s="11"/>
      <c r="FO59" s="11"/>
      <c r="FP59" s="11"/>
      <c r="FQ59" s="11"/>
      <c r="FR59" s="11"/>
      <c r="FS59" s="11"/>
      <c r="FT59" s="11"/>
      <c r="FU59" s="11"/>
      <c r="FV59" s="11"/>
      <c r="FW59" s="11"/>
      <c r="FX59" s="11"/>
      <c r="FY59" s="11"/>
      <c r="FZ59" s="11"/>
      <c r="GA59" s="11"/>
      <c r="GB59" s="11"/>
      <c r="GC59" s="11"/>
      <c r="GD59" s="11"/>
      <c r="GE59" s="11"/>
      <c r="GF59" s="11"/>
      <c r="GG59" s="11"/>
      <c r="GH59" s="11"/>
      <c r="GI59" s="11"/>
      <c r="GJ59" s="11"/>
      <c r="GK59" s="11"/>
      <c r="GL59" s="11"/>
      <c r="GM59" s="11"/>
      <c r="GN59" s="11"/>
      <c r="GO59" s="11"/>
      <c r="GP59" s="11"/>
      <c r="GQ59" s="11"/>
      <c r="GR59" s="11"/>
      <c r="GS59" s="11"/>
      <c r="GT59" s="11"/>
      <c r="GU59" s="11"/>
      <c r="GV59" s="11"/>
      <c r="GW59" s="11"/>
      <c r="GX59" s="11"/>
      <c r="GY59" s="11"/>
      <c r="GZ59" s="11"/>
      <c r="HA59" s="11"/>
      <c r="HB59" s="11"/>
      <c r="HC59" s="11"/>
      <c r="HD59" s="11"/>
      <c r="HE59" s="11"/>
      <c r="HF59" s="11"/>
      <c r="HG59" s="11"/>
      <c r="HH59" s="11"/>
      <c r="HI59" s="11"/>
      <c r="HJ59" s="11"/>
      <c r="HK59" s="11"/>
      <c r="HL59" s="11"/>
      <c r="HM59" s="11"/>
      <c r="HN59" s="11"/>
      <c r="HO59" s="11"/>
      <c r="HP59" s="11"/>
      <c r="HQ59" s="11"/>
      <c r="HR59" s="11"/>
      <c r="HS59" s="11"/>
      <c r="HT59" s="11"/>
      <c r="HU59" s="11"/>
      <c r="HV59" s="11"/>
      <c r="HW59" s="11"/>
      <c r="HX59" s="11"/>
      <c r="HY59" s="11"/>
      <c r="HZ59" s="11"/>
      <c r="IA59" s="11"/>
      <c r="IB59" s="11"/>
      <c r="IC59" s="11"/>
      <c r="ID59" s="11"/>
      <c r="IE59" s="11"/>
      <c r="IF59" s="11"/>
      <c r="IG59" s="11"/>
      <c r="IH59" s="11"/>
      <c r="II59" s="11"/>
      <c r="IJ59" s="11"/>
      <c r="IK59" s="11"/>
      <c r="IL59" s="11"/>
      <c r="IM59" s="11"/>
      <c r="IN59" s="11"/>
      <c r="IO59" s="11"/>
      <c r="IP59" s="11"/>
      <c r="IQ59" s="11"/>
      <c r="IR59" s="11"/>
      <c r="IS59" s="11"/>
      <c r="IT59" s="11"/>
      <c r="IU59" s="11"/>
      <c r="IV59" s="11"/>
      <c r="IW59" s="11"/>
      <c r="IX59" s="11"/>
      <c r="IY59" s="11"/>
      <c r="IZ59" s="11"/>
      <c r="JA59" s="11"/>
      <c r="JB59" s="11"/>
      <c r="JC59" s="11"/>
      <c r="JD59" s="11"/>
      <c r="JE59" s="11"/>
      <c r="JF59" s="11"/>
      <c r="JG59" s="11"/>
      <c r="JH59" s="11"/>
      <c r="JI59" s="11"/>
      <c r="JJ59" s="11"/>
      <c r="JK59" s="11"/>
      <c r="JL59" s="11"/>
      <c r="JM59" s="11"/>
      <c r="JN59" s="11"/>
      <c r="JO59" s="11"/>
      <c r="JP59" s="11"/>
      <c r="JQ59" s="11"/>
      <c r="JR59" s="11"/>
      <c r="JS59" s="11"/>
      <c r="JT59" s="11"/>
      <c r="JU59" s="11"/>
      <c r="JV59" s="11"/>
      <c r="JW59" s="11"/>
      <c r="JX59" s="11"/>
      <c r="JY59" s="11"/>
      <c r="JZ59" s="11"/>
      <c r="KA59" s="11"/>
      <c r="KB59" s="11"/>
      <c r="KC59" s="11"/>
      <c r="KD59" s="11"/>
      <c r="KE59" s="11"/>
      <c r="KF59" s="11"/>
      <c r="KG59" s="11"/>
      <c r="KH59" s="11"/>
      <c r="KI59" s="11"/>
      <c r="KJ59" s="11"/>
      <c r="KK59" s="11"/>
      <c r="KL59" s="11"/>
      <c r="KM59" s="11"/>
      <c r="KN59" s="11"/>
      <c r="KO59" s="11"/>
      <c r="KP59" s="11"/>
      <c r="KQ59" s="11"/>
      <c r="KR59" s="11"/>
      <c r="KS59" s="11"/>
      <c r="KT59" s="11"/>
      <c r="KU59" s="11"/>
      <c r="KV59" s="11"/>
      <c r="KW59" s="11"/>
      <c r="KX59" s="11"/>
      <c r="KY59" s="11"/>
      <c r="KZ59" s="11"/>
      <c r="LA59" s="11"/>
      <c r="LB59" s="11"/>
      <c r="LC59" s="11"/>
      <c r="LD59" s="11"/>
      <c r="LE59" s="11"/>
      <c r="LF59" s="11"/>
      <c r="LG59" s="11"/>
      <c r="LH59" s="11"/>
      <c r="LI59" s="11"/>
      <c r="LJ59" s="11"/>
      <c r="LK59" s="11"/>
      <c r="LL59" s="11"/>
      <c r="LM59" s="11"/>
      <c r="LN59" s="11"/>
      <c r="LO59" s="11"/>
      <c r="LP59" s="11"/>
      <c r="LQ59" s="11"/>
      <c r="LR59" s="11"/>
      <c r="LS59" s="11"/>
      <c r="LT59" s="11"/>
      <c r="LU59" s="11"/>
      <c r="LV59" s="11"/>
      <c r="LW59" s="11"/>
      <c r="LX59" s="11"/>
      <c r="LY59" s="11"/>
      <c r="LZ59" s="11"/>
      <c r="MA59" s="11"/>
      <c r="MB59" s="11"/>
      <c r="MC59" s="11"/>
      <c r="MD59" s="11"/>
      <c r="ME59" s="11"/>
      <c r="MF59" s="11"/>
      <c r="MG59" s="11"/>
      <c r="MH59" s="11"/>
      <c r="MI59" s="11"/>
      <c r="MJ59" s="11"/>
      <c r="MK59" s="11"/>
      <c r="ML59" s="11"/>
      <c r="MM59" s="11"/>
      <c r="MN59" s="11"/>
      <c r="MO59" s="11"/>
      <c r="MP59" s="11"/>
      <c r="MQ59" s="11"/>
      <c r="MR59" s="11"/>
      <c r="MS59" s="11"/>
      <c r="MT59" s="11"/>
      <c r="MU59" s="11"/>
      <c r="MV59" s="11"/>
      <c r="MW59" s="11"/>
      <c r="MX59" s="11"/>
      <c r="MY59" s="11"/>
      <c r="MZ59" s="11"/>
      <c r="NA59" s="11"/>
      <c r="NB59" s="11"/>
      <c r="NC59" s="11"/>
      <c r="ND59" s="11"/>
      <c r="NE59" s="11"/>
      <c r="NF59" s="11"/>
      <c r="NG59" s="11"/>
      <c r="NH59" s="11"/>
      <c r="NI59" s="11"/>
      <c r="NJ59" s="11"/>
      <c r="NK59" s="11"/>
      <c r="NL59" s="11"/>
      <c r="NM59" s="11"/>
      <c r="NN59" s="11"/>
      <c r="NO59" s="11"/>
      <c r="NP59" s="11"/>
      <c r="NQ59" s="11"/>
      <c r="NR59" s="11"/>
      <c r="NS59" s="11"/>
      <c r="NT59" s="11"/>
      <c r="NU59" s="11"/>
      <c r="NV59" s="11"/>
      <c r="NW59" s="11"/>
      <c r="NX59" s="11"/>
      <c r="NY59" s="11"/>
      <c r="NZ59" s="11"/>
      <c r="OA59" s="11"/>
      <c r="OB59" s="11"/>
      <c r="OC59" s="11"/>
      <c r="OD59" s="11"/>
      <c r="OE59" s="11"/>
      <c r="OF59" s="11"/>
      <c r="OG59" s="11"/>
      <c r="OH59" s="11"/>
      <c r="OI59" s="11"/>
      <c r="OJ59" s="11"/>
      <c r="OK59" s="11"/>
      <c r="OL59" s="11"/>
      <c r="OM59" s="11"/>
      <c r="ON59" s="11"/>
      <c r="OO59" s="11"/>
      <c r="OP59" s="11"/>
      <c r="OQ59" s="11"/>
      <c r="OR59" s="11"/>
      <c r="OS59" s="11"/>
      <c r="OT59" s="11"/>
      <c r="OU59" s="11"/>
      <c r="OV59" s="11"/>
      <c r="OW59" s="11"/>
      <c r="OX59" s="11"/>
      <c r="OY59" s="11"/>
      <c r="OZ59" s="11"/>
      <c r="PA59" s="11"/>
      <c r="PB59" s="11"/>
      <c r="PC59" s="11"/>
      <c r="PD59" s="11"/>
      <c r="PE59" s="11"/>
      <c r="PF59" s="11"/>
      <c r="PG59" s="11"/>
      <c r="PH59" s="11"/>
      <c r="PI59" s="11"/>
      <c r="PJ59" s="11"/>
      <c r="PK59" s="11"/>
      <c r="PL59" s="11"/>
      <c r="PM59" s="11"/>
      <c r="PN59" s="11"/>
      <c r="PO59" s="11"/>
      <c r="PP59" s="11"/>
      <c r="PQ59" s="11"/>
      <c r="PR59" s="11"/>
      <c r="PS59" s="11"/>
      <c r="PT59" s="11"/>
      <c r="PU59" s="11"/>
      <c r="PV59" s="11"/>
      <c r="PW59" s="11"/>
      <c r="PX59" s="11"/>
      <c r="PY59" s="11"/>
      <c r="PZ59" s="11"/>
      <c r="QA59" s="11"/>
      <c r="QB59" s="11"/>
      <c r="QC59" s="11"/>
      <c r="QD59" s="11"/>
      <c r="QE59" s="11"/>
      <c r="QF59" s="11"/>
      <c r="QG59" s="11"/>
      <c r="QH59" s="11"/>
      <c r="QI59" s="11"/>
      <c r="QJ59" s="11"/>
      <c r="QK59" s="11"/>
      <c r="QL59" s="11"/>
      <c r="QM59" s="11"/>
      <c r="QN59" s="11"/>
      <c r="QO59" s="11"/>
      <c r="QP59" s="11"/>
      <c r="QQ59" s="11"/>
      <c r="QR59" s="11"/>
      <c r="QS59" s="11"/>
      <c r="QT59" s="11"/>
      <c r="QU59" s="11"/>
      <c r="QV59" s="11"/>
      <c r="QW59" s="11"/>
      <c r="QX59" s="11"/>
      <c r="QY59" s="11"/>
      <c r="QZ59" s="11"/>
      <c r="RA59" s="11"/>
      <c r="RB59" s="11"/>
      <c r="RC59" s="11"/>
      <c r="RD59" s="11"/>
      <c r="RE59" s="11"/>
      <c r="RF59" s="11"/>
      <c r="RG59" s="11"/>
      <c r="RH59" s="11"/>
      <c r="RI59" s="11"/>
      <c r="RJ59" s="11"/>
      <c r="RK59" s="11"/>
      <c r="RL59" s="11"/>
      <c r="RM59" s="11"/>
      <c r="RN59" s="11"/>
      <c r="RO59" s="11"/>
      <c r="RP59" s="11"/>
      <c r="RQ59" s="11"/>
      <c r="RR59" s="11"/>
      <c r="RS59" s="11"/>
      <c r="RT59" s="11"/>
      <c r="RU59" s="11"/>
      <c r="RV59" s="11"/>
      <c r="RW59" s="11"/>
      <c r="RX59" s="11"/>
      <c r="RY59" s="11"/>
      <c r="RZ59" s="11"/>
      <c r="SA59" s="11"/>
      <c r="SB59" s="11"/>
      <c r="SC59" s="11"/>
      <c r="SD59" s="11"/>
      <c r="SE59" s="11"/>
      <c r="SF59" s="11"/>
      <c r="SG59" s="11"/>
      <c r="SH59" s="11"/>
      <c r="SI59" s="11"/>
      <c r="SJ59" s="11"/>
      <c r="SK59" s="11"/>
      <c r="SL59" s="11"/>
      <c r="SM59" s="11"/>
      <c r="SN59" s="11"/>
      <c r="SO59" s="11"/>
      <c r="SP59" s="11"/>
      <c r="SQ59" s="11"/>
      <c r="SR59" s="11"/>
      <c r="SS59" s="11"/>
      <c r="ST59" s="11"/>
      <c r="SU59" s="11"/>
      <c r="SV59" s="11"/>
      <c r="SW59" s="11"/>
      <c r="SX59" s="11"/>
      <c r="SY59" s="11"/>
      <c r="SZ59" s="11"/>
      <c r="TA59" s="11"/>
      <c r="TB59" s="11"/>
      <c r="TC59" s="11"/>
      <c r="TD59" s="11"/>
      <c r="TE59" s="11"/>
      <c r="TF59" s="11"/>
      <c r="TG59" s="11"/>
      <c r="TH59" s="11"/>
      <c r="TI59" s="11"/>
      <c r="TJ59" s="11"/>
      <c r="TK59" s="11"/>
      <c r="TL59" s="11"/>
      <c r="TM59" s="11"/>
      <c r="TN59" s="11"/>
      <c r="TO59" s="11"/>
      <c r="TP59" s="11"/>
      <c r="TQ59" s="11"/>
      <c r="TR59" s="11"/>
      <c r="TS59" s="11"/>
      <c r="TT59" s="11"/>
      <c r="TU59" s="11"/>
      <c r="TV59" s="11"/>
      <c r="TW59" s="11"/>
      <c r="TX59" s="11"/>
      <c r="TY59" s="11"/>
      <c r="TZ59" s="11"/>
      <c r="UA59" s="11"/>
      <c r="UB59" s="11"/>
      <c r="UC59" s="11"/>
      <c r="UD59" s="11"/>
      <c r="UE59" s="11"/>
      <c r="UF59" s="11"/>
      <c r="UG59" s="11"/>
      <c r="UH59" s="11"/>
      <c r="UI59" s="11"/>
      <c r="UJ59" s="11"/>
      <c r="UK59" s="11"/>
      <c r="UL59" s="11"/>
      <c r="UM59" s="11"/>
      <c r="UN59" s="11"/>
      <c r="UO59" s="11"/>
      <c r="UP59" s="11"/>
      <c r="UQ59" s="11"/>
      <c r="UR59" s="11"/>
      <c r="US59" s="11"/>
      <c r="UT59" s="11"/>
      <c r="UU59" s="11"/>
      <c r="UV59" s="11"/>
      <c r="UW59" s="11"/>
      <c r="UX59" s="11"/>
      <c r="UY59" s="11"/>
      <c r="UZ59" s="11"/>
      <c r="VA59" s="11"/>
      <c r="VB59" s="11"/>
      <c r="VC59" s="11"/>
      <c r="VD59" s="11"/>
      <c r="VE59" s="11"/>
      <c r="VF59" s="11"/>
      <c r="VG59" s="11"/>
      <c r="VH59" s="11"/>
      <c r="VI59" s="11"/>
      <c r="VJ59" s="11"/>
      <c r="VK59" s="11"/>
      <c r="VL59" s="11"/>
      <c r="VM59" s="11"/>
      <c r="VN59" s="11"/>
      <c r="VO59" s="11"/>
      <c r="VP59" s="11"/>
      <c r="VQ59" s="11"/>
      <c r="VR59" s="11"/>
      <c r="VS59" s="11"/>
      <c r="VT59" s="11"/>
      <c r="VU59" s="11"/>
      <c r="VV59" s="11"/>
      <c r="VW59" s="11"/>
      <c r="VX59" s="11"/>
      <c r="VY59" s="11"/>
      <c r="VZ59" s="11"/>
      <c r="WA59" s="11"/>
      <c r="WB59" s="11"/>
      <c r="WC59" s="11"/>
      <c r="WD59" s="11"/>
      <c r="WE59" s="11"/>
      <c r="WF59" s="11"/>
      <c r="WG59" s="11"/>
      <c r="WH59" s="11"/>
      <c r="WI59" s="11"/>
      <c r="WJ59" s="11"/>
      <c r="WK59" s="11"/>
      <c r="WL59" s="11"/>
      <c r="WM59" s="11"/>
      <c r="WN59" s="11"/>
      <c r="WO59" s="11"/>
      <c r="WP59" s="11"/>
      <c r="WQ59" s="11"/>
      <c r="WR59" s="11"/>
      <c r="WS59" s="11"/>
      <c r="WT59" s="11"/>
      <c r="WU59" s="11"/>
      <c r="WV59" s="11"/>
      <c r="WW59" s="11"/>
      <c r="WX59" s="11"/>
      <c r="WY59" s="11"/>
      <c r="WZ59" s="11"/>
      <c r="XA59" s="11"/>
      <c r="XB59" s="11"/>
      <c r="XC59" s="11"/>
      <c r="XD59" s="11"/>
      <c r="XE59" s="11"/>
      <c r="XF59" s="11"/>
      <c r="XG59" s="11"/>
      <c r="XH59" s="11"/>
      <c r="XI59" s="11"/>
      <c r="XJ59" s="11"/>
      <c r="XK59" s="11"/>
      <c r="XL59" s="11"/>
      <c r="XM59" s="11"/>
      <c r="XN59" s="11"/>
      <c r="XO59" s="11"/>
      <c r="XP59" s="11"/>
      <c r="XQ59" s="11"/>
      <c r="XR59" s="11"/>
      <c r="XS59" s="11"/>
      <c r="XT59" s="11"/>
      <c r="XU59" s="11"/>
      <c r="XV59" s="11"/>
      <c r="XW59" s="11"/>
      <c r="XX59" s="11"/>
      <c r="XY59" s="11"/>
      <c r="XZ59" s="11"/>
      <c r="YA59" s="11"/>
      <c r="YB59" s="11"/>
      <c r="YC59" s="11"/>
      <c r="YD59" s="11"/>
      <c r="YE59" s="11"/>
      <c r="YF59" s="11"/>
      <c r="YG59" s="11"/>
      <c r="YH59" s="11"/>
      <c r="YI59" s="11"/>
      <c r="YJ59" s="11"/>
      <c r="YK59" s="11"/>
      <c r="YL59" s="11"/>
      <c r="YM59" s="11"/>
      <c r="YN59" s="11"/>
      <c r="YO59" s="11"/>
      <c r="YP59" s="11"/>
      <c r="YQ59" s="11"/>
      <c r="YR59" s="11"/>
      <c r="YS59" s="11"/>
      <c r="YT59" s="11"/>
      <c r="YU59" s="11"/>
      <c r="YV59" s="11"/>
      <c r="YW59" s="11"/>
      <c r="YX59" s="11"/>
      <c r="YY59" s="11"/>
      <c r="YZ59" s="11"/>
      <c r="ZA59" s="11"/>
      <c r="ZB59" s="11"/>
      <c r="ZC59" s="11"/>
      <c r="ZD59" s="11"/>
      <c r="ZE59" s="11"/>
      <c r="ZF59" s="11"/>
      <c r="ZG59" s="11"/>
      <c r="ZH59" s="11"/>
      <c r="ZI59" s="11"/>
      <c r="ZJ59" s="11"/>
      <c r="ZK59" s="11"/>
      <c r="ZL59" s="11"/>
      <c r="ZM59" s="11"/>
      <c r="ZN59" s="11"/>
      <c r="ZO59" s="11"/>
      <c r="ZP59" s="11"/>
      <c r="ZQ59" s="11"/>
      <c r="ZR59" s="11"/>
      <c r="ZS59" s="11"/>
      <c r="ZT59" s="11"/>
      <c r="ZU59" s="11"/>
      <c r="ZV59" s="11"/>
      <c r="ZW59" s="11"/>
      <c r="ZX59" s="11"/>
      <c r="ZY59" s="11"/>
      <c r="ZZ59" s="11"/>
      <c r="AAA59" s="11"/>
      <c r="AAB59" s="11"/>
      <c r="AAC59" s="11"/>
      <c r="AAD59" s="11"/>
      <c r="AAE59" s="11"/>
      <c r="AAF59" s="11"/>
      <c r="AAG59" s="11"/>
      <c r="AAH59" s="11"/>
      <c r="AAI59" s="11"/>
      <c r="AAJ59" s="11"/>
      <c r="AAK59" s="11"/>
      <c r="AAL59" s="11"/>
    </row>
    <row r="60" spans="1:714" s="6" customFormat="1" x14ac:dyDescent="0.3">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c r="CP60" s="11"/>
      <c r="CQ60" s="11"/>
      <c r="CR60" s="11"/>
      <c r="CS60" s="11"/>
      <c r="CT60" s="11"/>
      <c r="CU60" s="11"/>
      <c r="CV60" s="11"/>
      <c r="CW60" s="11"/>
      <c r="CX60" s="11"/>
      <c r="CY60" s="11"/>
      <c r="CZ60" s="11"/>
      <c r="DA60" s="11"/>
      <c r="DB60" s="11"/>
      <c r="DC60" s="11"/>
      <c r="DD60" s="11"/>
      <c r="DE60" s="11"/>
      <c r="DF60" s="11"/>
      <c r="DG60" s="11"/>
      <c r="DH60" s="11"/>
      <c r="DI60" s="11"/>
      <c r="DJ60" s="11"/>
      <c r="DK60" s="11"/>
      <c r="DL60" s="11"/>
      <c r="DM60" s="11"/>
      <c r="DN60" s="11"/>
      <c r="DO60" s="11"/>
      <c r="DP60" s="11"/>
      <c r="DQ60" s="11"/>
      <c r="DR60" s="11"/>
      <c r="DS60" s="11"/>
      <c r="DT60" s="11"/>
      <c r="DU60" s="11"/>
      <c r="DV60" s="11"/>
      <c r="DW60" s="11"/>
      <c r="DX60" s="11"/>
      <c r="DY60" s="11"/>
      <c r="DZ60" s="11"/>
      <c r="EA60" s="11"/>
      <c r="EB60" s="11"/>
      <c r="EC60" s="11"/>
      <c r="ED60" s="11"/>
      <c r="EE60" s="11"/>
      <c r="EF60" s="11"/>
      <c r="EG60" s="11"/>
      <c r="EH60" s="11"/>
      <c r="EI60" s="11"/>
      <c r="EJ60" s="11"/>
      <c r="EK60" s="11"/>
      <c r="EL60" s="11"/>
      <c r="EM60" s="11"/>
      <c r="EN60" s="11"/>
      <c r="EO60" s="11"/>
      <c r="EP60" s="11"/>
      <c r="EQ60" s="11"/>
      <c r="ER60" s="11"/>
      <c r="ES60" s="11"/>
      <c r="ET60" s="11"/>
      <c r="EU60" s="11"/>
      <c r="EV60" s="11"/>
      <c r="EW60" s="11"/>
      <c r="EX60" s="11"/>
      <c r="EY60" s="11"/>
      <c r="EZ60" s="11"/>
      <c r="FA60" s="11"/>
      <c r="FB60" s="11"/>
      <c r="FC60" s="11"/>
      <c r="FD60" s="11"/>
      <c r="FE60" s="11"/>
      <c r="FF60" s="11"/>
      <c r="FG60" s="11"/>
      <c r="FH60" s="11"/>
      <c r="FI60" s="11"/>
      <c r="FJ60" s="11"/>
      <c r="FK60" s="11"/>
      <c r="FL60" s="11"/>
      <c r="FM60" s="11"/>
      <c r="FN60" s="11"/>
      <c r="FO60" s="11"/>
      <c r="FP60" s="11"/>
      <c r="FQ60" s="11"/>
      <c r="FR60" s="11"/>
      <c r="FS60" s="11"/>
      <c r="FT60" s="11"/>
      <c r="FU60" s="11"/>
      <c r="FV60" s="11"/>
      <c r="FW60" s="11"/>
      <c r="FX60" s="11"/>
      <c r="FY60" s="11"/>
      <c r="FZ60" s="11"/>
      <c r="GA60" s="11"/>
      <c r="GB60" s="11"/>
      <c r="GC60" s="11"/>
      <c r="GD60" s="11"/>
      <c r="GE60" s="11"/>
      <c r="GF60" s="11"/>
      <c r="GG60" s="11"/>
      <c r="GH60" s="11"/>
      <c r="GI60" s="11"/>
      <c r="GJ60" s="11"/>
      <c r="GK60" s="11"/>
      <c r="GL60" s="11"/>
      <c r="GM60" s="11"/>
      <c r="GN60" s="11"/>
      <c r="GO60" s="11"/>
      <c r="GP60" s="11"/>
      <c r="GQ60" s="11"/>
      <c r="GR60" s="11"/>
      <c r="GS60" s="11"/>
      <c r="GT60" s="11"/>
      <c r="GU60" s="11"/>
      <c r="GV60" s="11"/>
      <c r="GW60" s="11"/>
      <c r="GX60" s="11"/>
      <c r="GY60" s="11"/>
      <c r="GZ60" s="11"/>
      <c r="HA60" s="11"/>
      <c r="HB60" s="11"/>
      <c r="HC60" s="11"/>
      <c r="HD60" s="11"/>
      <c r="HE60" s="11"/>
      <c r="HF60" s="11"/>
      <c r="HG60" s="11"/>
      <c r="HH60" s="11"/>
      <c r="HI60" s="11"/>
      <c r="HJ60" s="11"/>
      <c r="HK60" s="11"/>
      <c r="HL60" s="11"/>
      <c r="HM60" s="11"/>
      <c r="HN60" s="11"/>
      <c r="HO60" s="11"/>
      <c r="HP60" s="11"/>
      <c r="HQ60" s="11"/>
      <c r="HR60" s="11"/>
      <c r="HS60" s="11"/>
      <c r="HT60" s="11"/>
      <c r="HU60" s="11"/>
      <c r="HV60" s="11"/>
      <c r="HW60" s="11"/>
      <c r="HX60" s="11"/>
      <c r="HY60" s="11"/>
      <c r="HZ60" s="11"/>
      <c r="IA60" s="11"/>
      <c r="IB60" s="11"/>
      <c r="IC60" s="11"/>
      <c r="ID60" s="11"/>
      <c r="IE60" s="11"/>
      <c r="IF60" s="11"/>
      <c r="IG60" s="11"/>
      <c r="IH60" s="11"/>
      <c r="II60" s="11"/>
      <c r="IJ60" s="11"/>
      <c r="IK60" s="11"/>
      <c r="IL60" s="11"/>
      <c r="IM60" s="11"/>
      <c r="IN60" s="11"/>
      <c r="IO60" s="11"/>
      <c r="IP60" s="11"/>
      <c r="IQ60" s="11"/>
      <c r="IR60" s="11"/>
      <c r="IS60" s="11"/>
      <c r="IT60" s="11"/>
      <c r="IU60" s="11"/>
      <c r="IV60" s="11"/>
      <c r="IW60" s="11"/>
      <c r="IX60" s="11"/>
      <c r="IY60" s="11"/>
      <c r="IZ60" s="11"/>
      <c r="JA60" s="11"/>
      <c r="JB60" s="11"/>
      <c r="JC60" s="11"/>
      <c r="JD60" s="11"/>
      <c r="JE60" s="11"/>
      <c r="JF60" s="11"/>
      <c r="JG60" s="11"/>
      <c r="JH60" s="11"/>
      <c r="JI60" s="11"/>
      <c r="JJ60" s="11"/>
      <c r="JK60" s="11"/>
      <c r="JL60" s="11"/>
      <c r="JM60" s="11"/>
      <c r="JN60" s="11"/>
      <c r="JO60" s="11"/>
      <c r="JP60" s="11"/>
      <c r="JQ60" s="11"/>
      <c r="JR60" s="11"/>
      <c r="JS60" s="11"/>
      <c r="JT60" s="11"/>
      <c r="JU60" s="11"/>
      <c r="JV60" s="11"/>
      <c r="JW60" s="11"/>
      <c r="JX60" s="11"/>
      <c r="JY60" s="11"/>
      <c r="JZ60" s="11"/>
      <c r="KA60" s="11"/>
      <c r="KB60" s="11"/>
      <c r="KC60" s="11"/>
      <c r="KD60" s="11"/>
      <c r="KE60" s="11"/>
      <c r="KF60" s="11"/>
      <c r="KG60" s="11"/>
      <c r="KH60" s="11"/>
      <c r="KI60" s="11"/>
      <c r="KJ60" s="11"/>
      <c r="KK60" s="11"/>
      <c r="KL60" s="11"/>
      <c r="KM60" s="11"/>
      <c r="KN60" s="11"/>
      <c r="KO60" s="11"/>
      <c r="KP60" s="11"/>
      <c r="KQ60" s="11"/>
      <c r="KR60" s="11"/>
      <c r="KS60" s="11"/>
      <c r="KT60" s="11"/>
      <c r="KU60" s="11"/>
      <c r="KV60" s="11"/>
      <c r="KW60" s="11"/>
      <c r="KX60" s="11"/>
      <c r="KY60" s="11"/>
      <c r="KZ60" s="11"/>
      <c r="LA60" s="11"/>
      <c r="LB60" s="11"/>
      <c r="LC60" s="11"/>
      <c r="LD60" s="11"/>
      <c r="LE60" s="11"/>
      <c r="LF60" s="11"/>
      <c r="LG60" s="11"/>
      <c r="LH60" s="11"/>
      <c r="LI60" s="11"/>
      <c r="LJ60" s="11"/>
      <c r="LK60" s="11"/>
      <c r="LL60" s="11"/>
      <c r="LM60" s="11"/>
      <c r="LN60" s="11"/>
      <c r="LO60" s="11"/>
      <c r="LP60" s="11"/>
      <c r="LQ60" s="11"/>
      <c r="LR60" s="11"/>
      <c r="LS60" s="11"/>
      <c r="LT60" s="11"/>
      <c r="LU60" s="11"/>
      <c r="LV60" s="11"/>
      <c r="LW60" s="11"/>
      <c r="LX60" s="11"/>
      <c r="LY60" s="11"/>
      <c r="LZ60" s="11"/>
      <c r="MA60" s="11"/>
      <c r="MB60" s="11"/>
      <c r="MC60" s="11"/>
      <c r="MD60" s="11"/>
      <c r="ME60" s="11"/>
      <c r="MF60" s="11"/>
      <c r="MG60" s="11"/>
      <c r="MH60" s="11"/>
      <c r="MI60" s="11"/>
      <c r="MJ60" s="11"/>
      <c r="MK60" s="11"/>
      <c r="ML60" s="11"/>
      <c r="MM60" s="11"/>
      <c r="MN60" s="11"/>
      <c r="MO60" s="11"/>
      <c r="MP60" s="11"/>
      <c r="MQ60" s="11"/>
      <c r="MR60" s="11"/>
      <c r="MS60" s="11"/>
      <c r="MT60" s="11"/>
      <c r="MU60" s="11"/>
      <c r="MV60" s="11"/>
      <c r="MW60" s="11"/>
      <c r="MX60" s="11"/>
      <c r="MY60" s="11"/>
      <c r="MZ60" s="11"/>
      <c r="NA60" s="11"/>
      <c r="NB60" s="11"/>
      <c r="NC60" s="11"/>
      <c r="ND60" s="11"/>
      <c r="NE60" s="11"/>
      <c r="NF60" s="11"/>
      <c r="NG60" s="11"/>
      <c r="NH60" s="11"/>
      <c r="NI60" s="11"/>
      <c r="NJ60" s="11"/>
      <c r="NK60" s="11"/>
      <c r="NL60" s="11"/>
      <c r="NM60" s="11"/>
      <c r="NN60" s="11"/>
      <c r="NO60" s="11"/>
      <c r="NP60" s="11"/>
      <c r="NQ60" s="11"/>
      <c r="NR60" s="11"/>
      <c r="NS60" s="11"/>
      <c r="NT60" s="11"/>
      <c r="NU60" s="11"/>
      <c r="NV60" s="11"/>
      <c r="NW60" s="11"/>
      <c r="NX60" s="11"/>
      <c r="NY60" s="11"/>
      <c r="NZ60" s="11"/>
      <c r="OA60" s="11"/>
      <c r="OB60" s="11"/>
      <c r="OC60" s="11"/>
      <c r="OD60" s="11"/>
      <c r="OE60" s="11"/>
      <c r="OF60" s="11"/>
      <c r="OG60" s="11"/>
      <c r="OH60" s="11"/>
      <c r="OI60" s="11"/>
      <c r="OJ60" s="11"/>
      <c r="OK60" s="11"/>
      <c r="OL60" s="11"/>
      <c r="OM60" s="11"/>
      <c r="ON60" s="11"/>
      <c r="OO60" s="11"/>
      <c r="OP60" s="11"/>
      <c r="OQ60" s="11"/>
      <c r="OR60" s="11"/>
      <c r="OS60" s="11"/>
      <c r="OT60" s="11"/>
      <c r="OU60" s="11"/>
      <c r="OV60" s="11"/>
      <c r="OW60" s="11"/>
      <c r="OX60" s="11"/>
      <c r="OY60" s="11"/>
      <c r="OZ60" s="11"/>
      <c r="PA60" s="11"/>
      <c r="PB60" s="11"/>
      <c r="PC60" s="11"/>
      <c r="PD60" s="11"/>
      <c r="PE60" s="11"/>
      <c r="PF60" s="11"/>
      <c r="PG60" s="11"/>
      <c r="PH60" s="11"/>
      <c r="PI60" s="11"/>
      <c r="PJ60" s="11"/>
      <c r="PK60" s="11"/>
      <c r="PL60" s="11"/>
      <c r="PM60" s="11"/>
      <c r="PN60" s="11"/>
      <c r="PO60" s="11"/>
      <c r="PP60" s="11"/>
      <c r="PQ60" s="11"/>
      <c r="PR60" s="11"/>
      <c r="PS60" s="11"/>
      <c r="PT60" s="11"/>
      <c r="PU60" s="11"/>
      <c r="PV60" s="11"/>
      <c r="PW60" s="11"/>
      <c r="PX60" s="11"/>
      <c r="PY60" s="11"/>
      <c r="PZ60" s="11"/>
      <c r="QA60" s="11"/>
      <c r="QB60" s="11"/>
      <c r="QC60" s="11"/>
      <c r="QD60" s="11"/>
      <c r="QE60" s="11"/>
      <c r="QF60" s="11"/>
      <c r="QG60" s="11"/>
      <c r="QH60" s="11"/>
      <c r="QI60" s="11"/>
      <c r="QJ60" s="11"/>
      <c r="QK60" s="11"/>
      <c r="QL60" s="11"/>
      <c r="QM60" s="11"/>
      <c r="QN60" s="11"/>
      <c r="QO60" s="11"/>
      <c r="QP60" s="11"/>
      <c r="QQ60" s="11"/>
      <c r="QR60" s="11"/>
      <c r="QS60" s="11"/>
      <c r="QT60" s="11"/>
      <c r="QU60" s="11"/>
      <c r="QV60" s="11"/>
      <c r="QW60" s="11"/>
      <c r="QX60" s="11"/>
      <c r="QY60" s="11"/>
      <c r="QZ60" s="11"/>
      <c r="RA60" s="11"/>
      <c r="RB60" s="11"/>
      <c r="RC60" s="11"/>
      <c r="RD60" s="11"/>
      <c r="RE60" s="11"/>
      <c r="RF60" s="11"/>
      <c r="RG60" s="11"/>
      <c r="RH60" s="11"/>
      <c r="RI60" s="11"/>
      <c r="RJ60" s="11"/>
      <c r="RK60" s="11"/>
      <c r="RL60" s="11"/>
      <c r="RM60" s="11"/>
      <c r="RN60" s="11"/>
      <c r="RO60" s="11"/>
      <c r="RP60" s="11"/>
      <c r="RQ60" s="11"/>
      <c r="RR60" s="11"/>
      <c r="RS60" s="11"/>
      <c r="RT60" s="11"/>
      <c r="RU60" s="11"/>
      <c r="RV60" s="11"/>
      <c r="RW60" s="11"/>
      <c r="RX60" s="11"/>
      <c r="RY60" s="11"/>
      <c r="RZ60" s="11"/>
      <c r="SA60" s="11"/>
      <c r="SB60" s="11"/>
      <c r="SC60" s="11"/>
      <c r="SD60" s="11"/>
      <c r="SE60" s="11"/>
      <c r="SF60" s="11"/>
      <c r="SG60" s="11"/>
      <c r="SH60" s="11"/>
      <c r="SI60" s="11"/>
      <c r="SJ60" s="11"/>
      <c r="SK60" s="11"/>
      <c r="SL60" s="11"/>
      <c r="SM60" s="11"/>
      <c r="SN60" s="11"/>
      <c r="SO60" s="11"/>
      <c r="SP60" s="11"/>
      <c r="SQ60" s="11"/>
      <c r="SR60" s="11"/>
      <c r="SS60" s="11"/>
      <c r="ST60" s="11"/>
      <c r="SU60" s="11"/>
      <c r="SV60" s="11"/>
      <c r="SW60" s="11"/>
      <c r="SX60" s="11"/>
      <c r="SY60" s="11"/>
      <c r="SZ60" s="11"/>
      <c r="TA60" s="11"/>
      <c r="TB60" s="11"/>
      <c r="TC60" s="11"/>
      <c r="TD60" s="11"/>
      <c r="TE60" s="11"/>
      <c r="TF60" s="11"/>
      <c r="TG60" s="11"/>
      <c r="TH60" s="11"/>
      <c r="TI60" s="11"/>
      <c r="TJ60" s="11"/>
      <c r="TK60" s="11"/>
      <c r="TL60" s="11"/>
      <c r="TM60" s="11"/>
      <c r="TN60" s="11"/>
      <c r="TO60" s="11"/>
      <c r="TP60" s="11"/>
      <c r="TQ60" s="11"/>
      <c r="TR60" s="11"/>
      <c r="TS60" s="11"/>
      <c r="TT60" s="11"/>
      <c r="TU60" s="11"/>
      <c r="TV60" s="11"/>
      <c r="TW60" s="11"/>
      <c r="TX60" s="11"/>
      <c r="TY60" s="11"/>
      <c r="TZ60" s="11"/>
      <c r="UA60" s="11"/>
      <c r="UB60" s="11"/>
      <c r="UC60" s="11"/>
      <c r="UD60" s="11"/>
      <c r="UE60" s="11"/>
      <c r="UF60" s="11"/>
      <c r="UG60" s="11"/>
      <c r="UH60" s="11"/>
      <c r="UI60" s="11"/>
      <c r="UJ60" s="11"/>
      <c r="UK60" s="11"/>
      <c r="UL60" s="11"/>
      <c r="UM60" s="11"/>
      <c r="UN60" s="11"/>
      <c r="UO60" s="11"/>
      <c r="UP60" s="11"/>
      <c r="UQ60" s="11"/>
      <c r="UR60" s="11"/>
      <c r="US60" s="11"/>
      <c r="UT60" s="11"/>
      <c r="UU60" s="11"/>
      <c r="UV60" s="11"/>
      <c r="UW60" s="11"/>
      <c r="UX60" s="11"/>
      <c r="UY60" s="11"/>
      <c r="UZ60" s="11"/>
      <c r="VA60" s="11"/>
      <c r="VB60" s="11"/>
      <c r="VC60" s="11"/>
      <c r="VD60" s="11"/>
      <c r="VE60" s="11"/>
      <c r="VF60" s="11"/>
      <c r="VG60" s="11"/>
      <c r="VH60" s="11"/>
      <c r="VI60" s="11"/>
      <c r="VJ60" s="11"/>
      <c r="VK60" s="11"/>
      <c r="VL60" s="11"/>
      <c r="VM60" s="11"/>
      <c r="VN60" s="11"/>
      <c r="VO60" s="11"/>
      <c r="VP60" s="11"/>
      <c r="VQ60" s="11"/>
      <c r="VR60" s="11"/>
      <c r="VS60" s="11"/>
      <c r="VT60" s="11"/>
      <c r="VU60" s="11"/>
      <c r="VV60" s="11"/>
      <c r="VW60" s="11"/>
      <c r="VX60" s="11"/>
      <c r="VY60" s="11"/>
      <c r="VZ60" s="11"/>
      <c r="WA60" s="11"/>
      <c r="WB60" s="11"/>
      <c r="WC60" s="11"/>
      <c r="WD60" s="11"/>
      <c r="WE60" s="11"/>
      <c r="WF60" s="11"/>
      <c r="WG60" s="11"/>
      <c r="WH60" s="11"/>
      <c r="WI60" s="11"/>
      <c r="WJ60" s="11"/>
      <c r="WK60" s="11"/>
      <c r="WL60" s="11"/>
      <c r="WM60" s="11"/>
      <c r="WN60" s="11"/>
      <c r="WO60" s="11"/>
      <c r="WP60" s="11"/>
      <c r="WQ60" s="11"/>
      <c r="WR60" s="11"/>
      <c r="WS60" s="11"/>
      <c r="WT60" s="11"/>
      <c r="WU60" s="11"/>
      <c r="WV60" s="11"/>
      <c r="WW60" s="11"/>
      <c r="WX60" s="11"/>
      <c r="WY60" s="11"/>
      <c r="WZ60" s="11"/>
      <c r="XA60" s="11"/>
      <c r="XB60" s="11"/>
      <c r="XC60" s="11"/>
      <c r="XD60" s="11"/>
      <c r="XE60" s="11"/>
      <c r="XF60" s="11"/>
      <c r="XG60" s="11"/>
      <c r="XH60" s="11"/>
      <c r="XI60" s="11"/>
      <c r="XJ60" s="11"/>
      <c r="XK60" s="11"/>
      <c r="XL60" s="11"/>
      <c r="XM60" s="11"/>
      <c r="XN60" s="11"/>
      <c r="XO60" s="11"/>
      <c r="XP60" s="11"/>
      <c r="XQ60" s="11"/>
      <c r="XR60" s="11"/>
      <c r="XS60" s="11"/>
      <c r="XT60" s="11"/>
      <c r="XU60" s="11"/>
      <c r="XV60" s="11"/>
      <c r="XW60" s="11"/>
      <c r="XX60" s="11"/>
      <c r="XY60" s="11"/>
      <c r="XZ60" s="11"/>
      <c r="YA60" s="11"/>
      <c r="YB60" s="11"/>
      <c r="YC60" s="11"/>
      <c r="YD60" s="11"/>
      <c r="YE60" s="11"/>
      <c r="YF60" s="11"/>
      <c r="YG60" s="11"/>
      <c r="YH60" s="11"/>
      <c r="YI60" s="11"/>
      <c r="YJ60" s="11"/>
      <c r="YK60" s="11"/>
      <c r="YL60" s="11"/>
      <c r="YM60" s="11"/>
      <c r="YN60" s="11"/>
      <c r="YO60" s="11"/>
      <c r="YP60" s="11"/>
      <c r="YQ60" s="11"/>
      <c r="YR60" s="11"/>
      <c r="YS60" s="11"/>
      <c r="YT60" s="11"/>
      <c r="YU60" s="11"/>
      <c r="YV60" s="11"/>
      <c r="YW60" s="11"/>
      <c r="YX60" s="11"/>
      <c r="YY60" s="11"/>
      <c r="YZ60" s="11"/>
      <c r="ZA60" s="11"/>
      <c r="ZB60" s="11"/>
      <c r="ZC60" s="11"/>
      <c r="ZD60" s="11"/>
      <c r="ZE60" s="11"/>
      <c r="ZF60" s="11"/>
      <c r="ZG60" s="11"/>
      <c r="ZH60" s="11"/>
      <c r="ZI60" s="11"/>
      <c r="ZJ60" s="11"/>
      <c r="ZK60" s="11"/>
      <c r="ZL60" s="11"/>
      <c r="ZM60" s="11"/>
      <c r="ZN60" s="11"/>
      <c r="ZO60" s="11"/>
      <c r="ZP60" s="11"/>
      <c r="ZQ60" s="11"/>
      <c r="ZR60" s="11"/>
      <c r="ZS60" s="11"/>
      <c r="ZT60" s="11"/>
      <c r="ZU60" s="11"/>
      <c r="ZV60" s="11"/>
      <c r="ZW60" s="11"/>
      <c r="ZX60" s="11"/>
      <c r="ZY60" s="11"/>
      <c r="ZZ60" s="11"/>
      <c r="AAA60" s="11"/>
      <c r="AAB60" s="11"/>
      <c r="AAC60" s="11"/>
      <c r="AAD60" s="11"/>
      <c r="AAE60" s="11"/>
      <c r="AAF60" s="11"/>
      <c r="AAG60" s="11"/>
      <c r="AAH60" s="11"/>
      <c r="AAI60" s="11"/>
      <c r="AAJ60" s="11"/>
      <c r="AAK60" s="11"/>
      <c r="AAL60" s="11"/>
    </row>
    <row r="61" spans="1:714" s="6" customFormat="1" x14ac:dyDescent="0.3">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c r="DA61" s="11"/>
      <c r="DB61" s="11"/>
      <c r="DC61" s="11"/>
      <c r="DD61" s="11"/>
      <c r="DE61" s="11"/>
      <c r="DF61" s="11"/>
      <c r="DG61" s="11"/>
      <c r="DH61" s="11"/>
      <c r="DI61" s="11"/>
      <c r="DJ61" s="11"/>
      <c r="DK61" s="11"/>
      <c r="DL61" s="11"/>
      <c r="DM61" s="11"/>
      <c r="DN61" s="11"/>
      <c r="DO61" s="11"/>
      <c r="DP61" s="11"/>
      <c r="DQ61" s="11"/>
      <c r="DR61" s="11"/>
      <c r="DS61" s="11"/>
      <c r="DT61" s="11"/>
      <c r="DU61" s="11"/>
      <c r="DV61" s="11"/>
      <c r="DW61" s="11"/>
      <c r="DX61" s="11"/>
      <c r="DY61" s="11"/>
      <c r="DZ61" s="11"/>
      <c r="EA61" s="11"/>
      <c r="EB61" s="11"/>
      <c r="EC61" s="11"/>
      <c r="ED61" s="11"/>
      <c r="EE61" s="11"/>
      <c r="EF61" s="11"/>
      <c r="EG61" s="11"/>
      <c r="EH61" s="11"/>
      <c r="EI61" s="11"/>
      <c r="EJ61" s="11"/>
      <c r="EK61" s="11"/>
      <c r="EL61" s="11"/>
      <c r="EM61" s="11"/>
      <c r="EN61" s="11"/>
      <c r="EO61" s="11"/>
      <c r="EP61" s="11"/>
      <c r="EQ61" s="11"/>
      <c r="ER61" s="11"/>
      <c r="ES61" s="11"/>
      <c r="ET61" s="11"/>
      <c r="EU61" s="11"/>
      <c r="EV61" s="11"/>
      <c r="EW61" s="11"/>
      <c r="EX61" s="11"/>
      <c r="EY61" s="11"/>
      <c r="EZ61" s="11"/>
      <c r="FA61" s="11"/>
      <c r="FB61" s="11"/>
      <c r="FC61" s="11"/>
      <c r="FD61" s="11"/>
      <c r="FE61" s="11"/>
      <c r="FF61" s="11"/>
      <c r="FG61" s="11"/>
      <c r="FH61" s="11"/>
      <c r="FI61" s="11"/>
      <c r="FJ61" s="11"/>
      <c r="FK61" s="11"/>
      <c r="FL61" s="11"/>
      <c r="FM61" s="11"/>
      <c r="FN61" s="11"/>
      <c r="FO61" s="11"/>
      <c r="FP61" s="11"/>
      <c r="FQ61" s="11"/>
      <c r="FR61" s="11"/>
      <c r="FS61" s="11"/>
      <c r="FT61" s="11"/>
      <c r="FU61" s="11"/>
      <c r="FV61" s="11"/>
      <c r="FW61" s="11"/>
      <c r="FX61" s="11"/>
      <c r="FY61" s="11"/>
      <c r="FZ61" s="11"/>
      <c r="GA61" s="11"/>
      <c r="GB61" s="11"/>
      <c r="GC61" s="11"/>
      <c r="GD61" s="11"/>
      <c r="GE61" s="11"/>
      <c r="GF61" s="11"/>
      <c r="GG61" s="11"/>
      <c r="GH61" s="11"/>
      <c r="GI61" s="11"/>
      <c r="GJ61" s="11"/>
      <c r="GK61" s="11"/>
      <c r="GL61" s="11"/>
      <c r="GM61" s="11"/>
      <c r="GN61" s="11"/>
      <c r="GO61" s="11"/>
      <c r="GP61" s="11"/>
      <c r="GQ61" s="11"/>
      <c r="GR61" s="11"/>
      <c r="GS61" s="11"/>
      <c r="GT61" s="11"/>
      <c r="GU61" s="11"/>
      <c r="GV61" s="11"/>
      <c r="GW61" s="11"/>
      <c r="GX61" s="11"/>
      <c r="GY61" s="11"/>
      <c r="GZ61" s="11"/>
      <c r="HA61" s="11"/>
      <c r="HB61" s="11"/>
      <c r="HC61" s="11"/>
      <c r="HD61" s="11"/>
      <c r="HE61" s="11"/>
      <c r="HF61" s="11"/>
      <c r="HG61" s="11"/>
      <c r="HH61" s="11"/>
      <c r="HI61" s="11"/>
      <c r="HJ61" s="11"/>
      <c r="HK61" s="11"/>
      <c r="HL61" s="11"/>
      <c r="HM61" s="11"/>
      <c r="HN61" s="11"/>
      <c r="HO61" s="11"/>
      <c r="HP61" s="11"/>
      <c r="HQ61" s="11"/>
      <c r="HR61" s="11"/>
      <c r="HS61" s="11"/>
      <c r="HT61" s="11"/>
      <c r="HU61" s="11"/>
      <c r="HV61" s="11"/>
      <c r="HW61" s="11"/>
      <c r="HX61" s="11"/>
      <c r="HY61" s="11"/>
      <c r="HZ61" s="11"/>
      <c r="IA61" s="11"/>
      <c r="IB61" s="11"/>
      <c r="IC61" s="11"/>
      <c r="ID61" s="11"/>
      <c r="IE61" s="11"/>
      <c r="IF61" s="11"/>
      <c r="IG61" s="11"/>
      <c r="IH61" s="11"/>
      <c r="II61" s="11"/>
      <c r="IJ61" s="11"/>
      <c r="IK61" s="11"/>
      <c r="IL61" s="11"/>
      <c r="IM61" s="11"/>
      <c r="IN61" s="11"/>
      <c r="IO61" s="11"/>
      <c r="IP61" s="11"/>
      <c r="IQ61" s="11"/>
      <c r="IR61" s="11"/>
      <c r="IS61" s="11"/>
      <c r="IT61" s="11"/>
      <c r="IU61" s="11"/>
      <c r="IV61" s="11"/>
      <c r="IW61" s="11"/>
      <c r="IX61" s="11"/>
      <c r="IY61" s="11"/>
      <c r="IZ61" s="11"/>
      <c r="JA61" s="11"/>
      <c r="JB61" s="11"/>
      <c r="JC61" s="11"/>
      <c r="JD61" s="11"/>
      <c r="JE61" s="11"/>
      <c r="JF61" s="11"/>
      <c r="JG61" s="11"/>
      <c r="JH61" s="11"/>
      <c r="JI61" s="11"/>
      <c r="JJ61" s="11"/>
      <c r="JK61" s="11"/>
      <c r="JL61" s="11"/>
      <c r="JM61" s="11"/>
      <c r="JN61" s="11"/>
      <c r="JO61" s="11"/>
      <c r="JP61" s="11"/>
      <c r="JQ61" s="11"/>
      <c r="JR61" s="11"/>
      <c r="JS61" s="11"/>
      <c r="JT61" s="11"/>
      <c r="JU61" s="11"/>
      <c r="JV61" s="11"/>
      <c r="JW61" s="11"/>
      <c r="JX61" s="11"/>
      <c r="JY61" s="11"/>
      <c r="JZ61" s="11"/>
      <c r="KA61" s="11"/>
      <c r="KB61" s="11"/>
      <c r="KC61" s="11"/>
      <c r="KD61" s="11"/>
      <c r="KE61" s="11"/>
      <c r="KF61" s="11"/>
      <c r="KG61" s="11"/>
      <c r="KH61" s="11"/>
      <c r="KI61" s="11"/>
      <c r="KJ61" s="11"/>
      <c r="KK61" s="11"/>
      <c r="KL61" s="11"/>
      <c r="KM61" s="11"/>
      <c r="KN61" s="11"/>
      <c r="KO61" s="11"/>
      <c r="KP61" s="11"/>
      <c r="KQ61" s="11"/>
      <c r="KR61" s="11"/>
      <c r="KS61" s="11"/>
      <c r="KT61" s="11"/>
      <c r="KU61" s="11"/>
      <c r="KV61" s="11"/>
      <c r="KW61" s="11"/>
      <c r="KX61" s="11"/>
      <c r="KY61" s="11"/>
      <c r="KZ61" s="11"/>
      <c r="LA61" s="11"/>
      <c r="LB61" s="11"/>
      <c r="LC61" s="11"/>
      <c r="LD61" s="11"/>
      <c r="LE61" s="11"/>
      <c r="LF61" s="11"/>
      <c r="LG61" s="11"/>
      <c r="LH61" s="11"/>
      <c r="LI61" s="11"/>
      <c r="LJ61" s="11"/>
      <c r="LK61" s="11"/>
      <c r="LL61" s="11"/>
      <c r="LM61" s="11"/>
      <c r="LN61" s="11"/>
      <c r="LO61" s="11"/>
      <c r="LP61" s="11"/>
      <c r="LQ61" s="11"/>
      <c r="LR61" s="11"/>
      <c r="LS61" s="11"/>
      <c r="LT61" s="11"/>
      <c r="LU61" s="11"/>
      <c r="LV61" s="11"/>
      <c r="LW61" s="11"/>
      <c r="LX61" s="11"/>
      <c r="LY61" s="11"/>
      <c r="LZ61" s="11"/>
      <c r="MA61" s="11"/>
      <c r="MB61" s="11"/>
      <c r="MC61" s="11"/>
      <c r="MD61" s="11"/>
      <c r="ME61" s="11"/>
      <c r="MF61" s="11"/>
      <c r="MG61" s="11"/>
      <c r="MH61" s="11"/>
      <c r="MI61" s="11"/>
      <c r="MJ61" s="11"/>
      <c r="MK61" s="11"/>
      <c r="ML61" s="11"/>
      <c r="MM61" s="11"/>
      <c r="MN61" s="11"/>
      <c r="MO61" s="11"/>
      <c r="MP61" s="11"/>
      <c r="MQ61" s="11"/>
      <c r="MR61" s="11"/>
      <c r="MS61" s="11"/>
      <c r="MT61" s="11"/>
      <c r="MU61" s="11"/>
      <c r="MV61" s="11"/>
      <c r="MW61" s="11"/>
      <c r="MX61" s="11"/>
      <c r="MY61" s="11"/>
      <c r="MZ61" s="11"/>
      <c r="NA61" s="11"/>
      <c r="NB61" s="11"/>
      <c r="NC61" s="11"/>
      <c r="ND61" s="11"/>
      <c r="NE61" s="11"/>
      <c r="NF61" s="11"/>
      <c r="NG61" s="11"/>
      <c r="NH61" s="11"/>
      <c r="NI61" s="11"/>
      <c r="NJ61" s="11"/>
      <c r="NK61" s="11"/>
      <c r="NL61" s="11"/>
      <c r="NM61" s="11"/>
      <c r="NN61" s="11"/>
      <c r="NO61" s="11"/>
      <c r="NP61" s="11"/>
      <c r="NQ61" s="11"/>
      <c r="NR61" s="11"/>
      <c r="NS61" s="11"/>
      <c r="NT61" s="11"/>
      <c r="NU61" s="11"/>
      <c r="NV61" s="11"/>
      <c r="NW61" s="11"/>
      <c r="NX61" s="11"/>
      <c r="NY61" s="11"/>
      <c r="NZ61" s="11"/>
      <c r="OA61" s="11"/>
      <c r="OB61" s="11"/>
      <c r="OC61" s="11"/>
      <c r="OD61" s="11"/>
      <c r="OE61" s="11"/>
      <c r="OF61" s="11"/>
      <c r="OG61" s="11"/>
      <c r="OH61" s="11"/>
      <c r="OI61" s="11"/>
      <c r="OJ61" s="11"/>
      <c r="OK61" s="11"/>
      <c r="OL61" s="11"/>
      <c r="OM61" s="11"/>
      <c r="ON61" s="11"/>
      <c r="OO61" s="11"/>
      <c r="OP61" s="11"/>
      <c r="OQ61" s="11"/>
      <c r="OR61" s="11"/>
      <c r="OS61" s="11"/>
      <c r="OT61" s="11"/>
      <c r="OU61" s="11"/>
      <c r="OV61" s="11"/>
      <c r="OW61" s="11"/>
      <c r="OX61" s="11"/>
      <c r="OY61" s="11"/>
      <c r="OZ61" s="11"/>
      <c r="PA61" s="11"/>
      <c r="PB61" s="11"/>
      <c r="PC61" s="11"/>
      <c r="PD61" s="11"/>
      <c r="PE61" s="11"/>
      <c r="PF61" s="11"/>
      <c r="PG61" s="11"/>
      <c r="PH61" s="11"/>
      <c r="PI61" s="11"/>
      <c r="PJ61" s="11"/>
      <c r="PK61" s="11"/>
      <c r="PL61" s="11"/>
      <c r="PM61" s="11"/>
      <c r="PN61" s="11"/>
      <c r="PO61" s="11"/>
      <c r="PP61" s="11"/>
      <c r="PQ61" s="11"/>
      <c r="PR61" s="11"/>
      <c r="PS61" s="11"/>
      <c r="PT61" s="11"/>
      <c r="PU61" s="11"/>
      <c r="PV61" s="11"/>
      <c r="PW61" s="11"/>
      <c r="PX61" s="11"/>
      <c r="PY61" s="11"/>
      <c r="PZ61" s="11"/>
      <c r="QA61" s="11"/>
      <c r="QB61" s="11"/>
      <c r="QC61" s="11"/>
      <c r="QD61" s="11"/>
      <c r="QE61" s="11"/>
      <c r="QF61" s="11"/>
      <c r="QG61" s="11"/>
      <c r="QH61" s="11"/>
      <c r="QI61" s="11"/>
      <c r="QJ61" s="11"/>
      <c r="QK61" s="11"/>
      <c r="QL61" s="11"/>
      <c r="QM61" s="11"/>
      <c r="QN61" s="11"/>
      <c r="QO61" s="11"/>
      <c r="QP61" s="11"/>
      <c r="QQ61" s="11"/>
      <c r="QR61" s="11"/>
      <c r="QS61" s="11"/>
      <c r="QT61" s="11"/>
      <c r="QU61" s="11"/>
      <c r="QV61" s="11"/>
      <c r="QW61" s="11"/>
      <c r="QX61" s="11"/>
      <c r="QY61" s="11"/>
      <c r="QZ61" s="11"/>
      <c r="RA61" s="11"/>
      <c r="RB61" s="11"/>
      <c r="RC61" s="11"/>
      <c r="RD61" s="11"/>
      <c r="RE61" s="11"/>
      <c r="RF61" s="11"/>
      <c r="RG61" s="11"/>
      <c r="RH61" s="11"/>
      <c r="RI61" s="11"/>
      <c r="RJ61" s="11"/>
      <c r="RK61" s="11"/>
      <c r="RL61" s="11"/>
      <c r="RM61" s="11"/>
      <c r="RN61" s="11"/>
      <c r="RO61" s="11"/>
      <c r="RP61" s="11"/>
      <c r="RQ61" s="11"/>
      <c r="RR61" s="11"/>
      <c r="RS61" s="11"/>
      <c r="RT61" s="11"/>
      <c r="RU61" s="11"/>
      <c r="RV61" s="11"/>
      <c r="RW61" s="11"/>
      <c r="RX61" s="11"/>
      <c r="RY61" s="11"/>
      <c r="RZ61" s="11"/>
      <c r="SA61" s="11"/>
      <c r="SB61" s="11"/>
      <c r="SC61" s="11"/>
      <c r="SD61" s="11"/>
      <c r="SE61" s="11"/>
      <c r="SF61" s="11"/>
      <c r="SG61" s="11"/>
      <c r="SH61" s="11"/>
      <c r="SI61" s="11"/>
      <c r="SJ61" s="11"/>
      <c r="SK61" s="11"/>
      <c r="SL61" s="11"/>
      <c r="SM61" s="11"/>
      <c r="SN61" s="11"/>
      <c r="SO61" s="11"/>
      <c r="SP61" s="11"/>
      <c r="SQ61" s="11"/>
      <c r="SR61" s="11"/>
      <c r="SS61" s="11"/>
      <c r="ST61" s="11"/>
      <c r="SU61" s="11"/>
      <c r="SV61" s="11"/>
      <c r="SW61" s="11"/>
      <c r="SX61" s="11"/>
      <c r="SY61" s="11"/>
      <c r="SZ61" s="11"/>
      <c r="TA61" s="11"/>
      <c r="TB61" s="11"/>
      <c r="TC61" s="11"/>
      <c r="TD61" s="11"/>
      <c r="TE61" s="11"/>
      <c r="TF61" s="11"/>
      <c r="TG61" s="11"/>
      <c r="TH61" s="11"/>
      <c r="TI61" s="11"/>
      <c r="TJ61" s="11"/>
      <c r="TK61" s="11"/>
      <c r="TL61" s="11"/>
      <c r="TM61" s="11"/>
      <c r="TN61" s="11"/>
      <c r="TO61" s="11"/>
      <c r="TP61" s="11"/>
      <c r="TQ61" s="11"/>
      <c r="TR61" s="11"/>
      <c r="TS61" s="11"/>
      <c r="TT61" s="11"/>
      <c r="TU61" s="11"/>
      <c r="TV61" s="11"/>
      <c r="TW61" s="11"/>
      <c r="TX61" s="11"/>
      <c r="TY61" s="11"/>
      <c r="TZ61" s="11"/>
      <c r="UA61" s="11"/>
      <c r="UB61" s="11"/>
      <c r="UC61" s="11"/>
      <c r="UD61" s="11"/>
      <c r="UE61" s="11"/>
      <c r="UF61" s="11"/>
      <c r="UG61" s="11"/>
      <c r="UH61" s="11"/>
      <c r="UI61" s="11"/>
      <c r="UJ61" s="11"/>
      <c r="UK61" s="11"/>
      <c r="UL61" s="11"/>
      <c r="UM61" s="11"/>
      <c r="UN61" s="11"/>
      <c r="UO61" s="11"/>
      <c r="UP61" s="11"/>
      <c r="UQ61" s="11"/>
      <c r="UR61" s="11"/>
      <c r="US61" s="11"/>
      <c r="UT61" s="11"/>
      <c r="UU61" s="11"/>
      <c r="UV61" s="11"/>
      <c r="UW61" s="11"/>
      <c r="UX61" s="11"/>
      <c r="UY61" s="11"/>
      <c r="UZ61" s="11"/>
      <c r="VA61" s="11"/>
      <c r="VB61" s="11"/>
      <c r="VC61" s="11"/>
      <c r="VD61" s="11"/>
      <c r="VE61" s="11"/>
      <c r="VF61" s="11"/>
      <c r="VG61" s="11"/>
      <c r="VH61" s="11"/>
      <c r="VI61" s="11"/>
      <c r="VJ61" s="11"/>
      <c r="VK61" s="11"/>
      <c r="VL61" s="11"/>
      <c r="VM61" s="11"/>
      <c r="VN61" s="11"/>
      <c r="VO61" s="11"/>
      <c r="VP61" s="11"/>
      <c r="VQ61" s="11"/>
      <c r="VR61" s="11"/>
      <c r="VS61" s="11"/>
      <c r="VT61" s="11"/>
      <c r="VU61" s="11"/>
      <c r="VV61" s="11"/>
      <c r="VW61" s="11"/>
      <c r="VX61" s="11"/>
      <c r="VY61" s="11"/>
      <c r="VZ61" s="11"/>
      <c r="WA61" s="11"/>
      <c r="WB61" s="11"/>
      <c r="WC61" s="11"/>
      <c r="WD61" s="11"/>
      <c r="WE61" s="11"/>
      <c r="WF61" s="11"/>
      <c r="WG61" s="11"/>
      <c r="WH61" s="11"/>
      <c r="WI61" s="11"/>
      <c r="WJ61" s="11"/>
      <c r="WK61" s="11"/>
      <c r="WL61" s="11"/>
      <c r="WM61" s="11"/>
      <c r="WN61" s="11"/>
      <c r="WO61" s="11"/>
      <c r="WP61" s="11"/>
      <c r="WQ61" s="11"/>
      <c r="WR61" s="11"/>
      <c r="WS61" s="11"/>
      <c r="WT61" s="11"/>
      <c r="WU61" s="11"/>
      <c r="WV61" s="11"/>
      <c r="WW61" s="11"/>
      <c r="WX61" s="11"/>
      <c r="WY61" s="11"/>
      <c r="WZ61" s="11"/>
      <c r="XA61" s="11"/>
      <c r="XB61" s="11"/>
      <c r="XC61" s="11"/>
      <c r="XD61" s="11"/>
      <c r="XE61" s="11"/>
      <c r="XF61" s="11"/>
      <c r="XG61" s="11"/>
      <c r="XH61" s="11"/>
      <c r="XI61" s="11"/>
      <c r="XJ61" s="11"/>
      <c r="XK61" s="11"/>
      <c r="XL61" s="11"/>
      <c r="XM61" s="11"/>
      <c r="XN61" s="11"/>
      <c r="XO61" s="11"/>
      <c r="XP61" s="11"/>
      <c r="XQ61" s="11"/>
      <c r="XR61" s="11"/>
      <c r="XS61" s="11"/>
      <c r="XT61" s="11"/>
      <c r="XU61" s="11"/>
      <c r="XV61" s="11"/>
      <c r="XW61" s="11"/>
      <c r="XX61" s="11"/>
      <c r="XY61" s="11"/>
      <c r="XZ61" s="11"/>
      <c r="YA61" s="11"/>
      <c r="YB61" s="11"/>
      <c r="YC61" s="11"/>
      <c r="YD61" s="11"/>
      <c r="YE61" s="11"/>
      <c r="YF61" s="11"/>
      <c r="YG61" s="11"/>
      <c r="YH61" s="11"/>
      <c r="YI61" s="11"/>
      <c r="YJ61" s="11"/>
      <c r="YK61" s="11"/>
      <c r="YL61" s="11"/>
      <c r="YM61" s="11"/>
      <c r="YN61" s="11"/>
      <c r="YO61" s="11"/>
      <c r="YP61" s="11"/>
      <c r="YQ61" s="11"/>
      <c r="YR61" s="11"/>
      <c r="YS61" s="11"/>
      <c r="YT61" s="11"/>
      <c r="YU61" s="11"/>
      <c r="YV61" s="11"/>
      <c r="YW61" s="11"/>
      <c r="YX61" s="11"/>
      <c r="YY61" s="11"/>
      <c r="YZ61" s="11"/>
      <c r="ZA61" s="11"/>
      <c r="ZB61" s="11"/>
      <c r="ZC61" s="11"/>
      <c r="ZD61" s="11"/>
      <c r="ZE61" s="11"/>
      <c r="ZF61" s="11"/>
      <c r="ZG61" s="11"/>
      <c r="ZH61" s="11"/>
      <c r="ZI61" s="11"/>
      <c r="ZJ61" s="11"/>
      <c r="ZK61" s="11"/>
      <c r="ZL61" s="11"/>
      <c r="ZM61" s="11"/>
      <c r="ZN61" s="11"/>
      <c r="ZO61" s="11"/>
      <c r="ZP61" s="11"/>
      <c r="ZQ61" s="11"/>
      <c r="ZR61" s="11"/>
      <c r="ZS61" s="11"/>
      <c r="ZT61" s="11"/>
      <c r="ZU61" s="11"/>
      <c r="ZV61" s="11"/>
      <c r="ZW61" s="11"/>
      <c r="ZX61" s="11"/>
      <c r="ZY61" s="11"/>
      <c r="ZZ61" s="11"/>
      <c r="AAA61" s="11"/>
      <c r="AAB61" s="11"/>
      <c r="AAC61" s="11"/>
      <c r="AAD61" s="11"/>
      <c r="AAE61" s="11"/>
      <c r="AAF61" s="11"/>
      <c r="AAG61" s="11"/>
      <c r="AAH61" s="11"/>
      <c r="AAI61" s="11"/>
      <c r="AAJ61" s="11"/>
      <c r="AAK61" s="11"/>
      <c r="AAL61" s="11"/>
    </row>
    <row r="62" spans="1:714" s="6" customFormat="1" x14ac:dyDescent="0.3">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c r="CT62" s="11"/>
      <c r="CU62" s="11"/>
      <c r="CV62" s="11"/>
      <c r="CW62" s="11"/>
      <c r="CX62" s="11"/>
      <c r="CY62" s="11"/>
      <c r="CZ62" s="11"/>
      <c r="DA62" s="11"/>
      <c r="DB62" s="11"/>
      <c r="DC62" s="11"/>
      <c r="DD62" s="11"/>
      <c r="DE62" s="11"/>
      <c r="DF62" s="11"/>
      <c r="DG62" s="11"/>
      <c r="DH62" s="11"/>
      <c r="DI62" s="11"/>
      <c r="DJ62" s="11"/>
      <c r="DK62" s="11"/>
      <c r="DL62" s="11"/>
      <c r="DM62" s="11"/>
      <c r="DN62" s="11"/>
      <c r="DO62" s="11"/>
      <c r="DP62" s="11"/>
      <c r="DQ62" s="11"/>
      <c r="DR62" s="11"/>
      <c r="DS62" s="11"/>
      <c r="DT62" s="11"/>
      <c r="DU62" s="11"/>
      <c r="DV62" s="11"/>
      <c r="DW62" s="11"/>
      <c r="DX62" s="11"/>
      <c r="DY62" s="11"/>
      <c r="DZ62" s="11"/>
      <c r="EA62" s="11"/>
      <c r="EB62" s="11"/>
      <c r="EC62" s="11"/>
      <c r="ED62" s="11"/>
      <c r="EE62" s="11"/>
      <c r="EF62" s="11"/>
      <c r="EG62" s="11"/>
      <c r="EH62" s="11"/>
      <c r="EI62" s="11"/>
      <c r="EJ62" s="11"/>
      <c r="EK62" s="11"/>
      <c r="EL62" s="11"/>
      <c r="EM62" s="11"/>
      <c r="EN62" s="11"/>
      <c r="EO62" s="11"/>
      <c r="EP62" s="11"/>
      <c r="EQ62" s="11"/>
      <c r="ER62" s="11"/>
      <c r="ES62" s="11"/>
      <c r="ET62" s="11"/>
      <c r="EU62" s="11"/>
      <c r="EV62" s="11"/>
      <c r="EW62" s="11"/>
      <c r="EX62" s="11"/>
      <c r="EY62" s="11"/>
      <c r="EZ62" s="11"/>
      <c r="FA62" s="11"/>
      <c r="FB62" s="11"/>
      <c r="FC62" s="11"/>
      <c r="FD62" s="11"/>
      <c r="FE62" s="11"/>
      <c r="FF62" s="11"/>
      <c r="FG62" s="11"/>
      <c r="FH62" s="11"/>
      <c r="FI62" s="11"/>
      <c r="FJ62" s="11"/>
      <c r="FK62" s="11"/>
      <c r="FL62" s="11"/>
      <c r="FM62" s="11"/>
      <c r="FN62" s="11"/>
      <c r="FO62" s="11"/>
      <c r="FP62" s="11"/>
      <c r="FQ62" s="11"/>
      <c r="FR62" s="11"/>
      <c r="FS62" s="11"/>
      <c r="FT62" s="11"/>
      <c r="FU62" s="11"/>
      <c r="FV62" s="11"/>
      <c r="FW62" s="11"/>
      <c r="FX62" s="11"/>
      <c r="FY62" s="11"/>
      <c r="FZ62" s="11"/>
      <c r="GA62" s="11"/>
      <c r="GB62" s="11"/>
      <c r="GC62" s="11"/>
      <c r="GD62" s="11"/>
      <c r="GE62" s="11"/>
      <c r="GF62" s="11"/>
      <c r="GG62" s="11"/>
      <c r="GH62" s="11"/>
      <c r="GI62" s="11"/>
      <c r="GJ62" s="11"/>
      <c r="GK62" s="11"/>
      <c r="GL62" s="11"/>
      <c r="GM62" s="11"/>
      <c r="GN62" s="11"/>
      <c r="GO62" s="11"/>
      <c r="GP62" s="11"/>
      <c r="GQ62" s="11"/>
      <c r="GR62" s="11"/>
      <c r="GS62" s="11"/>
      <c r="GT62" s="11"/>
      <c r="GU62" s="11"/>
      <c r="GV62" s="11"/>
      <c r="GW62" s="11"/>
      <c r="GX62" s="11"/>
      <c r="GY62" s="11"/>
      <c r="GZ62" s="11"/>
      <c r="HA62" s="11"/>
      <c r="HB62" s="11"/>
      <c r="HC62" s="11"/>
      <c r="HD62" s="11"/>
      <c r="HE62" s="11"/>
      <c r="HF62" s="11"/>
      <c r="HG62" s="11"/>
      <c r="HH62" s="11"/>
      <c r="HI62" s="11"/>
      <c r="HJ62" s="11"/>
      <c r="HK62" s="11"/>
      <c r="HL62" s="11"/>
      <c r="HM62" s="11"/>
      <c r="HN62" s="11"/>
      <c r="HO62" s="11"/>
      <c r="HP62" s="11"/>
      <c r="HQ62" s="11"/>
      <c r="HR62" s="11"/>
      <c r="HS62" s="11"/>
      <c r="HT62" s="11"/>
      <c r="HU62" s="11"/>
      <c r="HV62" s="11"/>
      <c r="HW62" s="11"/>
      <c r="HX62" s="11"/>
      <c r="HY62" s="11"/>
      <c r="HZ62" s="11"/>
      <c r="IA62" s="11"/>
      <c r="IB62" s="11"/>
      <c r="IC62" s="11"/>
      <c r="ID62" s="11"/>
      <c r="IE62" s="11"/>
      <c r="IF62" s="11"/>
      <c r="IG62" s="11"/>
      <c r="IH62" s="11"/>
      <c r="II62" s="11"/>
      <c r="IJ62" s="11"/>
      <c r="IK62" s="11"/>
      <c r="IL62" s="11"/>
      <c r="IM62" s="11"/>
      <c r="IN62" s="11"/>
      <c r="IO62" s="11"/>
      <c r="IP62" s="11"/>
      <c r="IQ62" s="11"/>
      <c r="IR62" s="11"/>
      <c r="IS62" s="11"/>
      <c r="IT62" s="11"/>
      <c r="IU62" s="11"/>
      <c r="IV62" s="11"/>
      <c r="IW62" s="11"/>
      <c r="IX62" s="11"/>
      <c r="IY62" s="11"/>
      <c r="IZ62" s="11"/>
      <c r="JA62" s="11"/>
      <c r="JB62" s="11"/>
      <c r="JC62" s="11"/>
      <c r="JD62" s="11"/>
      <c r="JE62" s="11"/>
      <c r="JF62" s="11"/>
      <c r="JG62" s="11"/>
      <c r="JH62" s="11"/>
      <c r="JI62" s="11"/>
      <c r="JJ62" s="11"/>
      <c r="JK62" s="11"/>
      <c r="JL62" s="11"/>
      <c r="JM62" s="11"/>
      <c r="JN62" s="11"/>
      <c r="JO62" s="11"/>
      <c r="JP62" s="11"/>
      <c r="JQ62" s="11"/>
      <c r="JR62" s="11"/>
      <c r="JS62" s="11"/>
      <c r="JT62" s="11"/>
      <c r="JU62" s="11"/>
      <c r="JV62" s="11"/>
      <c r="JW62" s="11"/>
      <c r="JX62" s="11"/>
      <c r="JY62" s="11"/>
      <c r="JZ62" s="11"/>
      <c r="KA62" s="11"/>
      <c r="KB62" s="11"/>
      <c r="KC62" s="11"/>
      <c r="KD62" s="11"/>
      <c r="KE62" s="11"/>
      <c r="KF62" s="11"/>
      <c r="KG62" s="11"/>
      <c r="KH62" s="11"/>
      <c r="KI62" s="11"/>
      <c r="KJ62" s="11"/>
      <c r="KK62" s="11"/>
      <c r="KL62" s="11"/>
      <c r="KM62" s="11"/>
      <c r="KN62" s="11"/>
      <c r="KO62" s="11"/>
      <c r="KP62" s="11"/>
      <c r="KQ62" s="11"/>
      <c r="KR62" s="11"/>
      <c r="KS62" s="11"/>
      <c r="KT62" s="11"/>
      <c r="KU62" s="11"/>
      <c r="KV62" s="11"/>
      <c r="KW62" s="11"/>
      <c r="KX62" s="11"/>
      <c r="KY62" s="11"/>
      <c r="KZ62" s="11"/>
      <c r="LA62" s="11"/>
      <c r="LB62" s="11"/>
      <c r="LC62" s="11"/>
      <c r="LD62" s="11"/>
      <c r="LE62" s="11"/>
      <c r="LF62" s="11"/>
      <c r="LG62" s="11"/>
      <c r="LH62" s="11"/>
      <c r="LI62" s="11"/>
      <c r="LJ62" s="11"/>
      <c r="LK62" s="11"/>
      <c r="LL62" s="11"/>
      <c r="LM62" s="11"/>
      <c r="LN62" s="11"/>
      <c r="LO62" s="11"/>
      <c r="LP62" s="11"/>
      <c r="LQ62" s="11"/>
      <c r="LR62" s="11"/>
      <c r="LS62" s="11"/>
      <c r="LT62" s="11"/>
      <c r="LU62" s="11"/>
      <c r="LV62" s="11"/>
      <c r="LW62" s="11"/>
      <c r="LX62" s="11"/>
      <c r="LY62" s="11"/>
      <c r="LZ62" s="11"/>
      <c r="MA62" s="11"/>
      <c r="MB62" s="11"/>
      <c r="MC62" s="11"/>
      <c r="MD62" s="11"/>
      <c r="ME62" s="11"/>
      <c r="MF62" s="11"/>
      <c r="MG62" s="11"/>
      <c r="MH62" s="11"/>
      <c r="MI62" s="11"/>
      <c r="MJ62" s="11"/>
      <c r="MK62" s="11"/>
      <c r="ML62" s="11"/>
      <c r="MM62" s="11"/>
      <c r="MN62" s="11"/>
      <c r="MO62" s="11"/>
      <c r="MP62" s="11"/>
      <c r="MQ62" s="11"/>
      <c r="MR62" s="11"/>
      <c r="MS62" s="11"/>
      <c r="MT62" s="11"/>
      <c r="MU62" s="11"/>
      <c r="MV62" s="11"/>
      <c r="MW62" s="11"/>
      <c r="MX62" s="11"/>
      <c r="MY62" s="11"/>
      <c r="MZ62" s="11"/>
      <c r="NA62" s="11"/>
      <c r="NB62" s="11"/>
      <c r="NC62" s="11"/>
      <c r="ND62" s="11"/>
      <c r="NE62" s="11"/>
      <c r="NF62" s="11"/>
      <c r="NG62" s="11"/>
      <c r="NH62" s="11"/>
      <c r="NI62" s="11"/>
      <c r="NJ62" s="11"/>
      <c r="NK62" s="11"/>
      <c r="NL62" s="11"/>
      <c r="NM62" s="11"/>
      <c r="NN62" s="11"/>
      <c r="NO62" s="11"/>
      <c r="NP62" s="11"/>
      <c r="NQ62" s="11"/>
      <c r="NR62" s="11"/>
      <c r="NS62" s="11"/>
      <c r="NT62" s="11"/>
      <c r="NU62" s="11"/>
      <c r="NV62" s="11"/>
      <c r="NW62" s="11"/>
      <c r="NX62" s="11"/>
      <c r="NY62" s="11"/>
      <c r="NZ62" s="11"/>
      <c r="OA62" s="11"/>
      <c r="OB62" s="11"/>
      <c r="OC62" s="11"/>
      <c r="OD62" s="11"/>
      <c r="OE62" s="11"/>
      <c r="OF62" s="11"/>
      <c r="OG62" s="11"/>
      <c r="OH62" s="11"/>
      <c r="OI62" s="11"/>
      <c r="OJ62" s="11"/>
      <c r="OK62" s="11"/>
      <c r="OL62" s="11"/>
      <c r="OM62" s="11"/>
      <c r="ON62" s="11"/>
      <c r="OO62" s="11"/>
      <c r="OP62" s="11"/>
      <c r="OQ62" s="11"/>
      <c r="OR62" s="11"/>
      <c r="OS62" s="11"/>
      <c r="OT62" s="11"/>
      <c r="OU62" s="11"/>
      <c r="OV62" s="11"/>
      <c r="OW62" s="11"/>
      <c r="OX62" s="11"/>
      <c r="OY62" s="11"/>
      <c r="OZ62" s="11"/>
      <c r="PA62" s="11"/>
      <c r="PB62" s="11"/>
      <c r="PC62" s="11"/>
      <c r="PD62" s="11"/>
      <c r="PE62" s="11"/>
      <c r="PF62" s="11"/>
      <c r="PG62" s="11"/>
      <c r="PH62" s="11"/>
      <c r="PI62" s="11"/>
      <c r="PJ62" s="11"/>
      <c r="PK62" s="11"/>
      <c r="PL62" s="11"/>
      <c r="PM62" s="11"/>
      <c r="PN62" s="11"/>
      <c r="PO62" s="11"/>
      <c r="PP62" s="11"/>
      <c r="PQ62" s="11"/>
      <c r="PR62" s="11"/>
      <c r="PS62" s="11"/>
      <c r="PT62" s="11"/>
      <c r="PU62" s="11"/>
      <c r="PV62" s="11"/>
      <c r="PW62" s="11"/>
      <c r="PX62" s="11"/>
      <c r="PY62" s="11"/>
      <c r="PZ62" s="11"/>
      <c r="QA62" s="11"/>
      <c r="QB62" s="11"/>
      <c r="QC62" s="11"/>
      <c r="QD62" s="11"/>
      <c r="QE62" s="11"/>
      <c r="QF62" s="11"/>
      <c r="QG62" s="11"/>
      <c r="QH62" s="11"/>
      <c r="QI62" s="11"/>
      <c r="QJ62" s="11"/>
      <c r="QK62" s="11"/>
      <c r="QL62" s="11"/>
      <c r="QM62" s="11"/>
      <c r="QN62" s="11"/>
      <c r="QO62" s="11"/>
      <c r="QP62" s="11"/>
      <c r="QQ62" s="11"/>
      <c r="QR62" s="11"/>
      <c r="QS62" s="11"/>
      <c r="QT62" s="11"/>
      <c r="QU62" s="11"/>
      <c r="QV62" s="11"/>
      <c r="QW62" s="11"/>
      <c r="QX62" s="11"/>
      <c r="QY62" s="11"/>
      <c r="QZ62" s="11"/>
      <c r="RA62" s="11"/>
      <c r="RB62" s="11"/>
      <c r="RC62" s="11"/>
      <c r="RD62" s="11"/>
      <c r="RE62" s="11"/>
      <c r="RF62" s="11"/>
      <c r="RG62" s="11"/>
      <c r="RH62" s="11"/>
      <c r="RI62" s="11"/>
      <c r="RJ62" s="11"/>
      <c r="RK62" s="11"/>
      <c r="RL62" s="11"/>
      <c r="RM62" s="11"/>
      <c r="RN62" s="11"/>
      <c r="RO62" s="11"/>
      <c r="RP62" s="11"/>
      <c r="RQ62" s="11"/>
      <c r="RR62" s="11"/>
      <c r="RS62" s="11"/>
      <c r="RT62" s="11"/>
      <c r="RU62" s="11"/>
      <c r="RV62" s="11"/>
      <c r="RW62" s="11"/>
      <c r="RX62" s="11"/>
      <c r="RY62" s="11"/>
      <c r="RZ62" s="11"/>
      <c r="SA62" s="11"/>
      <c r="SB62" s="11"/>
      <c r="SC62" s="11"/>
      <c r="SD62" s="11"/>
      <c r="SE62" s="11"/>
      <c r="SF62" s="11"/>
      <c r="SG62" s="11"/>
      <c r="SH62" s="11"/>
      <c r="SI62" s="11"/>
      <c r="SJ62" s="11"/>
      <c r="SK62" s="11"/>
      <c r="SL62" s="11"/>
      <c r="SM62" s="11"/>
      <c r="SN62" s="11"/>
      <c r="SO62" s="11"/>
      <c r="SP62" s="11"/>
      <c r="SQ62" s="11"/>
      <c r="SR62" s="11"/>
      <c r="SS62" s="11"/>
      <c r="ST62" s="11"/>
      <c r="SU62" s="11"/>
      <c r="SV62" s="11"/>
      <c r="SW62" s="11"/>
      <c r="SX62" s="11"/>
      <c r="SY62" s="11"/>
      <c r="SZ62" s="11"/>
      <c r="TA62" s="11"/>
      <c r="TB62" s="11"/>
      <c r="TC62" s="11"/>
      <c r="TD62" s="11"/>
      <c r="TE62" s="11"/>
      <c r="TF62" s="11"/>
      <c r="TG62" s="11"/>
      <c r="TH62" s="11"/>
      <c r="TI62" s="11"/>
      <c r="TJ62" s="11"/>
      <c r="TK62" s="11"/>
      <c r="TL62" s="11"/>
      <c r="TM62" s="11"/>
      <c r="TN62" s="11"/>
      <c r="TO62" s="11"/>
      <c r="TP62" s="11"/>
      <c r="TQ62" s="11"/>
      <c r="TR62" s="11"/>
      <c r="TS62" s="11"/>
      <c r="TT62" s="11"/>
      <c r="TU62" s="11"/>
      <c r="TV62" s="11"/>
      <c r="TW62" s="11"/>
      <c r="TX62" s="11"/>
      <c r="TY62" s="11"/>
      <c r="TZ62" s="11"/>
      <c r="UA62" s="11"/>
      <c r="UB62" s="11"/>
      <c r="UC62" s="11"/>
      <c r="UD62" s="11"/>
      <c r="UE62" s="11"/>
      <c r="UF62" s="11"/>
      <c r="UG62" s="11"/>
      <c r="UH62" s="11"/>
      <c r="UI62" s="11"/>
      <c r="UJ62" s="11"/>
      <c r="UK62" s="11"/>
      <c r="UL62" s="11"/>
      <c r="UM62" s="11"/>
      <c r="UN62" s="11"/>
      <c r="UO62" s="11"/>
      <c r="UP62" s="11"/>
      <c r="UQ62" s="11"/>
      <c r="UR62" s="11"/>
      <c r="US62" s="11"/>
      <c r="UT62" s="11"/>
      <c r="UU62" s="11"/>
      <c r="UV62" s="11"/>
      <c r="UW62" s="11"/>
      <c r="UX62" s="11"/>
      <c r="UY62" s="11"/>
      <c r="UZ62" s="11"/>
      <c r="VA62" s="11"/>
      <c r="VB62" s="11"/>
      <c r="VC62" s="11"/>
      <c r="VD62" s="11"/>
      <c r="VE62" s="11"/>
      <c r="VF62" s="11"/>
      <c r="VG62" s="11"/>
      <c r="VH62" s="11"/>
      <c r="VI62" s="11"/>
      <c r="VJ62" s="11"/>
      <c r="VK62" s="11"/>
      <c r="VL62" s="11"/>
      <c r="VM62" s="11"/>
      <c r="VN62" s="11"/>
      <c r="VO62" s="11"/>
      <c r="VP62" s="11"/>
      <c r="VQ62" s="11"/>
      <c r="VR62" s="11"/>
      <c r="VS62" s="11"/>
      <c r="VT62" s="11"/>
      <c r="VU62" s="11"/>
      <c r="VV62" s="11"/>
      <c r="VW62" s="11"/>
      <c r="VX62" s="11"/>
      <c r="VY62" s="11"/>
      <c r="VZ62" s="11"/>
      <c r="WA62" s="11"/>
      <c r="WB62" s="11"/>
      <c r="WC62" s="11"/>
      <c r="WD62" s="11"/>
      <c r="WE62" s="11"/>
      <c r="WF62" s="11"/>
      <c r="WG62" s="11"/>
      <c r="WH62" s="11"/>
      <c r="WI62" s="11"/>
      <c r="WJ62" s="11"/>
      <c r="WK62" s="11"/>
      <c r="WL62" s="11"/>
      <c r="WM62" s="11"/>
      <c r="WN62" s="11"/>
      <c r="WO62" s="11"/>
      <c r="WP62" s="11"/>
      <c r="WQ62" s="11"/>
      <c r="WR62" s="11"/>
      <c r="WS62" s="11"/>
      <c r="WT62" s="11"/>
      <c r="WU62" s="11"/>
      <c r="WV62" s="11"/>
      <c r="WW62" s="11"/>
      <c r="WX62" s="11"/>
      <c r="WY62" s="11"/>
      <c r="WZ62" s="11"/>
      <c r="XA62" s="11"/>
      <c r="XB62" s="11"/>
      <c r="XC62" s="11"/>
      <c r="XD62" s="11"/>
      <c r="XE62" s="11"/>
      <c r="XF62" s="11"/>
      <c r="XG62" s="11"/>
      <c r="XH62" s="11"/>
      <c r="XI62" s="11"/>
      <c r="XJ62" s="11"/>
      <c r="XK62" s="11"/>
      <c r="XL62" s="11"/>
      <c r="XM62" s="11"/>
      <c r="XN62" s="11"/>
      <c r="XO62" s="11"/>
      <c r="XP62" s="11"/>
      <c r="XQ62" s="11"/>
      <c r="XR62" s="11"/>
      <c r="XS62" s="11"/>
      <c r="XT62" s="11"/>
      <c r="XU62" s="11"/>
      <c r="XV62" s="11"/>
      <c r="XW62" s="11"/>
      <c r="XX62" s="11"/>
      <c r="XY62" s="11"/>
      <c r="XZ62" s="11"/>
      <c r="YA62" s="11"/>
      <c r="YB62" s="11"/>
      <c r="YC62" s="11"/>
      <c r="YD62" s="11"/>
      <c r="YE62" s="11"/>
      <c r="YF62" s="11"/>
      <c r="YG62" s="11"/>
      <c r="YH62" s="11"/>
      <c r="YI62" s="11"/>
      <c r="YJ62" s="11"/>
      <c r="YK62" s="11"/>
      <c r="YL62" s="11"/>
      <c r="YM62" s="11"/>
      <c r="YN62" s="11"/>
      <c r="YO62" s="11"/>
      <c r="YP62" s="11"/>
      <c r="YQ62" s="11"/>
      <c r="YR62" s="11"/>
      <c r="YS62" s="11"/>
      <c r="YT62" s="11"/>
      <c r="YU62" s="11"/>
      <c r="YV62" s="11"/>
      <c r="YW62" s="11"/>
      <c r="YX62" s="11"/>
      <c r="YY62" s="11"/>
      <c r="YZ62" s="11"/>
      <c r="ZA62" s="11"/>
      <c r="ZB62" s="11"/>
      <c r="ZC62" s="11"/>
      <c r="ZD62" s="11"/>
      <c r="ZE62" s="11"/>
      <c r="ZF62" s="11"/>
      <c r="ZG62" s="11"/>
      <c r="ZH62" s="11"/>
      <c r="ZI62" s="11"/>
      <c r="ZJ62" s="11"/>
      <c r="ZK62" s="11"/>
      <c r="ZL62" s="11"/>
      <c r="ZM62" s="11"/>
      <c r="ZN62" s="11"/>
      <c r="ZO62" s="11"/>
      <c r="ZP62" s="11"/>
      <c r="ZQ62" s="11"/>
      <c r="ZR62" s="11"/>
      <c r="ZS62" s="11"/>
      <c r="ZT62" s="11"/>
      <c r="ZU62" s="11"/>
      <c r="ZV62" s="11"/>
      <c r="ZW62" s="11"/>
      <c r="ZX62" s="11"/>
      <c r="ZY62" s="11"/>
      <c r="ZZ62" s="11"/>
      <c r="AAA62" s="11"/>
      <c r="AAB62" s="11"/>
      <c r="AAC62" s="11"/>
      <c r="AAD62" s="11"/>
      <c r="AAE62" s="11"/>
      <c r="AAF62" s="11"/>
      <c r="AAG62" s="11"/>
      <c r="AAH62" s="11"/>
      <c r="AAI62" s="11"/>
      <c r="AAJ62" s="11"/>
      <c r="AAK62" s="11"/>
      <c r="AAL62" s="11"/>
    </row>
    <row r="63" spans="1:714" x14ac:dyDescent="0.3">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row>
    <row r="64" spans="1:714" x14ac:dyDescent="0.3">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row>
    <row r="65" spans="9:42" x14ac:dyDescent="0.3">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row>
    <row r="66" spans="9:42" x14ac:dyDescent="0.3">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row>
    <row r="67" spans="9:42" x14ac:dyDescent="0.3">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row>
    <row r="68" spans="9:42" x14ac:dyDescent="0.3">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row>
    <row r="69" spans="9:42" x14ac:dyDescent="0.3">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row>
    <row r="70" spans="9:42" x14ac:dyDescent="0.3">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row>
    <row r="71" spans="9:42" x14ac:dyDescent="0.3">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row>
    <row r="72" spans="9:42" x14ac:dyDescent="0.3">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row>
    <row r="73" spans="9:42" x14ac:dyDescent="0.3">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row>
    <row r="74" spans="9:42" x14ac:dyDescent="0.3">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row>
    <row r="75" spans="9:42" x14ac:dyDescent="0.3">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row>
    <row r="76" spans="9:42" x14ac:dyDescent="0.3">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row>
    <row r="77" spans="9:42" x14ac:dyDescent="0.3">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row>
    <row r="78" spans="9:42" x14ac:dyDescent="0.3">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row>
    <row r="79" spans="9:42" x14ac:dyDescent="0.3">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row>
    <row r="80" spans="9:42" x14ac:dyDescent="0.3">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row>
    <row r="81" spans="9:42" x14ac:dyDescent="0.3">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row>
    <row r="82" spans="9:42" x14ac:dyDescent="0.3">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row>
    <row r="83" spans="9:42" x14ac:dyDescent="0.3">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row>
    <row r="84" spans="9:42" x14ac:dyDescent="0.3">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row>
    <row r="85" spans="9:42" x14ac:dyDescent="0.3">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row>
    <row r="86" spans="9:42" x14ac:dyDescent="0.3">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row>
    <row r="87" spans="9:42" x14ac:dyDescent="0.3">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row>
    <row r="88" spans="9:42" x14ac:dyDescent="0.3">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row>
    <row r="89" spans="9:42" x14ac:dyDescent="0.3">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row>
    <row r="90" spans="9:42" x14ac:dyDescent="0.3">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row>
    <row r="91" spans="9:42" x14ac:dyDescent="0.3">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row>
    <row r="92" spans="9:42" x14ac:dyDescent="0.3">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row>
    <row r="93" spans="9:42" x14ac:dyDescent="0.3">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row>
    <row r="94" spans="9:42" x14ac:dyDescent="0.3">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row>
    <row r="95" spans="9:42" x14ac:dyDescent="0.3">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row>
    <row r="96" spans="9:42" x14ac:dyDescent="0.3">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row>
    <row r="97" spans="9:42" x14ac:dyDescent="0.3">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row>
    <row r="98" spans="9:42" x14ac:dyDescent="0.3">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row>
    <row r="99" spans="9:42" x14ac:dyDescent="0.3">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row>
    <row r="100" spans="9:42" x14ac:dyDescent="0.3">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row>
    <row r="101" spans="9:42" x14ac:dyDescent="0.3">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row>
    <row r="102" spans="9:42" x14ac:dyDescent="0.3">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row>
    <row r="103" spans="9:42" x14ac:dyDescent="0.3">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row>
    <row r="104" spans="9:42" x14ac:dyDescent="0.3">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row>
    <row r="105" spans="9:42" x14ac:dyDescent="0.3">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row>
    <row r="106" spans="9:42" x14ac:dyDescent="0.3">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row>
    <row r="107" spans="9:42" x14ac:dyDescent="0.3">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row>
    <row r="108" spans="9:42" x14ac:dyDescent="0.3">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row>
    <row r="109" spans="9:42" x14ac:dyDescent="0.3">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row>
    <row r="110" spans="9:42" x14ac:dyDescent="0.3">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row>
    <row r="111" spans="9:42" x14ac:dyDescent="0.3">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row>
    <row r="112" spans="9:42" x14ac:dyDescent="0.3">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row>
    <row r="113" spans="9:42" x14ac:dyDescent="0.3">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row>
    <row r="114" spans="9:42" x14ac:dyDescent="0.3">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row>
    <row r="115" spans="9:42" x14ac:dyDescent="0.3">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row>
    <row r="116" spans="9:42" x14ac:dyDescent="0.3">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row>
    <row r="117" spans="9:42" x14ac:dyDescent="0.3">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row>
    <row r="118" spans="9:42" x14ac:dyDescent="0.3">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row>
    <row r="119" spans="9:42" x14ac:dyDescent="0.3">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row>
    <row r="120" spans="9:42" x14ac:dyDescent="0.3">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row>
    <row r="121" spans="9:42" x14ac:dyDescent="0.3">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row>
    <row r="122" spans="9:42" x14ac:dyDescent="0.3">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row>
    <row r="123" spans="9:42" x14ac:dyDescent="0.3">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row>
    <row r="124" spans="9:42" x14ac:dyDescent="0.3">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row>
    <row r="125" spans="9:42" x14ac:dyDescent="0.3">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row>
    <row r="126" spans="9:42" x14ac:dyDescent="0.3">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row>
    <row r="127" spans="9:42" x14ac:dyDescent="0.3">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row>
    <row r="128" spans="9:42" x14ac:dyDescent="0.3">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row>
    <row r="129" spans="9:42" x14ac:dyDescent="0.3">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row>
    <row r="130" spans="9:42" x14ac:dyDescent="0.3">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row>
    <row r="131" spans="9:42" x14ac:dyDescent="0.3">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row>
    <row r="132" spans="9:42" x14ac:dyDescent="0.3">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row>
    <row r="133" spans="9:42" x14ac:dyDescent="0.3">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row>
    <row r="134" spans="9:42" x14ac:dyDescent="0.3">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row>
    <row r="135" spans="9:42" x14ac:dyDescent="0.3">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row>
    <row r="136" spans="9:42" x14ac:dyDescent="0.3">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row>
    <row r="137" spans="9:42" x14ac:dyDescent="0.3">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row>
    <row r="138" spans="9:42" x14ac:dyDescent="0.3">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row>
    <row r="139" spans="9:42" x14ac:dyDescent="0.3">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row>
    <row r="140" spans="9:42" x14ac:dyDescent="0.3">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row>
    <row r="141" spans="9:42" x14ac:dyDescent="0.3">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row>
    <row r="142" spans="9:42" x14ac:dyDescent="0.3">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row>
    <row r="143" spans="9:42" x14ac:dyDescent="0.3">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row>
    <row r="144" spans="9:42" x14ac:dyDescent="0.3">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row>
    <row r="145" spans="9:42" x14ac:dyDescent="0.3">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row>
    <row r="146" spans="9:42" x14ac:dyDescent="0.3">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row>
    <row r="147" spans="9:42" x14ac:dyDescent="0.3">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row>
    <row r="148" spans="9:42" x14ac:dyDescent="0.3">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row>
    <row r="149" spans="9:42" x14ac:dyDescent="0.3">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row>
    <row r="150" spans="9:42" x14ac:dyDescent="0.3">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row>
    <row r="151" spans="9:42" x14ac:dyDescent="0.3">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row>
    <row r="152" spans="9:42" x14ac:dyDescent="0.3">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row>
    <row r="153" spans="9:42" x14ac:dyDescent="0.3">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row>
    <row r="154" spans="9:42" x14ac:dyDescent="0.3">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row>
    <row r="155" spans="9:42" x14ac:dyDescent="0.3">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row>
    <row r="156" spans="9:42" x14ac:dyDescent="0.3">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row>
    <row r="157" spans="9:42" x14ac:dyDescent="0.3">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row>
    <row r="158" spans="9:42" x14ac:dyDescent="0.3">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row>
    <row r="159" spans="9:42" x14ac:dyDescent="0.3">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row>
    <row r="160" spans="9:42" x14ac:dyDescent="0.3">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row>
    <row r="161" spans="9:42" x14ac:dyDescent="0.3">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row>
    <row r="162" spans="9:42" x14ac:dyDescent="0.3">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row>
    <row r="163" spans="9:42" x14ac:dyDescent="0.3">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row>
    <row r="164" spans="9:42" x14ac:dyDescent="0.3">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row>
    <row r="165" spans="9:42" x14ac:dyDescent="0.3">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row>
    <row r="166" spans="9:42" x14ac:dyDescent="0.3">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row>
    <row r="167" spans="9:42" x14ac:dyDescent="0.3">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row>
    <row r="168" spans="9:42" x14ac:dyDescent="0.3">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row>
    <row r="169" spans="9:42" x14ac:dyDescent="0.3">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row>
    <row r="170" spans="9:42" x14ac:dyDescent="0.3">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row>
    <row r="171" spans="9:42" x14ac:dyDescent="0.3">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row>
    <row r="172" spans="9:42" x14ac:dyDescent="0.3">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row>
    <row r="173" spans="9:42" x14ac:dyDescent="0.3">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row>
    <row r="174" spans="9:42" x14ac:dyDescent="0.3">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row>
    <row r="175" spans="9:42" x14ac:dyDescent="0.3">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row>
    <row r="176" spans="9:42" x14ac:dyDescent="0.3">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row>
    <row r="177" spans="9:42" x14ac:dyDescent="0.3">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row>
    <row r="178" spans="9:42" x14ac:dyDescent="0.3">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row>
    <row r="179" spans="9:42" x14ac:dyDescent="0.3">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row>
    <row r="180" spans="9:42" x14ac:dyDescent="0.3">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row>
    <row r="181" spans="9:42" x14ac:dyDescent="0.3">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row>
    <row r="182" spans="9:42" x14ac:dyDescent="0.3">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row>
    <row r="183" spans="9:42" x14ac:dyDescent="0.3">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row>
    <row r="184" spans="9:42" x14ac:dyDescent="0.3">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row>
    <row r="185" spans="9:42" x14ac:dyDescent="0.3">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row>
    <row r="186" spans="9:42" x14ac:dyDescent="0.3">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row>
    <row r="187" spans="9:42" x14ac:dyDescent="0.3">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row>
    <row r="188" spans="9:42" x14ac:dyDescent="0.3">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row>
    <row r="189" spans="9:42" x14ac:dyDescent="0.3">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row>
    <row r="190" spans="9:42" x14ac:dyDescent="0.3">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row>
    <row r="191" spans="9:42" x14ac:dyDescent="0.3">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row>
    <row r="192" spans="9:42" x14ac:dyDescent="0.3">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row>
    <row r="193" spans="9:42" x14ac:dyDescent="0.3">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row>
    <row r="194" spans="9:42" x14ac:dyDescent="0.3">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row>
    <row r="195" spans="9:42" x14ac:dyDescent="0.3">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row>
    <row r="196" spans="9:42" x14ac:dyDescent="0.3">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row>
    <row r="197" spans="9:42" x14ac:dyDescent="0.3">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row>
    <row r="198" spans="9:42" x14ac:dyDescent="0.3">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row>
    <row r="199" spans="9:42" x14ac:dyDescent="0.3">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row>
    <row r="200" spans="9:42" x14ac:dyDescent="0.3">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row>
    <row r="201" spans="9:42" x14ac:dyDescent="0.3">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row>
    <row r="202" spans="9:42" x14ac:dyDescent="0.3">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row>
    <row r="203" spans="9:42" x14ac:dyDescent="0.3">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row>
    <row r="204" spans="9:42" x14ac:dyDescent="0.3">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row>
    <row r="205" spans="9:42" x14ac:dyDescent="0.3">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row>
    <row r="206" spans="9:42" x14ac:dyDescent="0.3">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row>
    <row r="207" spans="9:42" x14ac:dyDescent="0.3">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row>
    <row r="208" spans="9:42" x14ac:dyDescent="0.3">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row>
    <row r="209" spans="9:42" x14ac:dyDescent="0.3">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row>
    <row r="210" spans="9:42" x14ac:dyDescent="0.3">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row>
    <row r="211" spans="9:42" x14ac:dyDescent="0.3">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row>
    <row r="212" spans="9:42" x14ac:dyDescent="0.3">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row>
    <row r="213" spans="9:42" x14ac:dyDescent="0.3">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row>
    <row r="214" spans="9:42" x14ac:dyDescent="0.3">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row>
    <row r="215" spans="9:42" x14ac:dyDescent="0.3">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row>
    <row r="216" spans="9:42" x14ac:dyDescent="0.3">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row>
    <row r="217" spans="9:42" x14ac:dyDescent="0.3">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row>
    <row r="218" spans="9:42" x14ac:dyDescent="0.3">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row>
    <row r="219" spans="9:42" x14ac:dyDescent="0.3">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row>
    <row r="220" spans="9:42" x14ac:dyDescent="0.3">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row>
    <row r="221" spans="9:42" x14ac:dyDescent="0.3">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row>
    <row r="222" spans="9:42" x14ac:dyDescent="0.3">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row>
    <row r="223" spans="9:42" x14ac:dyDescent="0.3">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row>
    <row r="224" spans="9:42" x14ac:dyDescent="0.3">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row>
    <row r="225" spans="9:42" x14ac:dyDescent="0.3">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row>
    <row r="226" spans="9:42" x14ac:dyDescent="0.3">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row>
    <row r="227" spans="9:42" x14ac:dyDescent="0.3">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row>
    <row r="228" spans="9:42" x14ac:dyDescent="0.3">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row>
    <row r="229" spans="9:42" x14ac:dyDescent="0.3">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row>
    <row r="230" spans="9:42" x14ac:dyDescent="0.3">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row>
    <row r="231" spans="9:42" x14ac:dyDescent="0.3">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row>
    <row r="232" spans="9:42" x14ac:dyDescent="0.3">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row>
    <row r="233" spans="9:42" x14ac:dyDescent="0.3">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row>
    <row r="234" spans="9:42" x14ac:dyDescent="0.3">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row>
    <row r="235" spans="9:42" x14ac:dyDescent="0.3">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row>
    <row r="236" spans="9:42" x14ac:dyDescent="0.3">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row>
    <row r="237" spans="9:42" x14ac:dyDescent="0.3">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row>
    <row r="238" spans="9:42" x14ac:dyDescent="0.3">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row>
    <row r="239" spans="9:42" x14ac:dyDescent="0.3">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row>
    <row r="240" spans="9:42" x14ac:dyDescent="0.3">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row>
    <row r="241" spans="9:42" x14ac:dyDescent="0.3">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row>
    <row r="242" spans="9:42" x14ac:dyDescent="0.3">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row>
    <row r="243" spans="9:42" x14ac:dyDescent="0.3">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row>
    <row r="244" spans="9:42" x14ac:dyDescent="0.3">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row>
    <row r="245" spans="9:42" x14ac:dyDescent="0.3">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row>
    <row r="246" spans="9:42" x14ac:dyDescent="0.3">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row>
    <row r="247" spans="9:42" x14ac:dyDescent="0.3">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row>
    <row r="248" spans="9:42" x14ac:dyDescent="0.3">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row>
    <row r="249" spans="9:42" x14ac:dyDescent="0.3">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row>
    <row r="250" spans="9:42" x14ac:dyDescent="0.3">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row>
    <row r="251" spans="9:42" x14ac:dyDescent="0.3">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row>
    <row r="252" spans="9:42" x14ac:dyDescent="0.3">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row>
    <row r="253" spans="9:42" x14ac:dyDescent="0.3">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row>
    <row r="254" spans="9:42" x14ac:dyDescent="0.3">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row>
    <row r="255" spans="9:42" x14ac:dyDescent="0.3">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row>
    <row r="256" spans="9:42" x14ac:dyDescent="0.3">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row>
    <row r="257" spans="9:42" x14ac:dyDescent="0.3">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row>
    <row r="258" spans="9:42" x14ac:dyDescent="0.3">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row>
    <row r="259" spans="9:42" x14ac:dyDescent="0.3">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row>
    <row r="260" spans="9:42" x14ac:dyDescent="0.3">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row>
    <row r="261" spans="9:42" x14ac:dyDescent="0.3">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row>
    <row r="262" spans="9:42" x14ac:dyDescent="0.3">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row>
    <row r="263" spans="9:42" x14ac:dyDescent="0.3">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row>
    <row r="264" spans="9:42" x14ac:dyDescent="0.3">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row>
    <row r="265" spans="9:42" x14ac:dyDescent="0.3">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row>
    <row r="266" spans="9:42" x14ac:dyDescent="0.3">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row>
    <row r="267" spans="9:42" x14ac:dyDescent="0.3">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row>
    <row r="268" spans="9:42" x14ac:dyDescent="0.3">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row>
    <row r="269" spans="9:42" x14ac:dyDescent="0.3">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row>
    <row r="270" spans="9:42" x14ac:dyDescent="0.3">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row>
    <row r="271" spans="9:42" x14ac:dyDescent="0.3">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row>
    <row r="272" spans="9:42" x14ac:dyDescent="0.3">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row>
    <row r="273" spans="9:42" x14ac:dyDescent="0.3">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row>
    <row r="274" spans="9:42" x14ac:dyDescent="0.3">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row>
    <row r="275" spans="9:42" x14ac:dyDescent="0.3">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row>
    <row r="276" spans="9:42" x14ac:dyDescent="0.3">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row>
    <row r="277" spans="9:42" x14ac:dyDescent="0.3">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row>
    <row r="278" spans="9:42" x14ac:dyDescent="0.3">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row>
    <row r="279" spans="9:42" x14ac:dyDescent="0.3">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row>
    <row r="280" spans="9:42" x14ac:dyDescent="0.3">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row>
    <row r="281" spans="9:42" x14ac:dyDescent="0.3">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row>
    <row r="282" spans="9:42" x14ac:dyDescent="0.3">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row>
    <row r="283" spans="9:42" x14ac:dyDescent="0.3">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row>
    <row r="284" spans="9:42" x14ac:dyDescent="0.3">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row>
    <row r="285" spans="9:42" x14ac:dyDescent="0.3">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row>
    <row r="286" spans="9:42" x14ac:dyDescent="0.3">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row>
    <row r="287" spans="9:42" x14ac:dyDescent="0.3">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row>
    <row r="288" spans="9:42" x14ac:dyDescent="0.3">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row>
    <row r="289" spans="9:42" x14ac:dyDescent="0.3">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row>
    <row r="290" spans="9:42" x14ac:dyDescent="0.3">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row>
    <row r="291" spans="9:42" x14ac:dyDescent="0.3">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row>
    <row r="292" spans="9:42" x14ac:dyDescent="0.3">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row>
    <row r="293" spans="9:42" x14ac:dyDescent="0.3">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row>
    <row r="294" spans="9:42" x14ac:dyDescent="0.3">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row>
    <row r="295" spans="9:42" x14ac:dyDescent="0.3">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row>
    <row r="296" spans="9:42" x14ac:dyDescent="0.3">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row>
    <row r="297" spans="9:42" x14ac:dyDescent="0.3">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row>
    <row r="298" spans="9:42" x14ac:dyDescent="0.3">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row>
    <row r="299" spans="9:42" x14ac:dyDescent="0.3">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row>
    <row r="300" spans="9:42" x14ac:dyDescent="0.3">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row>
    <row r="301" spans="9:42" x14ac:dyDescent="0.3">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row>
    <row r="302" spans="9:42" x14ac:dyDescent="0.3">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row>
    <row r="303" spans="9:42" x14ac:dyDescent="0.3">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row>
    <row r="304" spans="9:42" x14ac:dyDescent="0.3">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row>
    <row r="305" spans="9:42" x14ac:dyDescent="0.3">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row>
    <row r="306" spans="9:42" x14ac:dyDescent="0.3">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row>
    <row r="307" spans="9:42" x14ac:dyDescent="0.3">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row>
    <row r="308" spans="9:42" x14ac:dyDescent="0.3">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row>
    <row r="309" spans="9:42" x14ac:dyDescent="0.3">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row>
    <row r="310" spans="9:42" x14ac:dyDescent="0.3">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row>
    <row r="311" spans="9:42" x14ac:dyDescent="0.3">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row>
    <row r="312" spans="9:42" x14ac:dyDescent="0.3">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row>
    <row r="313" spans="9:42" x14ac:dyDescent="0.3">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row>
    <row r="314" spans="9:42" x14ac:dyDescent="0.3">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row>
    <row r="315" spans="9:42" x14ac:dyDescent="0.3">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row>
    <row r="316" spans="9:42" x14ac:dyDescent="0.3">
      <c r="Z316" s="11"/>
      <c r="AA316" s="11"/>
      <c r="AB316" s="11"/>
      <c r="AC316" s="11"/>
      <c r="AD316" s="11"/>
      <c r="AE316" s="11"/>
      <c r="AF316" s="11"/>
      <c r="AG316" s="11"/>
      <c r="AH316" s="11"/>
      <c r="AI316" s="11"/>
      <c r="AJ316" s="11"/>
      <c r="AK316" s="11"/>
      <c r="AL316" s="11"/>
      <c r="AM316" s="11"/>
      <c r="AN316" s="11"/>
      <c r="AO316" s="11"/>
      <c r="AP316" s="11"/>
    </row>
    <row r="317" spans="9:42" x14ac:dyDescent="0.3">
      <c r="Z317" s="11"/>
      <c r="AA317" s="11"/>
      <c r="AB317" s="11"/>
      <c r="AC317" s="11"/>
      <c r="AD317" s="11"/>
      <c r="AE317" s="11"/>
      <c r="AF317" s="11"/>
      <c r="AG317" s="11"/>
      <c r="AH317" s="11"/>
      <c r="AI317" s="11"/>
      <c r="AJ317" s="11"/>
      <c r="AK317" s="11"/>
      <c r="AL317" s="11"/>
      <c r="AM317" s="11"/>
      <c r="AN317" s="11"/>
      <c r="AO317" s="11"/>
      <c r="AP317" s="11"/>
    </row>
    <row r="318" spans="9:42" x14ac:dyDescent="0.3">
      <c r="Z318" s="11"/>
      <c r="AA318" s="11"/>
      <c r="AB318" s="11"/>
      <c r="AC318" s="11"/>
      <c r="AD318" s="11"/>
      <c r="AE318" s="11"/>
      <c r="AF318" s="11"/>
      <c r="AG318" s="11"/>
      <c r="AH318" s="11"/>
      <c r="AI318" s="11"/>
      <c r="AJ318" s="11"/>
      <c r="AK318" s="11"/>
      <c r="AL318" s="11"/>
      <c r="AM318" s="11"/>
      <c r="AN318" s="11"/>
      <c r="AO318" s="11"/>
      <c r="AP318" s="11"/>
    </row>
    <row r="319" spans="9:42" x14ac:dyDescent="0.3">
      <c r="Z319" s="11"/>
      <c r="AA319" s="11"/>
      <c r="AB319" s="11"/>
      <c r="AC319" s="11"/>
      <c r="AD319" s="11"/>
      <c r="AE319" s="11"/>
      <c r="AF319" s="11"/>
      <c r="AG319" s="11"/>
      <c r="AH319" s="11"/>
      <c r="AI319" s="11"/>
      <c r="AJ319" s="11"/>
      <c r="AK319" s="11"/>
      <c r="AL319" s="11"/>
      <c r="AM319" s="11"/>
      <c r="AN319" s="11"/>
      <c r="AO319" s="11"/>
      <c r="AP319" s="11"/>
    </row>
    <row r="320" spans="9:42" x14ac:dyDescent="0.3">
      <c r="Z320" s="11"/>
      <c r="AA320" s="11"/>
      <c r="AB320" s="11"/>
      <c r="AC320" s="11"/>
      <c r="AD320" s="11"/>
      <c r="AE320" s="11"/>
      <c r="AF320" s="11"/>
      <c r="AG320" s="11"/>
      <c r="AH320" s="11"/>
      <c r="AI320" s="11"/>
      <c r="AJ320" s="11"/>
      <c r="AK320" s="11"/>
      <c r="AL320" s="11"/>
      <c r="AM320" s="11"/>
      <c r="AN320" s="11"/>
      <c r="AO320" s="11"/>
      <c r="AP320" s="11"/>
    </row>
    <row r="321" spans="26:42" x14ac:dyDescent="0.3">
      <c r="Z321" s="11"/>
      <c r="AA321" s="11"/>
      <c r="AB321" s="11"/>
      <c r="AC321" s="11"/>
      <c r="AD321" s="11"/>
      <c r="AE321" s="11"/>
      <c r="AF321" s="11"/>
      <c r="AG321" s="11"/>
      <c r="AH321" s="11"/>
      <c r="AI321" s="11"/>
      <c r="AJ321" s="11"/>
      <c r="AK321" s="11"/>
      <c r="AL321" s="11"/>
      <c r="AM321" s="11"/>
      <c r="AN321" s="11"/>
      <c r="AO321" s="11"/>
      <c r="AP321" s="11"/>
    </row>
    <row r="322" spans="26:42" x14ac:dyDescent="0.3">
      <c r="Z322" s="11"/>
      <c r="AA322" s="11"/>
      <c r="AB322" s="11"/>
      <c r="AC322" s="11"/>
      <c r="AD322" s="11"/>
      <c r="AE322" s="11"/>
      <c r="AF322" s="11"/>
      <c r="AG322" s="11"/>
      <c r="AH322" s="11"/>
      <c r="AI322" s="11"/>
      <c r="AJ322" s="11"/>
      <c r="AK322" s="11"/>
      <c r="AL322" s="11"/>
      <c r="AM322" s="11"/>
      <c r="AN322" s="11"/>
      <c r="AO322" s="11"/>
      <c r="AP322" s="11"/>
    </row>
    <row r="323" spans="26:42" x14ac:dyDescent="0.3">
      <c r="Z323" s="11"/>
      <c r="AA323" s="11"/>
      <c r="AB323" s="11"/>
      <c r="AC323" s="11"/>
      <c r="AD323" s="11"/>
      <c r="AE323" s="11"/>
      <c r="AF323" s="11"/>
      <c r="AG323" s="11"/>
      <c r="AH323" s="11"/>
      <c r="AI323" s="11"/>
      <c r="AJ323" s="11"/>
      <c r="AK323" s="11"/>
      <c r="AL323" s="11"/>
      <c r="AM323" s="11"/>
      <c r="AN323" s="11"/>
      <c r="AO323" s="11"/>
      <c r="AP323" s="11"/>
    </row>
  </sheetData>
  <mergeCells count="13">
    <mergeCell ref="V4:X4"/>
    <mergeCell ref="B1:X2"/>
    <mergeCell ref="B3:E3"/>
    <mergeCell ref="F3:I3"/>
    <mergeCell ref="J3:M3"/>
    <mergeCell ref="N3:Q3"/>
    <mergeCell ref="R3:U3"/>
    <mergeCell ref="V3:X3"/>
    <mergeCell ref="B4:E4"/>
    <mergeCell ref="F4:I4"/>
    <mergeCell ref="J4:M4"/>
    <mergeCell ref="N4:Q4"/>
    <mergeCell ref="R4:U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workbookViewId="0">
      <selection activeCell="K23" sqref="K23"/>
    </sheetView>
  </sheetViews>
  <sheetFormatPr defaultRowHeight="14.4" x14ac:dyDescent="0.3"/>
  <cols>
    <col min="1" max="1" width="11.33203125" bestFit="1" customWidth="1"/>
    <col min="2" max="2" width="6.6640625" bestFit="1" customWidth="1"/>
    <col min="3" max="3" width="9.6640625" bestFit="1" customWidth="1"/>
    <col min="4" max="4" width="12.88671875" bestFit="1" customWidth="1"/>
    <col min="5" max="5" width="6.88671875" bestFit="1" customWidth="1"/>
    <col min="6" max="6" width="19.109375" bestFit="1" customWidth="1"/>
    <col min="8" max="9" width="8" bestFit="1" customWidth="1"/>
    <col min="10" max="10" width="9" bestFit="1" customWidth="1"/>
    <col min="11" max="11" width="10.33203125" bestFit="1" customWidth="1"/>
    <col min="12" max="12" width="5.5546875" bestFit="1" customWidth="1"/>
    <col min="13" max="13" width="9.88671875" bestFit="1" customWidth="1"/>
    <col min="14" max="14" width="7" bestFit="1" customWidth="1"/>
    <col min="15" max="15" width="21" bestFit="1" customWidth="1"/>
    <col min="16" max="16" width="11.6640625" bestFit="1" customWidth="1"/>
    <col min="17" max="17" width="6.109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s="1">
        <v>43470</v>
      </c>
      <c r="L2" s="2">
        <v>0.54722222222222217</v>
      </c>
      <c r="M2" t="s">
        <v>23</v>
      </c>
      <c r="N2">
        <v>522.83000000000004</v>
      </c>
      <c r="O2">
        <v>4.7619047620000003</v>
      </c>
      <c r="P2">
        <v>26.141500000000001</v>
      </c>
      <c r="Q2">
        <v>9.1</v>
      </c>
    </row>
    <row r="3" spans="1:17" x14ac:dyDescent="0.3">
      <c r="A3" t="s">
        <v>24</v>
      </c>
      <c r="B3" t="s">
        <v>25</v>
      </c>
      <c r="C3" t="s">
        <v>26</v>
      </c>
      <c r="D3" t="s">
        <v>27</v>
      </c>
      <c r="E3" t="s">
        <v>21</v>
      </c>
      <c r="F3" t="s">
        <v>28</v>
      </c>
      <c r="G3">
        <v>15.28</v>
      </c>
      <c r="H3">
        <v>5</v>
      </c>
      <c r="I3">
        <v>3.82</v>
      </c>
      <c r="J3">
        <v>80.22</v>
      </c>
      <c r="K3" s="1">
        <v>43532</v>
      </c>
      <c r="L3" s="2">
        <v>0.4368055555555555</v>
      </c>
      <c r="M3" t="s">
        <v>29</v>
      </c>
      <c r="N3">
        <v>76.400000000000006</v>
      </c>
      <c r="O3">
        <v>4.7619047620000003</v>
      </c>
      <c r="P3">
        <v>3.82</v>
      </c>
      <c r="Q3">
        <v>9.6</v>
      </c>
    </row>
    <row r="4" spans="1:17" x14ac:dyDescent="0.3">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x14ac:dyDescent="0.3">
      <c r="A5" t="s">
        <v>34</v>
      </c>
      <c r="B5" t="s">
        <v>18</v>
      </c>
      <c r="C5" t="s">
        <v>19</v>
      </c>
      <c r="D5" t="s">
        <v>20</v>
      </c>
      <c r="E5" t="s">
        <v>31</v>
      </c>
      <c r="F5" t="s">
        <v>22</v>
      </c>
      <c r="G5">
        <v>58.22</v>
      </c>
      <c r="H5">
        <v>8</v>
      </c>
      <c r="I5">
        <v>23.288</v>
      </c>
      <c r="J5">
        <v>489.048</v>
      </c>
      <c r="K5" s="1">
        <v>43492</v>
      </c>
      <c r="L5" s="2">
        <v>0.85625000000000007</v>
      </c>
      <c r="M5" t="s">
        <v>23</v>
      </c>
      <c r="N5">
        <v>465.76</v>
      </c>
      <c r="O5">
        <v>4.7619047620000003</v>
      </c>
      <c r="P5">
        <v>23.288</v>
      </c>
      <c r="Q5">
        <v>8.4</v>
      </c>
    </row>
    <row r="6" spans="1:17" x14ac:dyDescent="0.3">
      <c r="A6" t="s">
        <v>35</v>
      </c>
      <c r="B6" t="s">
        <v>18</v>
      </c>
      <c r="C6" t="s">
        <v>19</v>
      </c>
      <c r="D6" t="s">
        <v>27</v>
      </c>
      <c r="E6" t="s">
        <v>31</v>
      </c>
      <c r="F6" t="s">
        <v>36</v>
      </c>
      <c r="G6">
        <v>86.31</v>
      </c>
      <c r="H6">
        <v>7</v>
      </c>
      <c r="I6">
        <v>30.208500000000001</v>
      </c>
      <c r="J6">
        <v>634.37850000000003</v>
      </c>
      <c r="K6" s="1">
        <v>43504</v>
      </c>
      <c r="L6" s="2">
        <v>0.44236111111111115</v>
      </c>
      <c r="M6" t="s">
        <v>23</v>
      </c>
      <c r="N6">
        <v>604.16999999999996</v>
      </c>
      <c r="O6">
        <v>4.7619047620000003</v>
      </c>
      <c r="P6">
        <v>30.208500000000001</v>
      </c>
      <c r="Q6">
        <v>5.3</v>
      </c>
    </row>
    <row r="7" spans="1:17" x14ac:dyDescent="0.3">
      <c r="A7" t="s">
        <v>37</v>
      </c>
      <c r="B7" t="s">
        <v>25</v>
      </c>
      <c r="C7" t="s">
        <v>26</v>
      </c>
      <c r="D7" t="s">
        <v>27</v>
      </c>
      <c r="E7" t="s">
        <v>31</v>
      </c>
      <c r="F7" t="s">
        <v>28</v>
      </c>
      <c r="G7">
        <v>85.39</v>
      </c>
      <c r="H7">
        <v>7</v>
      </c>
      <c r="I7">
        <v>29.886500000000002</v>
      </c>
      <c r="J7">
        <v>627.61649999999997</v>
      </c>
      <c r="K7" s="1">
        <v>43549</v>
      </c>
      <c r="L7" s="2">
        <v>0.77083333333333337</v>
      </c>
      <c r="M7" t="s">
        <v>23</v>
      </c>
      <c r="N7">
        <v>597.73</v>
      </c>
      <c r="O7">
        <v>4.7619047620000003</v>
      </c>
      <c r="P7">
        <v>29.886500000000002</v>
      </c>
      <c r="Q7">
        <v>4.0999999999999996</v>
      </c>
    </row>
    <row r="8" spans="1:17" x14ac:dyDescent="0.3">
      <c r="A8" t="s">
        <v>38</v>
      </c>
      <c r="B8" t="s">
        <v>18</v>
      </c>
      <c r="C8" t="s">
        <v>19</v>
      </c>
      <c r="D8" t="s">
        <v>20</v>
      </c>
      <c r="E8" t="s">
        <v>21</v>
      </c>
      <c r="F8" t="s">
        <v>28</v>
      </c>
      <c r="G8">
        <v>68.84</v>
      </c>
      <c r="H8">
        <v>6</v>
      </c>
      <c r="I8">
        <v>20.652000000000001</v>
      </c>
      <c r="J8">
        <v>433.69200000000001</v>
      </c>
      <c r="K8" s="1">
        <v>43521</v>
      </c>
      <c r="L8" s="2">
        <v>0.60833333333333328</v>
      </c>
      <c r="M8" t="s">
        <v>23</v>
      </c>
      <c r="N8">
        <v>413.04</v>
      </c>
      <c r="O8">
        <v>4.7619047620000003</v>
      </c>
      <c r="P8">
        <v>20.652000000000001</v>
      </c>
      <c r="Q8">
        <v>5.8</v>
      </c>
    </row>
    <row r="9" spans="1:17" x14ac:dyDescent="0.3">
      <c r="A9" t="s">
        <v>39</v>
      </c>
      <c r="B9" t="s">
        <v>25</v>
      </c>
      <c r="C9" t="s">
        <v>26</v>
      </c>
      <c r="D9" t="s">
        <v>27</v>
      </c>
      <c r="E9" t="s">
        <v>21</v>
      </c>
      <c r="F9" t="s">
        <v>32</v>
      </c>
      <c r="G9">
        <v>73.56</v>
      </c>
      <c r="H9">
        <v>10</v>
      </c>
      <c r="I9">
        <v>36.78</v>
      </c>
      <c r="J9">
        <v>772.38</v>
      </c>
      <c r="K9" s="1">
        <v>43520</v>
      </c>
      <c r="L9" s="2">
        <v>0.48472222222222222</v>
      </c>
      <c r="M9" t="s">
        <v>23</v>
      </c>
      <c r="N9">
        <v>735.6</v>
      </c>
      <c r="O9">
        <v>4.7619047620000003</v>
      </c>
      <c r="P9">
        <v>36.78</v>
      </c>
      <c r="Q9">
        <v>8</v>
      </c>
    </row>
    <row r="10" spans="1:17" x14ac:dyDescent="0.3">
      <c r="A10" t="s">
        <v>40</v>
      </c>
      <c r="B10" t="s">
        <v>18</v>
      </c>
      <c r="C10" t="s">
        <v>19</v>
      </c>
      <c r="D10" t="s">
        <v>20</v>
      </c>
      <c r="E10" t="s">
        <v>21</v>
      </c>
      <c r="F10" t="s">
        <v>22</v>
      </c>
      <c r="G10">
        <v>36.26</v>
      </c>
      <c r="H10">
        <v>2</v>
      </c>
      <c r="I10">
        <v>3.6259999999999999</v>
      </c>
      <c r="J10">
        <v>76.146000000000001</v>
      </c>
      <c r="K10" s="1">
        <v>43475</v>
      </c>
      <c r="L10" s="2">
        <v>0.71875</v>
      </c>
      <c r="M10" t="s">
        <v>33</v>
      </c>
      <c r="N10">
        <v>72.52</v>
      </c>
      <c r="O10">
        <v>4.7619047620000003</v>
      </c>
      <c r="P10">
        <v>3.6259999999999999</v>
      </c>
      <c r="Q10">
        <v>7.2</v>
      </c>
    </row>
    <row r="11" spans="1:17" x14ac:dyDescent="0.3">
      <c r="A11" t="s">
        <v>41</v>
      </c>
      <c r="B11" t="s">
        <v>42</v>
      </c>
      <c r="C11" t="s">
        <v>43</v>
      </c>
      <c r="D11" t="s">
        <v>20</v>
      </c>
      <c r="E11" t="s">
        <v>21</v>
      </c>
      <c r="F11" t="s">
        <v>44</v>
      </c>
      <c r="G11">
        <v>54.84</v>
      </c>
      <c r="H11">
        <v>3</v>
      </c>
      <c r="I11">
        <v>8.2260000000000009</v>
      </c>
      <c r="J11">
        <v>172.74600000000001</v>
      </c>
      <c r="K11" s="1">
        <v>43516</v>
      </c>
      <c r="L11" s="2">
        <v>0.56041666666666667</v>
      </c>
      <c r="M11" t="s">
        <v>33</v>
      </c>
      <c r="N11">
        <v>164.52</v>
      </c>
      <c r="O11">
        <v>4.7619047620000003</v>
      </c>
      <c r="P11">
        <v>8.2260000000000009</v>
      </c>
      <c r="Q11">
        <v>5.9</v>
      </c>
    </row>
    <row r="12" spans="1:17" x14ac:dyDescent="0.3">
      <c r="A12" t="s">
        <v>45</v>
      </c>
      <c r="B12" t="s">
        <v>42</v>
      </c>
      <c r="C12" t="s">
        <v>43</v>
      </c>
      <c r="D12" t="s">
        <v>20</v>
      </c>
      <c r="E12" t="s">
        <v>21</v>
      </c>
      <c r="F12" t="s">
        <v>46</v>
      </c>
      <c r="G12">
        <v>14.48</v>
      </c>
      <c r="H12">
        <v>4</v>
      </c>
      <c r="I12">
        <v>2.8959999999999999</v>
      </c>
      <c r="J12">
        <v>60.816000000000003</v>
      </c>
      <c r="K12" s="1">
        <v>43502</v>
      </c>
      <c r="L12" s="2">
        <v>0.75486111111111109</v>
      </c>
      <c r="M12" t="s">
        <v>23</v>
      </c>
      <c r="N12">
        <v>57.92</v>
      </c>
      <c r="O12">
        <v>4.7619047620000003</v>
      </c>
      <c r="P12">
        <v>2.8959999999999999</v>
      </c>
      <c r="Q12">
        <v>4.5</v>
      </c>
    </row>
    <row r="13" spans="1:17" x14ac:dyDescent="0.3">
      <c r="A13" t="s">
        <v>47</v>
      </c>
      <c r="B13" t="s">
        <v>42</v>
      </c>
      <c r="C13" t="s">
        <v>43</v>
      </c>
      <c r="D13" t="s">
        <v>20</v>
      </c>
      <c r="E13" t="s">
        <v>31</v>
      </c>
      <c r="F13" t="s">
        <v>28</v>
      </c>
      <c r="G13">
        <v>25.51</v>
      </c>
      <c r="H13">
        <v>4</v>
      </c>
      <c r="I13">
        <v>5.1020000000000003</v>
      </c>
      <c r="J13">
        <v>107.142</v>
      </c>
      <c r="K13" s="1">
        <v>43533</v>
      </c>
      <c r="L13" s="2">
        <v>0.7104166666666667</v>
      </c>
      <c r="M13" t="s">
        <v>29</v>
      </c>
      <c r="N13">
        <v>102.04</v>
      </c>
      <c r="O13">
        <v>4.7619047620000003</v>
      </c>
      <c r="P13">
        <v>5.1020000000000003</v>
      </c>
      <c r="Q13">
        <v>6.8</v>
      </c>
    </row>
    <row r="14" spans="1:17" x14ac:dyDescent="0.3">
      <c r="A14" t="s">
        <v>48</v>
      </c>
      <c r="B14" t="s">
        <v>18</v>
      </c>
      <c r="C14" t="s">
        <v>19</v>
      </c>
      <c r="D14" t="s">
        <v>27</v>
      </c>
      <c r="E14" t="s">
        <v>21</v>
      </c>
      <c r="F14" t="s">
        <v>28</v>
      </c>
      <c r="G14">
        <v>46.95</v>
      </c>
      <c r="H14">
        <v>5</v>
      </c>
      <c r="I14">
        <v>11.737500000000001</v>
      </c>
      <c r="J14">
        <v>246.48750000000001</v>
      </c>
      <c r="K14" s="1">
        <v>43508</v>
      </c>
      <c r="L14" s="2">
        <v>0.43402777777777773</v>
      </c>
      <c r="M14" t="s">
        <v>23</v>
      </c>
      <c r="N14">
        <v>234.75</v>
      </c>
      <c r="O14">
        <v>4.7619047620000003</v>
      </c>
      <c r="P14">
        <v>11.737500000000001</v>
      </c>
      <c r="Q14">
        <v>7.1</v>
      </c>
    </row>
    <row r="15" spans="1:17" x14ac:dyDescent="0.3">
      <c r="A15" t="s">
        <v>49</v>
      </c>
      <c r="B15" t="s">
        <v>18</v>
      </c>
      <c r="C15" t="s">
        <v>19</v>
      </c>
      <c r="D15" t="s">
        <v>27</v>
      </c>
      <c r="E15" t="s">
        <v>31</v>
      </c>
      <c r="F15" t="s">
        <v>44</v>
      </c>
      <c r="G15">
        <v>43.19</v>
      </c>
      <c r="H15">
        <v>10</v>
      </c>
      <c r="I15">
        <v>21.594999999999999</v>
      </c>
      <c r="J15">
        <v>453.495</v>
      </c>
      <c r="K15" s="1">
        <v>43503</v>
      </c>
      <c r="L15" s="2">
        <v>0.70000000000000007</v>
      </c>
      <c r="M15" t="s">
        <v>23</v>
      </c>
      <c r="N15">
        <v>431.9</v>
      </c>
      <c r="O15">
        <v>4.7619047620000003</v>
      </c>
      <c r="P15">
        <v>21.594999999999999</v>
      </c>
      <c r="Q15">
        <v>8.1999999999999993</v>
      </c>
    </row>
    <row r="16" spans="1:17" x14ac:dyDescent="0.3">
      <c r="A16" t="s">
        <v>50</v>
      </c>
      <c r="B16" t="s">
        <v>18</v>
      </c>
      <c r="C16" t="s">
        <v>19</v>
      </c>
      <c r="D16" t="s">
        <v>27</v>
      </c>
      <c r="E16" t="s">
        <v>21</v>
      </c>
      <c r="F16" t="s">
        <v>22</v>
      </c>
      <c r="G16">
        <v>71.38</v>
      </c>
      <c r="H16">
        <v>10</v>
      </c>
      <c r="I16">
        <v>35.69</v>
      </c>
      <c r="J16">
        <v>749.49</v>
      </c>
      <c r="K16" s="1">
        <v>43553</v>
      </c>
      <c r="L16" s="2">
        <v>0.80625000000000002</v>
      </c>
      <c r="M16" t="s">
        <v>29</v>
      </c>
      <c r="N16">
        <v>713.8</v>
      </c>
      <c r="O16">
        <v>4.7619047620000003</v>
      </c>
      <c r="P16">
        <v>35.69</v>
      </c>
      <c r="Q16">
        <v>5.7</v>
      </c>
    </row>
    <row r="17" spans="1:17" x14ac:dyDescent="0.3">
      <c r="A17" t="s">
        <v>51</v>
      </c>
      <c r="B17" t="s">
        <v>42</v>
      </c>
      <c r="C17" t="s">
        <v>43</v>
      </c>
      <c r="D17" t="s">
        <v>20</v>
      </c>
      <c r="E17" t="s">
        <v>21</v>
      </c>
      <c r="F17" t="s">
        <v>36</v>
      </c>
      <c r="G17">
        <v>93.72</v>
      </c>
      <c r="H17">
        <v>6</v>
      </c>
      <c r="I17">
        <v>28.116</v>
      </c>
      <c r="J17">
        <v>590.43600000000004</v>
      </c>
      <c r="K17" s="1">
        <v>43480</v>
      </c>
      <c r="L17" s="2">
        <v>0.67986111111111114</v>
      </c>
      <c r="M17" t="s">
        <v>29</v>
      </c>
      <c r="N17">
        <v>562.32000000000005</v>
      </c>
      <c r="O17">
        <v>4.7619047620000003</v>
      </c>
      <c r="P17">
        <v>28.116</v>
      </c>
      <c r="Q17">
        <v>4.5</v>
      </c>
    </row>
    <row r="18" spans="1:17" x14ac:dyDescent="0.3">
      <c r="A18" t="s">
        <v>52</v>
      </c>
      <c r="B18" t="s">
        <v>18</v>
      </c>
      <c r="C18" t="s">
        <v>19</v>
      </c>
      <c r="D18" t="s">
        <v>20</v>
      </c>
      <c r="E18" t="s">
        <v>21</v>
      </c>
      <c r="F18" t="s">
        <v>22</v>
      </c>
      <c r="G18">
        <v>68.930000000000007</v>
      </c>
      <c r="H18">
        <v>7</v>
      </c>
      <c r="I18">
        <v>24.125499999999999</v>
      </c>
      <c r="J18">
        <v>506.63549999999998</v>
      </c>
      <c r="K18" s="1">
        <v>43535</v>
      </c>
      <c r="L18" s="2">
        <v>0.4604166666666667</v>
      </c>
      <c r="M18" t="s">
        <v>33</v>
      </c>
      <c r="N18">
        <v>482.51</v>
      </c>
      <c r="O18">
        <v>4.7619047620000003</v>
      </c>
      <c r="P18">
        <v>24.125499999999999</v>
      </c>
      <c r="Q18">
        <v>4.5999999999999996</v>
      </c>
    </row>
    <row r="19" spans="1:17" x14ac:dyDescent="0.3">
      <c r="A19" t="s">
        <v>53</v>
      </c>
      <c r="B19" t="s">
        <v>18</v>
      </c>
      <c r="C19" t="s">
        <v>19</v>
      </c>
      <c r="D19" t="s">
        <v>27</v>
      </c>
      <c r="E19" t="s">
        <v>31</v>
      </c>
      <c r="F19" t="s">
        <v>36</v>
      </c>
      <c r="G19">
        <v>72.61</v>
      </c>
      <c r="H19">
        <v>6</v>
      </c>
      <c r="I19">
        <v>21.783000000000001</v>
      </c>
      <c r="J19">
        <v>457.44299999999998</v>
      </c>
      <c r="K19" s="1">
        <v>43466</v>
      </c>
      <c r="L19" s="2">
        <v>0.44375000000000003</v>
      </c>
      <c r="M19" t="s">
        <v>33</v>
      </c>
      <c r="N19">
        <v>435.66</v>
      </c>
      <c r="O19">
        <v>4.7619047620000003</v>
      </c>
      <c r="P19">
        <v>21.783000000000001</v>
      </c>
      <c r="Q19">
        <v>6.9</v>
      </c>
    </row>
    <row r="20" spans="1:17" x14ac:dyDescent="0.3">
      <c r="A20" t="s">
        <v>54</v>
      </c>
      <c r="B20" t="s">
        <v>18</v>
      </c>
      <c r="C20" t="s">
        <v>19</v>
      </c>
      <c r="D20" t="s">
        <v>27</v>
      </c>
      <c r="E20" t="s">
        <v>31</v>
      </c>
      <c r="F20" t="s">
        <v>44</v>
      </c>
      <c r="G20">
        <v>54.67</v>
      </c>
      <c r="H20">
        <v>3</v>
      </c>
      <c r="I20">
        <v>8.2004999999999999</v>
      </c>
      <c r="J20">
        <v>172.2105</v>
      </c>
      <c r="K20" s="1">
        <v>43486</v>
      </c>
      <c r="L20" s="2">
        <v>0.75</v>
      </c>
      <c r="M20" t="s">
        <v>33</v>
      </c>
      <c r="N20">
        <v>164.01</v>
      </c>
      <c r="O20">
        <v>4.7619047620000003</v>
      </c>
      <c r="P20">
        <v>8.2004999999999999</v>
      </c>
      <c r="Q20">
        <v>8.6</v>
      </c>
    </row>
    <row r="21" spans="1:17" x14ac:dyDescent="0.3">
      <c r="A21" t="s">
        <v>55</v>
      </c>
      <c r="B21" t="s">
        <v>42</v>
      </c>
      <c r="C21" t="s">
        <v>43</v>
      </c>
      <c r="D21" t="s">
        <v>27</v>
      </c>
      <c r="E21" t="s">
        <v>21</v>
      </c>
      <c r="F21" t="s">
        <v>32</v>
      </c>
      <c r="G21">
        <v>40.299999999999997</v>
      </c>
      <c r="H21">
        <v>2</v>
      </c>
      <c r="I21">
        <v>4.03</v>
      </c>
      <c r="J21">
        <v>84.63</v>
      </c>
      <c r="K21" s="1">
        <v>43535</v>
      </c>
      <c r="L21" s="2">
        <v>0.64583333333333337</v>
      </c>
      <c r="M21" t="s">
        <v>23</v>
      </c>
      <c r="N21">
        <v>80.599999999999994</v>
      </c>
      <c r="O21">
        <v>4.7619047620000003</v>
      </c>
      <c r="P21">
        <v>4.03</v>
      </c>
      <c r="Q21">
        <v>4.4000000000000004</v>
      </c>
    </row>
    <row r="22" spans="1:17" x14ac:dyDescent="0.3">
      <c r="A22" t="s">
        <v>56</v>
      </c>
      <c r="B22" t="s">
        <v>25</v>
      </c>
      <c r="C22" t="s">
        <v>26</v>
      </c>
      <c r="D22" t="s">
        <v>20</v>
      </c>
      <c r="E22" t="s">
        <v>31</v>
      </c>
      <c r="F22" t="s">
        <v>28</v>
      </c>
      <c r="G22">
        <v>86.04</v>
      </c>
      <c r="H22">
        <v>5</v>
      </c>
      <c r="I22">
        <v>21.51</v>
      </c>
      <c r="J22">
        <v>451.71</v>
      </c>
      <c r="K22" s="1">
        <v>43521</v>
      </c>
      <c r="L22" s="2">
        <v>0.47500000000000003</v>
      </c>
      <c r="M22" t="s">
        <v>23</v>
      </c>
      <c r="N22">
        <v>430.2</v>
      </c>
      <c r="O22">
        <v>4.7619047620000003</v>
      </c>
      <c r="P22">
        <v>21.51</v>
      </c>
      <c r="Q22">
        <v>4.8</v>
      </c>
    </row>
    <row r="23" spans="1:17" x14ac:dyDescent="0.3">
      <c r="A23" t="s">
        <v>57</v>
      </c>
      <c r="B23" t="s">
        <v>42</v>
      </c>
      <c r="C23" t="s">
        <v>43</v>
      </c>
      <c r="D23" t="s">
        <v>27</v>
      </c>
      <c r="E23" t="s">
        <v>31</v>
      </c>
      <c r="F23" t="s">
        <v>22</v>
      </c>
      <c r="G23">
        <v>87.98</v>
      </c>
      <c r="H23">
        <v>3</v>
      </c>
      <c r="I23">
        <v>13.196999999999999</v>
      </c>
      <c r="J23">
        <v>277.137</v>
      </c>
      <c r="K23" s="1">
        <v>43529</v>
      </c>
      <c r="L23" s="2">
        <v>0.44444444444444442</v>
      </c>
      <c r="M23" t="s">
        <v>23</v>
      </c>
      <c r="N23">
        <v>263.94</v>
      </c>
      <c r="O23">
        <v>4.7619047620000003</v>
      </c>
      <c r="P23">
        <v>13.196999999999999</v>
      </c>
      <c r="Q23">
        <v>5.0999999999999996</v>
      </c>
    </row>
    <row r="24" spans="1:17" x14ac:dyDescent="0.3">
      <c r="A24" t="s">
        <v>58</v>
      </c>
      <c r="B24" t="s">
        <v>42</v>
      </c>
      <c r="C24" t="s">
        <v>43</v>
      </c>
      <c r="D24" t="s">
        <v>27</v>
      </c>
      <c r="E24" t="s">
        <v>31</v>
      </c>
      <c r="F24" t="s">
        <v>32</v>
      </c>
      <c r="G24">
        <v>33.200000000000003</v>
      </c>
      <c r="H24">
        <v>2</v>
      </c>
      <c r="I24">
        <v>3.32</v>
      </c>
      <c r="J24">
        <v>69.72</v>
      </c>
      <c r="K24" s="1">
        <v>43539</v>
      </c>
      <c r="L24" s="2">
        <v>0.51388888888888895</v>
      </c>
      <c r="M24" t="s">
        <v>33</v>
      </c>
      <c r="N24">
        <v>66.400000000000006</v>
      </c>
      <c r="O24">
        <v>4.7619047620000003</v>
      </c>
      <c r="P24">
        <v>3.32</v>
      </c>
      <c r="Q24">
        <v>4.4000000000000004</v>
      </c>
    </row>
    <row r="25" spans="1:17" x14ac:dyDescent="0.3">
      <c r="A25" t="s">
        <v>59</v>
      </c>
      <c r="B25" t="s">
        <v>18</v>
      </c>
      <c r="C25" t="s">
        <v>19</v>
      </c>
      <c r="D25" t="s">
        <v>27</v>
      </c>
      <c r="E25" t="s">
        <v>31</v>
      </c>
      <c r="F25" t="s">
        <v>28</v>
      </c>
      <c r="G25">
        <v>34.56</v>
      </c>
      <c r="H25">
        <v>5</v>
      </c>
      <c r="I25">
        <v>8.64</v>
      </c>
      <c r="J25">
        <v>181.44</v>
      </c>
      <c r="K25" s="1">
        <v>43513</v>
      </c>
      <c r="L25" s="2">
        <v>0.46875</v>
      </c>
      <c r="M25" t="s">
        <v>23</v>
      </c>
      <c r="N25">
        <v>172.8</v>
      </c>
      <c r="O25">
        <v>4.7619047620000003</v>
      </c>
      <c r="P25">
        <v>8.64</v>
      </c>
      <c r="Q25">
        <v>9.9</v>
      </c>
    </row>
    <row r="26" spans="1:17" x14ac:dyDescent="0.3">
      <c r="A26" t="s">
        <v>60</v>
      </c>
      <c r="B26" t="s">
        <v>18</v>
      </c>
      <c r="C26" t="s">
        <v>19</v>
      </c>
      <c r="D26" t="s">
        <v>20</v>
      </c>
      <c r="E26" t="s">
        <v>31</v>
      </c>
      <c r="F26" t="s">
        <v>36</v>
      </c>
      <c r="G26">
        <v>88.63</v>
      </c>
      <c r="H26">
        <v>3</v>
      </c>
      <c r="I26">
        <v>13.294499999999999</v>
      </c>
      <c r="J26">
        <v>279.18450000000001</v>
      </c>
      <c r="K26" s="1">
        <v>43526</v>
      </c>
      <c r="L26" s="2">
        <v>0.73333333333333339</v>
      </c>
      <c r="M26" t="s">
        <v>23</v>
      </c>
      <c r="N26">
        <v>265.89</v>
      </c>
      <c r="O26">
        <v>4.7619047620000003</v>
      </c>
      <c r="P26">
        <v>13.294499999999999</v>
      </c>
      <c r="Q26">
        <v>6</v>
      </c>
    </row>
    <row r="27" spans="1:17" x14ac:dyDescent="0.3">
      <c r="A27" t="s">
        <v>61</v>
      </c>
      <c r="B27" t="s">
        <v>18</v>
      </c>
      <c r="C27" t="s">
        <v>19</v>
      </c>
      <c r="D27" t="s">
        <v>20</v>
      </c>
      <c r="E27" t="s">
        <v>21</v>
      </c>
      <c r="F27" t="s">
        <v>32</v>
      </c>
      <c r="G27">
        <v>52.59</v>
      </c>
      <c r="H27">
        <v>8</v>
      </c>
      <c r="I27">
        <v>21.036000000000001</v>
      </c>
      <c r="J27">
        <v>441.75599999999997</v>
      </c>
      <c r="K27" s="1">
        <v>43546</v>
      </c>
      <c r="L27" s="2">
        <v>0.80555555555555547</v>
      </c>
      <c r="M27" t="s">
        <v>33</v>
      </c>
      <c r="N27">
        <v>420.72</v>
      </c>
      <c r="O27">
        <v>4.7619047620000003</v>
      </c>
      <c r="P27">
        <v>21.036000000000001</v>
      </c>
      <c r="Q27">
        <v>8.5</v>
      </c>
    </row>
    <row r="28" spans="1:17" x14ac:dyDescent="0.3">
      <c r="A28" t="s">
        <v>62</v>
      </c>
      <c r="B28" t="s">
        <v>42</v>
      </c>
      <c r="C28" t="s">
        <v>43</v>
      </c>
      <c r="D28" t="s">
        <v>27</v>
      </c>
      <c r="E28" t="s">
        <v>31</v>
      </c>
      <c r="F28" t="s">
        <v>46</v>
      </c>
      <c r="G28">
        <v>33.520000000000003</v>
      </c>
      <c r="H28">
        <v>1</v>
      </c>
      <c r="I28">
        <v>1.6759999999999999</v>
      </c>
      <c r="J28">
        <v>35.195999999999998</v>
      </c>
      <c r="K28" s="1">
        <v>43504</v>
      </c>
      <c r="L28" s="2">
        <v>0.64652777777777781</v>
      </c>
      <c r="M28" t="s">
        <v>29</v>
      </c>
      <c r="N28">
        <v>33.520000000000003</v>
      </c>
      <c r="O28">
        <v>4.7619047620000003</v>
      </c>
      <c r="P28">
        <v>1.6759999999999999</v>
      </c>
      <c r="Q28">
        <v>6.7</v>
      </c>
    </row>
    <row r="29" spans="1:17" x14ac:dyDescent="0.3">
      <c r="A29" t="s">
        <v>63</v>
      </c>
      <c r="B29" t="s">
        <v>18</v>
      </c>
      <c r="C29" t="s">
        <v>19</v>
      </c>
      <c r="D29" t="s">
        <v>27</v>
      </c>
      <c r="E29" t="s">
        <v>21</v>
      </c>
      <c r="F29" t="s">
        <v>46</v>
      </c>
      <c r="G29">
        <v>87.67</v>
      </c>
      <c r="H29">
        <v>2</v>
      </c>
      <c r="I29">
        <v>8.7669999999999995</v>
      </c>
      <c r="J29">
        <v>184.107</v>
      </c>
      <c r="K29" s="1">
        <v>43534</v>
      </c>
      <c r="L29" s="2">
        <v>0.51180555555555551</v>
      </c>
      <c r="M29" t="s">
        <v>33</v>
      </c>
      <c r="N29">
        <v>175.34</v>
      </c>
      <c r="O29">
        <v>4.7619047620000003</v>
      </c>
      <c r="P29">
        <v>8.7669999999999995</v>
      </c>
      <c r="Q29">
        <v>7.7</v>
      </c>
    </row>
    <row r="30" spans="1:17" x14ac:dyDescent="0.3">
      <c r="A30" t="s">
        <v>64</v>
      </c>
      <c r="B30" t="s">
        <v>42</v>
      </c>
      <c r="C30" t="s">
        <v>43</v>
      </c>
      <c r="D30" t="s">
        <v>27</v>
      </c>
      <c r="E30" t="s">
        <v>21</v>
      </c>
      <c r="F30" t="s">
        <v>44</v>
      </c>
      <c r="G30">
        <v>88.36</v>
      </c>
      <c r="H30">
        <v>5</v>
      </c>
      <c r="I30">
        <v>22.09</v>
      </c>
      <c r="J30">
        <v>463.89</v>
      </c>
      <c r="K30" s="1">
        <v>43490</v>
      </c>
      <c r="L30" s="2">
        <v>0.82500000000000007</v>
      </c>
      <c r="M30" t="s">
        <v>29</v>
      </c>
      <c r="N30">
        <v>441.8</v>
      </c>
      <c r="O30">
        <v>4.7619047620000003</v>
      </c>
      <c r="P30">
        <v>22.09</v>
      </c>
      <c r="Q30">
        <v>9.6</v>
      </c>
    </row>
    <row r="31" spans="1:17" x14ac:dyDescent="0.3">
      <c r="A31" t="s">
        <v>65</v>
      </c>
      <c r="B31" t="s">
        <v>18</v>
      </c>
      <c r="C31" t="s">
        <v>19</v>
      </c>
      <c r="D31" t="s">
        <v>27</v>
      </c>
      <c r="E31" t="s">
        <v>31</v>
      </c>
      <c r="F31" t="s">
        <v>22</v>
      </c>
      <c r="G31">
        <v>24.89</v>
      </c>
      <c r="H31">
        <v>9</v>
      </c>
      <c r="I31">
        <v>11.2005</v>
      </c>
      <c r="J31">
        <v>235.2105</v>
      </c>
      <c r="K31" s="1">
        <v>43539</v>
      </c>
      <c r="L31" s="2">
        <v>0.65</v>
      </c>
      <c r="M31" t="s">
        <v>29</v>
      </c>
      <c r="N31">
        <v>224.01</v>
      </c>
      <c r="O31">
        <v>4.7619047620000003</v>
      </c>
      <c r="P31">
        <v>11.2005</v>
      </c>
      <c r="Q31">
        <v>7.4</v>
      </c>
    </row>
    <row r="32" spans="1:17" x14ac:dyDescent="0.3">
      <c r="A32" t="s">
        <v>66</v>
      </c>
      <c r="B32" t="s">
        <v>42</v>
      </c>
      <c r="C32" t="s">
        <v>43</v>
      </c>
      <c r="D32" t="s">
        <v>27</v>
      </c>
      <c r="E32" t="s">
        <v>31</v>
      </c>
      <c r="F32" t="s">
        <v>46</v>
      </c>
      <c r="G32">
        <v>94.13</v>
      </c>
      <c r="H32">
        <v>5</v>
      </c>
      <c r="I32">
        <v>23.532499999999999</v>
      </c>
      <c r="J32">
        <v>494.1825</v>
      </c>
      <c r="K32" s="1">
        <v>43521</v>
      </c>
      <c r="L32" s="2">
        <v>0.81874999999999998</v>
      </c>
      <c r="M32" t="s">
        <v>33</v>
      </c>
      <c r="N32">
        <v>470.65</v>
      </c>
      <c r="O32">
        <v>4.7619047620000003</v>
      </c>
      <c r="P32">
        <v>23.532499999999999</v>
      </c>
      <c r="Q32">
        <v>4.8</v>
      </c>
    </row>
    <row r="33" spans="1:17" x14ac:dyDescent="0.3">
      <c r="A33" t="s">
        <v>67</v>
      </c>
      <c r="B33" t="s">
        <v>42</v>
      </c>
      <c r="C33" t="s">
        <v>43</v>
      </c>
      <c r="D33" t="s">
        <v>20</v>
      </c>
      <c r="E33" t="s">
        <v>31</v>
      </c>
      <c r="F33" t="s">
        <v>36</v>
      </c>
      <c r="G33">
        <v>78.069999999999993</v>
      </c>
      <c r="H33">
        <v>9</v>
      </c>
      <c r="I33">
        <v>35.131500000000003</v>
      </c>
      <c r="J33">
        <v>737.76149999999996</v>
      </c>
      <c r="K33" s="1">
        <v>43493</v>
      </c>
      <c r="L33" s="2">
        <v>0.52986111111111112</v>
      </c>
      <c r="M33" t="s">
        <v>29</v>
      </c>
      <c r="N33">
        <v>702.63</v>
      </c>
      <c r="O33">
        <v>4.7619047620000003</v>
      </c>
      <c r="P33">
        <v>35.131500000000003</v>
      </c>
      <c r="Q33">
        <v>4.5</v>
      </c>
    </row>
    <row r="34" spans="1:17" x14ac:dyDescent="0.3">
      <c r="A34" t="s">
        <v>68</v>
      </c>
      <c r="B34" t="s">
        <v>42</v>
      </c>
      <c r="C34" t="s">
        <v>43</v>
      </c>
      <c r="D34" t="s">
        <v>27</v>
      </c>
      <c r="E34" t="s">
        <v>31</v>
      </c>
      <c r="F34" t="s">
        <v>36</v>
      </c>
      <c r="G34">
        <v>83.78</v>
      </c>
      <c r="H34">
        <v>8</v>
      </c>
      <c r="I34">
        <v>33.512</v>
      </c>
      <c r="J34">
        <v>703.75199999999995</v>
      </c>
      <c r="K34" s="1">
        <v>43475</v>
      </c>
      <c r="L34" s="2">
        <v>0.61736111111111114</v>
      </c>
      <c r="M34" t="s">
        <v>29</v>
      </c>
      <c r="N34">
        <v>670.24</v>
      </c>
      <c r="O34">
        <v>4.7619047620000003</v>
      </c>
      <c r="P34">
        <v>33.512</v>
      </c>
      <c r="Q34">
        <v>5.0999999999999996</v>
      </c>
    </row>
    <row r="35" spans="1:17" x14ac:dyDescent="0.3">
      <c r="A35" t="s">
        <v>69</v>
      </c>
      <c r="B35" t="s">
        <v>18</v>
      </c>
      <c r="C35" t="s">
        <v>19</v>
      </c>
      <c r="D35" t="s">
        <v>27</v>
      </c>
      <c r="E35" t="s">
        <v>31</v>
      </c>
      <c r="F35" t="s">
        <v>22</v>
      </c>
      <c r="G35">
        <v>96.58</v>
      </c>
      <c r="H35">
        <v>2</v>
      </c>
      <c r="I35">
        <v>9.6579999999999995</v>
      </c>
      <c r="J35">
        <v>202.81800000000001</v>
      </c>
      <c r="K35" s="1">
        <v>43539</v>
      </c>
      <c r="L35" s="2">
        <v>0.42499999999999999</v>
      </c>
      <c r="M35" t="s">
        <v>33</v>
      </c>
      <c r="N35">
        <v>193.16</v>
      </c>
      <c r="O35">
        <v>4.7619047620000003</v>
      </c>
      <c r="P35">
        <v>9.6579999999999995</v>
      </c>
      <c r="Q35">
        <v>5.0999999999999996</v>
      </c>
    </row>
    <row r="36" spans="1:17" x14ac:dyDescent="0.3">
      <c r="A36" t="s">
        <v>70</v>
      </c>
      <c r="B36" t="s">
        <v>25</v>
      </c>
      <c r="C36" t="s">
        <v>26</v>
      </c>
      <c r="D36" t="s">
        <v>20</v>
      </c>
      <c r="E36" t="s">
        <v>21</v>
      </c>
      <c r="F36" t="s">
        <v>44</v>
      </c>
      <c r="G36">
        <v>99.42</v>
      </c>
      <c r="H36">
        <v>4</v>
      </c>
      <c r="I36">
        <v>19.884</v>
      </c>
      <c r="J36">
        <v>417.56400000000002</v>
      </c>
      <c r="K36" s="1">
        <v>43502</v>
      </c>
      <c r="L36" s="2">
        <v>0.4458333333333333</v>
      </c>
      <c r="M36" t="s">
        <v>23</v>
      </c>
      <c r="N36">
        <v>397.68</v>
      </c>
      <c r="O36">
        <v>4.7619047620000003</v>
      </c>
      <c r="P36">
        <v>19.884</v>
      </c>
      <c r="Q36">
        <v>7.5</v>
      </c>
    </row>
    <row r="37" spans="1:17" x14ac:dyDescent="0.3">
      <c r="A37" t="s">
        <v>71</v>
      </c>
      <c r="B37" t="s">
        <v>25</v>
      </c>
      <c r="C37" t="s">
        <v>26</v>
      </c>
      <c r="D37" t="s">
        <v>20</v>
      </c>
      <c r="E37" t="s">
        <v>21</v>
      </c>
      <c r="F37" t="s">
        <v>36</v>
      </c>
      <c r="G37">
        <v>68.12</v>
      </c>
      <c r="H37">
        <v>1</v>
      </c>
      <c r="I37">
        <v>3.4060000000000001</v>
      </c>
      <c r="J37">
        <v>71.525999999999996</v>
      </c>
      <c r="K37" s="1">
        <v>43472</v>
      </c>
      <c r="L37" s="2">
        <v>0.51944444444444449</v>
      </c>
      <c r="M37" t="s">
        <v>23</v>
      </c>
      <c r="N37">
        <v>68.12</v>
      </c>
      <c r="O37">
        <v>4.7619047620000003</v>
      </c>
      <c r="P37">
        <v>3.4060000000000001</v>
      </c>
      <c r="Q37">
        <v>6.8</v>
      </c>
    </row>
    <row r="38" spans="1:17" x14ac:dyDescent="0.3">
      <c r="A38" t="s">
        <v>72</v>
      </c>
      <c r="B38" t="s">
        <v>18</v>
      </c>
      <c r="C38" t="s">
        <v>19</v>
      </c>
      <c r="D38" t="s">
        <v>20</v>
      </c>
      <c r="E38" t="s">
        <v>31</v>
      </c>
      <c r="F38" t="s">
        <v>36</v>
      </c>
      <c r="G38">
        <v>62.62</v>
      </c>
      <c r="H38">
        <v>5</v>
      </c>
      <c r="I38">
        <v>15.654999999999999</v>
      </c>
      <c r="J38">
        <v>328.755</v>
      </c>
      <c r="K38" s="1">
        <v>43534</v>
      </c>
      <c r="L38" s="2">
        <v>0.80208333333333337</v>
      </c>
      <c r="M38" t="s">
        <v>23</v>
      </c>
      <c r="N38">
        <v>313.10000000000002</v>
      </c>
      <c r="O38">
        <v>4.7619047620000003</v>
      </c>
      <c r="P38">
        <v>15.654999999999999</v>
      </c>
      <c r="Q38">
        <v>7</v>
      </c>
    </row>
    <row r="39" spans="1:17" x14ac:dyDescent="0.3">
      <c r="A39" t="s">
        <v>73</v>
      </c>
      <c r="B39" t="s">
        <v>18</v>
      </c>
      <c r="C39" t="s">
        <v>19</v>
      </c>
      <c r="D39" t="s">
        <v>27</v>
      </c>
      <c r="E39" t="s">
        <v>21</v>
      </c>
      <c r="F39" t="s">
        <v>28</v>
      </c>
      <c r="G39">
        <v>60.88</v>
      </c>
      <c r="H39">
        <v>9</v>
      </c>
      <c r="I39">
        <v>27.396000000000001</v>
      </c>
      <c r="J39">
        <v>575.31600000000003</v>
      </c>
      <c r="K39" s="1">
        <v>43480</v>
      </c>
      <c r="L39" s="2">
        <v>0.72013888888888899</v>
      </c>
      <c r="M39" t="s">
        <v>23</v>
      </c>
      <c r="N39">
        <v>547.91999999999996</v>
      </c>
      <c r="O39">
        <v>4.7619047620000003</v>
      </c>
      <c r="P39">
        <v>27.396000000000001</v>
      </c>
      <c r="Q39">
        <v>4.7</v>
      </c>
    </row>
    <row r="40" spans="1:17" x14ac:dyDescent="0.3">
      <c r="A40" t="s">
        <v>74</v>
      </c>
      <c r="B40" t="s">
        <v>25</v>
      </c>
      <c r="C40" t="s">
        <v>26</v>
      </c>
      <c r="D40" t="s">
        <v>27</v>
      </c>
      <c r="E40" t="s">
        <v>21</v>
      </c>
      <c r="F40" t="s">
        <v>22</v>
      </c>
      <c r="G40">
        <v>54.92</v>
      </c>
      <c r="H40">
        <v>8</v>
      </c>
      <c r="I40">
        <v>21.968</v>
      </c>
      <c r="J40">
        <v>461.32799999999997</v>
      </c>
      <c r="K40" s="1">
        <v>43547</v>
      </c>
      <c r="L40" s="2">
        <v>0.55833333333333335</v>
      </c>
      <c r="M40" t="s">
        <v>23</v>
      </c>
      <c r="N40">
        <v>439.36</v>
      </c>
      <c r="O40">
        <v>4.7619047620000003</v>
      </c>
      <c r="P40">
        <v>21.968</v>
      </c>
      <c r="Q40">
        <v>7.6</v>
      </c>
    </row>
    <row r="41" spans="1:17" x14ac:dyDescent="0.3">
      <c r="A41" t="s">
        <v>75</v>
      </c>
      <c r="B41" t="s">
        <v>42</v>
      </c>
      <c r="C41" t="s">
        <v>43</v>
      </c>
      <c r="D41" t="s">
        <v>20</v>
      </c>
      <c r="E41" t="s">
        <v>31</v>
      </c>
      <c r="F41" t="s">
        <v>32</v>
      </c>
      <c r="G41">
        <v>30.12</v>
      </c>
      <c r="H41">
        <v>8</v>
      </c>
      <c r="I41">
        <v>12.048</v>
      </c>
      <c r="J41">
        <v>253.00800000000001</v>
      </c>
      <c r="K41" s="1">
        <v>43527</v>
      </c>
      <c r="L41" s="2">
        <v>0.54236111111111118</v>
      </c>
      <c r="M41" t="s">
        <v>29</v>
      </c>
      <c r="N41">
        <v>240.96</v>
      </c>
      <c r="O41">
        <v>4.7619047620000003</v>
      </c>
      <c r="P41">
        <v>12.048</v>
      </c>
      <c r="Q41">
        <v>7.7</v>
      </c>
    </row>
    <row r="42" spans="1:17" x14ac:dyDescent="0.3">
      <c r="A42" t="s">
        <v>76</v>
      </c>
      <c r="B42" t="s">
        <v>42</v>
      </c>
      <c r="C42" t="s">
        <v>43</v>
      </c>
      <c r="D42" t="s">
        <v>20</v>
      </c>
      <c r="E42" t="s">
        <v>21</v>
      </c>
      <c r="F42" t="s">
        <v>32</v>
      </c>
      <c r="G42">
        <v>86.72</v>
      </c>
      <c r="H42">
        <v>1</v>
      </c>
      <c r="I42">
        <v>4.3360000000000003</v>
      </c>
      <c r="J42">
        <v>91.055999999999997</v>
      </c>
      <c r="K42" s="1">
        <v>43482</v>
      </c>
      <c r="L42" s="2">
        <v>0.78125</v>
      </c>
      <c r="M42" t="s">
        <v>23</v>
      </c>
      <c r="N42">
        <v>86.72</v>
      </c>
      <c r="O42">
        <v>4.7619047620000003</v>
      </c>
      <c r="P42">
        <v>4.3360000000000003</v>
      </c>
      <c r="Q42">
        <v>7.9</v>
      </c>
    </row>
    <row r="43" spans="1:17" x14ac:dyDescent="0.3">
      <c r="A43" t="s">
        <v>77</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x14ac:dyDescent="0.3">
      <c r="A44" t="s">
        <v>78</v>
      </c>
      <c r="B44" t="s">
        <v>42</v>
      </c>
      <c r="C44" t="s">
        <v>43</v>
      </c>
      <c r="D44" t="s">
        <v>20</v>
      </c>
      <c r="E44" t="s">
        <v>21</v>
      </c>
      <c r="F44" t="s">
        <v>36</v>
      </c>
      <c r="G44">
        <v>69.12</v>
      </c>
      <c r="H44">
        <v>6</v>
      </c>
      <c r="I44">
        <v>20.736000000000001</v>
      </c>
      <c r="J44">
        <v>435.45600000000002</v>
      </c>
      <c r="K44" s="1">
        <v>43504</v>
      </c>
      <c r="L44" s="2">
        <v>0.54375000000000007</v>
      </c>
      <c r="M44" t="s">
        <v>29</v>
      </c>
      <c r="N44">
        <v>414.72</v>
      </c>
      <c r="O44">
        <v>4.7619047620000003</v>
      </c>
      <c r="P44">
        <v>20.736000000000001</v>
      </c>
      <c r="Q44">
        <v>5.6</v>
      </c>
    </row>
    <row r="45" spans="1:17" x14ac:dyDescent="0.3">
      <c r="A45" t="s">
        <v>79</v>
      </c>
      <c r="B45" t="s">
        <v>25</v>
      </c>
      <c r="C45" t="s">
        <v>26</v>
      </c>
      <c r="D45" t="s">
        <v>20</v>
      </c>
      <c r="E45" t="s">
        <v>21</v>
      </c>
      <c r="F45" t="s">
        <v>44</v>
      </c>
      <c r="G45">
        <v>98.7</v>
      </c>
      <c r="H45">
        <v>8</v>
      </c>
      <c r="I45">
        <v>39.479999999999997</v>
      </c>
      <c r="J45">
        <v>829.08</v>
      </c>
      <c r="K45" s="1">
        <v>43528</v>
      </c>
      <c r="L45" s="2">
        <v>0.86041666666666661</v>
      </c>
      <c r="M45" t="s">
        <v>29</v>
      </c>
      <c r="N45">
        <v>789.6</v>
      </c>
      <c r="O45">
        <v>4.7619047620000003</v>
      </c>
      <c r="P45">
        <v>39.479999999999997</v>
      </c>
      <c r="Q45">
        <v>7.6</v>
      </c>
    </row>
    <row r="46" spans="1:17" x14ac:dyDescent="0.3">
      <c r="A46" t="s">
        <v>80</v>
      </c>
      <c r="B46" t="s">
        <v>25</v>
      </c>
      <c r="C46" t="s">
        <v>26</v>
      </c>
      <c r="D46" t="s">
        <v>20</v>
      </c>
      <c r="E46" t="s">
        <v>31</v>
      </c>
      <c r="F46" t="s">
        <v>22</v>
      </c>
      <c r="G46">
        <v>15.37</v>
      </c>
      <c r="H46">
        <v>2</v>
      </c>
      <c r="I46">
        <v>1.5369999999999999</v>
      </c>
      <c r="J46">
        <v>32.277000000000001</v>
      </c>
      <c r="K46" s="1">
        <v>43540</v>
      </c>
      <c r="L46" s="2">
        <v>0.82430555555555562</v>
      </c>
      <c r="M46" t="s">
        <v>29</v>
      </c>
      <c r="N46">
        <v>30.74</v>
      </c>
      <c r="O46">
        <v>4.7619047620000003</v>
      </c>
      <c r="P46">
        <v>1.5369999999999999</v>
      </c>
      <c r="Q46">
        <v>7.2</v>
      </c>
    </row>
    <row r="47" spans="1:17" x14ac:dyDescent="0.3">
      <c r="A47" t="s">
        <v>81</v>
      </c>
      <c r="B47" t="s">
        <v>42</v>
      </c>
      <c r="C47" t="s">
        <v>43</v>
      </c>
      <c r="D47" t="s">
        <v>20</v>
      </c>
      <c r="E47" t="s">
        <v>21</v>
      </c>
      <c r="F47" t="s">
        <v>28</v>
      </c>
      <c r="G47">
        <v>93.96</v>
      </c>
      <c r="H47">
        <v>4</v>
      </c>
      <c r="I47">
        <v>18.792000000000002</v>
      </c>
      <c r="J47">
        <v>394.63200000000001</v>
      </c>
      <c r="K47" s="1">
        <v>43533</v>
      </c>
      <c r="L47" s="2">
        <v>0.75</v>
      </c>
      <c r="M47" t="s">
        <v>29</v>
      </c>
      <c r="N47">
        <v>375.84</v>
      </c>
      <c r="O47">
        <v>4.7619047620000003</v>
      </c>
      <c r="P47">
        <v>18.792000000000002</v>
      </c>
      <c r="Q47">
        <v>9.5</v>
      </c>
    </row>
    <row r="48" spans="1:17" x14ac:dyDescent="0.3">
      <c r="A48" t="s">
        <v>82</v>
      </c>
      <c r="B48" t="s">
        <v>42</v>
      </c>
      <c r="C48" t="s">
        <v>43</v>
      </c>
      <c r="D48" t="s">
        <v>20</v>
      </c>
      <c r="E48" t="s">
        <v>31</v>
      </c>
      <c r="F48" t="s">
        <v>22</v>
      </c>
      <c r="G48">
        <v>56.69</v>
      </c>
      <c r="H48">
        <v>9</v>
      </c>
      <c r="I48">
        <v>25.5105</v>
      </c>
      <c r="J48">
        <v>535.72050000000002</v>
      </c>
      <c r="K48" s="1">
        <v>43523</v>
      </c>
      <c r="L48" s="2">
        <v>0.72499999999999998</v>
      </c>
      <c r="M48" t="s">
        <v>33</v>
      </c>
      <c r="N48">
        <v>510.21</v>
      </c>
      <c r="O48">
        <v>4.7619047620000003</v>
      </c>
      <c r="P48">
        <v>25.5105</v>
      </c>
      <c r="Q48">
        <v>8.4</v>
      </c>
    </row>
    <row r="49" spans="1:17" x14ac:dyDescent="0.3">
      <c r="A49" t="s">
        <v>83</v>
      </c>
      <c r="B49" t="s">
        <v>42</v>
      </c>
      <c r="C49" t="s">
        <v>43</v>
      </c>
      <c r="D49" t="s">
        <v>20</v>
      </c>
      <c r="E49" t="s">
        <v>21</v>
      </c>
      <c r="F49" t="s">
        <v>44</v>
      </c>
      <c r="G49">
        <v>20.010000000000002</v>
      </c>
      <c r="H49">
        <v>9</v>
      </c>
      <c r="I49">
        <v>9.0045000000000002</v>
      </c>
      <c r="J49">
        <v>189.09450000000001</v>
      </c>
      <c r="K49" s="1">
        <v>43502</v>
      </c>
      <c r="L49" s="2">
        <v>0.65763888888888888</v>
      </c>
      <c r="M49" t="s">
        <v>23</v>
      </c>
      <c r="N49">
        <v>180.09</v>
      </c>
      <c r="O49">
        <v>4.7619047620000003</v>
      </c>
      <c r="P49">
        <v>9.0045000000000002</v>
      </c>
      <c r="Q49">
        <v>4.0999999999999996</v>
      </c>
    </row>
    <row r="50" spans="1:17" x14ac:dyDescent="0.3">
      <c r="A50" t="s">
        <v>84</v>
      </c>
      <c r="B50" t="s">
        <v>42</v>
      </c>
      <c r="C50" t="s">
        <v>43</v>
      </c>
      <c r="D50" t="s">
        <v>20</v>
      </c>
      <c r="E50" t="s">
        <v>31</v>
      </c>
      <c r="F50" t="s">
        <v>28</v>
      </c>
      <c r="G50">
        <v>18.93</v>
      </c>
      <c r="H50">
        <v>6</v>
      </c>
      <c r="I50">
        <v>5.6790000000000003</v>
      </c>
      <c r="J50">
        <v>119.259</v>
      </c>
      <c r="K50" s="1">
        <v>43506</v>
      </c>
      <c r="L50" s="2">
        <v>0.53125</v>
      </c>
      <c r="M50" t="s">
        <v>33</v>
      </c>
      <c r="N50">
        <v>113.58</v>
      </c>
      <c r="O50">
        <v>4.7619047620000003</v>
      </c>
      <c r="P50">
        <v>5.6790000000000003</v>
      </c>
      <c r="Q50">
        <v>8.1</v>
      </c>
    </row>
    <row r="51" spans="1:17" x14ac:dyDescent="0.3">
      <c r="A51" t="s">
        <v>85</v>
      </c>
      <c r="B51" t="s">
        <v>25</v>
      </c>
      <c r="C51" t="s">
        <v>26</v>
      </c>
      <c r="D51" t="s">
        <v>20</v>
      </c>
      <c r="E51" t="s">
        <v>21</v>
      </c>
      <c r="F51" t="s">
        <v>46</v>
      </c>
      <c r="G51">
        <v>82.63</v>
      </c>
      <c r="H51">
        <v>10</v>
      </c>
      <c r="I51">
        <v>41.314999999999998</v>
      </c>
      <c r="J51">
        <v>867.61500000000001</v>
      </c>
      <c r="K51" s="1">
        <v>43543</v>
      </c>
      <c r="L51" s="2">
        <v>0.71388888888888891</v>
      </c>
      <c r="M51" t="s">
        <v>23</v>
      </c>
      <c r="N51">
        <v>826.3</v>
      </c>
      <c r="O51">
        <v>4.7619047620000003</v>
      </c>
      <c r="P51">
        <v>41.314999999999998</v>
      </c>
      <c r="Q51">
        <v>7.9</v>
      </c>
    </row>
    <row r="52" spans="1:17" x14ac:dyDescent="0.3">
      <c r="A52" t="s">
        <v>86</v>
      </c>
      <c r="B52" t="s">
        <v>25</v>
      </c>
      <c r="C52" t="s">
        <v>26</v>
      </c>
      <c r="D52" t="s">
        <v>20</v>
      </c>
      <c r="E52" t="s">
        <v>31</v>
      </c>
      <c r="F52" t="s">
        <v>44</v>
      </c>
      <c r="G52">
        <v>91.4</v>
      </c>
      <c r="H52">
        <v>7</v>
      </c>
      <c r="I52">
        <v>31.99</v>
      </c>
      <c r="J52">
        <v>671.79</v>
      </c>
      <c r="K52" s="1">
        <v>43499</v>
      </c>
      <c r="L52" s="2">
        <v>0.42986111111111108</v>
      </c>
      <c r="M52" t="s">
        <v>29</v>
      </c>
      <c r="N52">
        <v>639.79999999999995</v>
      </c>
      <c r="O52">
        <v>4.7619047620000003</v>
      </c>
      <c r="P52">
        <v>31.99</v>
      </c>
      <c r="Q52">
        <v>9.5</v>
      </c>
    </row>
    <row r="53" spans="1:17" x14ac:dyDescent="0.3">
      <c r="A53" t="s">
        <v>87</v>
      </c>
      <c r="B53" t="s">
        <v>18</v>
      </c>
      <c r="C53" t="s">
        <v>19</v>
      </c>
      <c r="D53" t="s">
        <v>20</v>
      </c>
      <c r="E53" t="s">
        <v>21</v>
      </c>
      <c r="F53" t="s">
        <v>44</v>
      </c>
      <c r="G53">
        <v>44.59</v>
      </c>
      <c r="H53">
        <v>5</v>
      </c>
      <c r="I53">
        <v>11.147500000000001</v>
      </c>
      <c r="J53">
        <v>234.0975</v>
      </c>
      <c r="K53" s="1">
        <v>43506</v>
      </c>
      <c r="L53" s="2">
        <v>0.63194444444444442</v>
      </c>
      <c r="M53" t="s">
        <v>29</v>
      </c>
      <c r="N53">
        <v>222.95</v>
      </c>
      <c r="O53">
        <v>4.7619047620000003</v>
      </c>
      <c r="P53">
        <v>11.147500000000001</v>
      </c>
      <c r="Q53">
        <v>8.5</v>
      </c>
    </row>
    <row r="54" spans="1:17" x14ac:dyDescent="0.3">
      <c r="A54" t="s">
        <v>88</v>
      </c>
      <c r="B54" t="s">
        <v>42</v>
      </c>
      <c r="C54" t="s">
        <v>43</v>
      </c>
      <c r="D54" t="s">
        <v>20</v>
      </c>
      <c r="E54" t="s">
        <v>21</v>
      </c>
      <c r="F54" t="s">
        <v>46</v>
      </c>
      <c r="G54">
        <v>17.87</v>
      </c>
      <c r="H54">
        <v>4</v>
      </c>
      <c r="I54">
        <v>3.5739999999999998</v>
      </c>
      <c r="J54">
        <v>75.054000000000002</v>
      </c>
      <c r="K54" s="1">
        <v>43546</v>
      </c>
      <c r="L54" s="2">
        <v>0.61249999999999993</v>
      </c>
      <c r="M54" t="s">
        <v>23</v>
      </c>
      <c r="N54">
        <v>71.48</v>
      </c>
      <c r="O54">
        <v>4.7619047620000003</v>
      </c>
      <c r="P54">
        <v>3.5739999999999998</v>
      </c>
      <c r="Q54">
        <v>6.5</v>
      </c>
    </row>
    <row r="55" spans="1:17" x14ac:dyDescent="0.3">
      <c r="A55" t="s">
        <v>89</v>
      </c>
      <c r="B55" t="s">
        <v>25</v>
      </c>
      <c r="C55" t="s">
        <v>26</v>
      </c>
      <c r="D55" t="s">
        <v>20</v>
      </c>
      <c r="E55" t="s">
        <v>31</v>
      </c>
      <c r="F55" t="s">
        <v>46</v>
      </c>
      <c r="G55">
        <v>15.43</v>
      </c>
      <c r="H55">
        <v>1</v>
      </c>
      <c r="I55">
        <v>0.77149999999999996</v>
      </c>
      <c r="J55">
        <v>16.201499999999999</v>
      </c>
      <c r="K55" s="1">
        <v>43490</v>
      </c>
      <c r="L55" s="2">
        <v>0.65694444444444444</v>
      </c>
      <c r="M55" t="s">
        <v>33</v>
      </c>
      <c r="N55">
        <v>15.43</v>
      </c>
      <c r="O55">
        <v>4.7619047620000003</v>
      </c>
      <c r="P55">
        <v>0.77149999999999996</v>
      </c>
      <c r="Q55">
        <v>6.1</v>
      </c>
    </row>
    <row r="56" spans="1:17" x14ac:dyDescent="0.3">
      <c r="A56" t="s">
        <v>90</v>
      </c>
      <c r="B56" t="s">
        <v>42</v>
      </c>
      <c r="C56" t="s">
        <v>43</v>
      </c>
      <c r="D56" t="s">
        <v>27</v>
      </c>
      <c r="E56" t="s">
        <v>31</v>
      </c>
      <c r="F56" t="s">
        <v>32</v>
      </c>
      <c r="G56">
        <v>16.16</v>
      </c>
      <c r="H56">
        <v>2</v>
      </c>
      <c r="I56">
        <v>1.6160000000000001</v>
      </c>
      <c r="J56">
        <v>33.936</v>
      </c>
      <c r="K56" s="1">
        <v>43531</v>
      </c>
      <c r="L56" s="2">
        <v>0.49236111111111108</v>
      </c>
      <c r="M56" t="s">
        <v>23</v>
      </c>
      <c r="N56">
        <v>32.32</v>
      </c>
      <c r="O56">
        <v>4.7619047620000003</v>
      </c>
      <c r="P56">
        <v>1.6160000000000001</v>
      </c>
      <c r="Q56">
        <v>6.5</v>
      </c>
    </row>
    <row r="57" spans="1:17" x14ac:dyDescent="0.3">
      <c r="A57" t="s">
        <v>91</v>
      </c>
      <c r="B57" t="s">
        <v>25</v>
      </c>
      <c r="C57" t="s">
        <v>26</v>
      </c>
      <c r="D57" t="s">
        <v>27</v>
      </c>
      <c r="E57" t="s">
        <v>21</v>
      </c>
      <c r="F57" t="s">
        <v>28</v>
      </c>
      <c r="G57">
        <v>85.98</v>
      </c>
      <c r="H57">
        <v>8</v>
      </c>
      <c r="I57">
        <v>34.392000000000003</v>
      </c>
      <c r="J57">
        <v>722.23199999999997</v>
      </c>
      <c r="K57" s="1">
        <v>43524</v>
      </c>
      <c r="L57" s="2">
        <v>0.79236111111111107</v>
      </c>
      <c r="M57" t="s">
        <v>29</v>
      </c>
      <c r="N57">
        <v>687.84</v>
      </c>
      <c r="O57">
        <v>4.7619047620000003</v>
      </c>
      <c r="P57">
        <v>34.392000000000003</v>
      </c>
      <c r="Q57">
        <v>8.1999999999999993</v>
      </c>
    </row>
    <row r="58" spans="1:17" x14ac:dyDescent="0.3">
      <c r="A58" t="s">
        <v>92</v>
      </c>
      <c r="B58" t="s">
        <v>18</v>
      </c>
      <c r="C58" t="s">
        <v>19</v>
      </c>
      <c r="D58" t="s">
        <v>20</v>
      </c>
      <c r="E58" t="s">
        <v>31</v>
      </c>
      <c r="F58" t="s">
        <v>32</v>
      </c>
      <c r="G58">
        <v>44.34</v>
      </c>
      <c r="H58">
        <v>2</v>
      </c>
      <c r="I58">
        <v>4.4340000000000002</v>
      </c>
      <c r="J58">
        <v>93.114000000000004</v>
      </c>
      <c r="K58" s="1">
        <v>43551</v>
      </c>
      <c r="L58" s="2">
        <v>0.47638888888888892</v>
      </c>
      <c r="M58" t="s">
        <v>29</v>
      </c>
      <c r="N58">
        <v>88.68</v>
      </c>
      <c r="O58">
        <v>4.7619047620000003</v>
      </c>
      <c r="P58">
        <v>4.4340000000000002</v>
      </c>
      <c r="Q58">
        <v>5.8</v>
      </c>
    </row>
    <row r="59" spans="1:17" x14ac:dyDescent="0.3">
      <c r="A59" t="s">
        <v>93</v>
      </c>
      <c r="B59" t="s">
        <v>18</v>
      </c>
      <c r="C59" t="s">
        <v>19</v>
      </c>
      <c r="D59" t="s">
        <v>27</v>
      </c>
      <c r="E59" t="s">
        <v>31</v>
      </c>
      <c r="F59" t="s">
        <v>22</v>
      </c>
      <c r="G59">
        <v>89.6</v>
      </c>
      <c r="H59">
        <v>8</v>
      </c>
      <c r="I59">
        <v>35.840000000000003</v>
      </c>
      <c r="J59">
        <v>752.64</v>
      </c>
      <c r="K59" s="1">
        <v>43503</v>
      </c>
      <c r="L59" s="2">
        <v>0.4777777777777778</v>
      </c>
      <c r="M59" t="s">
        <v>23</v>
      </c>
      <c r="N59">
        <v>716.8</v>
      </c>
      <c r="O59">
        <v>4.7619047620000003</v>
      </c>
      <c r="P59">
        <v>35.840000000000003</v>
      </c>
      <c r="Q59">
        <v>6.6</v>
      </c>
    </row>
    <row r="60" spans="1:17" x14ac:dyDescent="0.3">
      <c r="A60" t="s">
        <v>94</v>
      </c>
      <c r="B60" t="s">
        <v>18</v>
      </c>
      <c r="C60" t="s">
        <v>19</v>
      </c>
      <c r="D60" t="s">
        <v>20</v>
      </c>
      <c r="E60" t="s">
        <v>21</v>
      </c>
      <c r="F60" t="s">
        <v>32</v>
      </c>
      <c r="G60">
        <v>72.349999999999994</v>
      </c>
      <c r="H60">
        <v>10</v>
      </c>
      <c r="I60">
        <v>36.174999999999997</v>
      </c>
      <c r="J60">
        <v>759.67499999999995</v>
      </c>
      <c r="K60" s="1">
        <v>43485</v>
      </c>
      <c r="L60" s="2">
        <v>0.66319444444444442</v>
      </c>
      <c r="M60" t="s">
        <v>29</v>
      </c>
      <c r="N60">
        <v>723.5</v>
      </c>
      <c r="O60">
        <v>4.7619047620000003</v>
      </c>
      <c r="P60">
        <v>36.174999999999997</v>
      </c>
      <c r="Q60">
        <v>5.4</v>
      </c>
    </row>
    <row r="61" spans="1:17" x14ac:dyDescent="0.3">
      <c r="A61" t="s">
        <v>95</v>
      </c>
      <c r="B61" t="s">
        <v>25</v>
      </c>
      <c r="C61" t="s">
        <v>26</v>
      </c>
      <c r="D61" t="s">
        <v>27</v>
      </c>
      <c r="E61" t="s">
        <v>31</v>
      </c>
      <c r="F61" t="s">
        <v>28</v>
      </c>
      <c r="G61">
        <v>30.61</v>
      </c>
      <c r="H61">
        <v>6</v>
      </c>
      <c r="I61">
        <v>9.1829999999999998</v>
      </c>
      <c r="J61">
        <v>192.84299999999999</v>
      </c>
      <c r="K61" s="1">
        <v>43536</v>
      </c>
      <c r="L61" s="2">
        <v>0.85833333333333339</v>
      </c>
      <c r="M61" t="s">
        <v>29</v>
      </c>
      <c r="N61">
        <v>183.66</v>
      </c>
      <c r="O61">
        <v>4.7619047620000003</v>
      </c>
      <c r="P61">
        <v>9.1829999999999998</v>
      </c>
      <c r="Q61">
        <v>9.3000000000000007</v>
      </c>
    </row>
    <row r="62" spans="1:17" x14ac:dyDescent="0.3">
      <c r="A62" t="s">
        <v>96</v>
      </c>
      <c r="B62" t="s">
        <v>25</v>
      </c>
      <c r="C62" t="s">
        <v>26</v>
      </c>
      <c r="D62" t="s">
        <v>20</v>
      </c>
      <c r="E62" t="s">
        <v>21</v>
      </c>
      <c r="F62" t="s">
        <v>36</v>
      </c>
      <c r="G62">
        <v>24.74</v>
      </c>
      <c r="H62">
        <v>3</v>
      </c>
      <c r="I62">
        <v>3.7109999999999999</v>
      </c>
      <c r="J62">
        <v>77.930999999999997</v>
      </c>
      <c r="K62" s="1">
        <v>43511</v>
      </c>
      <c r="L62" s="2">
        <v>0.74097222222222225</v>
      </c>
      <c r="M62" t="s">
        <v>33</v>
      </c>
      <c r="N62">
        <v>74.22</v>
      </c>
      <c r="O62">
        <v>4.7619047620000003</v>
      </c>
      <c r="P62">
        <v>3.7109999999999999</v>
      </c>
      <c r="Q62">
        <v>10</v>
      </c>
    </row>
    <row r="63" spans="1:17" x14ac:dyDescent="0.3">
      <c r="A63" t="s">
        <v>97</v>
      </c>
      <c r="B63" t="s">
        <v>25</v>
      </c>
      <c r="C63" t="s">
        <v>26</v>
      </c>
      <c r="D63" t="s">
        <v>27</v>
      </c>
      <c r="E63" t="s">
        <v>31</v>
      </c>
      <c r="F63" t="s">
        <v>32</v>
      </c>
      <c r="G63">
        <v>55.73</v>
      </c>
      <c r="H63">
        <v>6</v>
      </c>
      <c r="I63">
        <v>16.719000000000001</v>
      </c>
      <c r="J63">
        <v>351.09899999999999</v>
      </c>
      <c r="K63" s="1">
        <v>43520</v>
      </c>
      <c r="L63" s="2">
        <v>0.4548611111111111</v>
      </c>
      <c r="M63" t="s">
        <v>23</v>
      </c>
      <c r="N63">
        <v>334.38</v>
      </c>
      <c r="O63">
        <v>4.7619047620000003</v>
      </c>
      <c r="P63">
        <v>16.719000000000001</v>
      </c>
      <c r="Q63">
        <v>7</v>
      </c>
    </row>
    <row r="64" spans="1:17" x14ac:dyDescent="0.3">
      <c r="A64" t="s">
        <v>98</v>
      </c>
      <c r="B64" t="s">
        <v>42</v>
      </c>
      <c r="C64" t="s">
        <v>43</v>
      </c>
      <c r="D64" t="s">
        <v>20</v>
      </c>
      <c r="E64" t="s">
        <v>21</v>
      </c>
      <c r="F64" t="s">
        <v>36</v>
      </c>
      <c r="G64">
        <v>55.07</v>
      </c>
      <c r="H64">
        <v>9</v>
      </c>
      <c r="I64">
        <v>24.781500000000001</v>
      </c>
      <c r="J64">
        <v>520.41150000000005</v>
      </c>
      <c r="K64" s="1">
        <v>43499</v>
      </c>
      <c r="L64" s="2">
        <v>0.56944444444444442</v>
      </c>
      <c r="M64" t="s">
        <v>23</v>
      </c>
      <c r="N64">
        <v>495.63</v>
      </c>
      <c r="O64">
        <v>4.7619047620000003</v>
      </c>
      <c r="P64">
        <v>24.781500000000001</v>
      </c>
      <c r="Q64">
        <v>10</v>
      </c>
    </row>
    <row r="65" spans="1:17" x14ac:dyDescent="0.3">
      <c r="A65" t="s">
        <v>99</v>
      </c>
      <c r="B65" t="s">
        <v>18</v>
      </c>
      <c r="C65" t="s">
        <v>19</v>
      </c>
      <c r="D65" t="s">
        <v>20</v>
      </c>
      <c r="E65" t="s">
        <v>31</v>
      </c>
      <c r="F65" t="s">
        <v>36</v>
      </c>
      <c r="G65">
        <v>15.81</v>
      </c>
      <c r="H65">
        <v>10</v>
      </c>
      <c r="I65">
        <v>7.9050000000000002</v>
      </c>
      <c r="J65">
        <v>166.005</v>
      </c>
      <c r="K65" s="1">
        <v>43530</v>
      </c>
      <c r="L65" s="2">
        <v>0.51874999999999993</v>
      </c>
      <c r="M65" t="s">
        <v>33</v>
      </c>
      <c r="N65">
        <v>158.1</v>
      </c>
      <c r="O65">
        <v>4.7619047620000003</v>
      </c>
      <c r="P65">
        <v>7.9050000000000002</v>
      </c>
      <c r="Q65">
        <v>8.6</v>
      </c>
    </row>
    <row r="66" spans="1:17" x14ac:dyDescent="0.3">
      <c r="A66" t="s">
        <v>100</v>
      </c>
      <c r="B66" t="s">
        <v>42</v>
      </c>
      <c r="C66" t="s">
        <v>43</v>
      </c>
      <c r="D66" t="s">
        <v>20</v>
      </c>
      <c r="E66" t="s">
        <v>31</v>
      </c>
      <c r="F66" t="s">
        <v>22</v>
      </c>
      <c r="G66">
        <v>75.739999999999995</v>
      </c>
      <c r="H66">
        <v>4</v>
      </c>
      <c r="I66">
        <v>15.148</v>
      </c>
      <c r="J66">
        <v>318.108</v>
      </c>
      <c r="K66" s="1">
        <v>43510</v>
      </c>
      <c r="L66" s="2">
        <v>0.60763888888888895</v>
      </c>
      <c r="M66" t="s">
        <v>29</v>
      </c>
      <c r="N66">
        <v>302.95999999999998</v>
      </c>
      <c r="O66">
        <v>4.7619047620000003</v>
      </c>
      <c r="P66">
        <v>15.148</v>
      </c>
      <c r="Q66">
        <v>7.6</v>
      </c>
    </row>
    <row r="67" spans="1:17" x14ac:dyDescent="0.3">
      <c r="A67" t="s">
        <v>101</v>
      </c>
      <c r="B67" t="s">
        <v>18</v>
      </c>
      <c r="C67" t="s">
        <v>19</v>
      </c>
      <c r="D67" t="s">
        <v>20</v>
      </c>
      <c r="E67" t="s">
        <v>31</v>
      </c>
      <c r="F67" t="s">
        <v>22</v>
      </c>
      <c r="G67">
        <v>15.87</v>
      </c>
      <c r="H67">
        <v>10</v>
      </c>
      <c r="I67">
        <v>7.9349999999999996</v>
      </c>
      <c r="J67">
        <v>166.63499999999999</v>
      </c>
      <c r="K67" s="1">
        <v>43537</v>
      </c>
      <c r="L67" s="2">
        <v>0.69444444444444453</v>
      </c>
      <c r="M67" t="s">
        <v>29</v>
      </c>
      <c r="N67">
        <v>158.69999999999999</v>
      </c>
      <c r="O67">
        <v>4.7619047620000003</v>
      </c>
      <c r="P67">
        <v>7.9349999999999996</v>
      </c>
      <c r="Q67">
        <v>5.8</v>
      </c>
    </row>
    <row r="68" spans="1:17" x14ac:dyDescent="0.3">
      <c r="A68" t="s">
        <v>102</v>
      </c>
      <c r="B68" t="s">
        <v>25</v>
      </c>
      <c r="C68" t="s">
        <v>26</v>
      </c>
      <c r="D68" t="s">
        <v>27</v>
      </c>
      <c r="E68" t="s">
        <v>21</v>
      </c>
      <c r="F68" t="s">
        <v>22</v>
      </c>
      <c r="G68">
        <v>33.47</v>
      </c>
      <c r="H68">
        <v>2</v>
      </c>
      <c r="I68">
        <v>3.347</v>
      </c>
      <c r="J68">
        <v>70.287000000000006</v>
      </c>
      <c r="K68" s="1">
        <v>43506</v>
      </c>
      <c r="L68" s="2">
        <v>0.65486111111111112</v>
      </c>
      <c r="M68" t="s">
        <v>23</v>
      </c>
      <c r="N68">
        <v>66.94</v>
      </c>
      <c r="O68">
        <v>4.7619047620000003</v>
      </c>
      <c r="P68">
        <v>3.347</v>
      </c>
      <c r="Q68">
        <v>6.7</v>
      </c>
    </row>
    <row r="69" spans="1:17" x14ac:dyDescent="0.3">
      <c r="A69" t="s">
        <v>103</v>
      </c>
      <c r="B69" t="s">
        <v>42</v>
      </c>
      <c r="C69" t="s">
        <v>43</v>
      </c>
      <c r="D69" t="s">
        <v>20</v>
      </c>
      <c r="E69" t="s">
        <v>21</v>
      </c>
      <c r="F69" t="s">
        <v>46</v>
      </c>
      <c r="G69">
        <v>97.61</v>
      </c>
      <c r="H69">
        <v>6</v>
      </c>
      <c r="I69">
        <v>29.283000000000001</v>
      </c>
      <c r="J69">
        <v>614.94299999999998</v>
      </c>
      <c r="K69" s="1">
        <v>43472</v>
      </c>
      <c r="L69" s="2">
        <v>0.62569444444444444</v>
      </c>
      <c r="M69" t="s">
        <v>23</v>
      </c>
      <c r="N69">
        <v>585.66</v>
      </c>
      <c r="O69">
        <v>4.7619047620000003</v>
      </c>
      <c r="P69">
        <v>29.283000000000001</v>
      </c>
      <c r="Q69">
        <v>9.9</v>
      </c>
    </row>
    <row r="70" spans="1:17" x14ac:dyDescent="0.3">
      <c r="A70" t="s">
        <v>104</v>
      </c>
      <c r="B70" t="s">
        <v>18</v>
      </c>
      <c r="C70" t="s">
        <v>19</v>
      </c>
      <c r="D70" t="s">
        <v>27</v>
      </c>
      <c r="E70" t="s">
        <v>31</v>
      </c>
      <c r="F70" t="s">
        <v>36</v>
      </c>
      <c r="G70">
        <v>78.77</v>
      </c>
      <c r="H70">
        <v>10</v>
      </c>
      <c r="I70">
        <v>39.384999999999998</v>
      </c>
      <c r="J70">
        <v>827.08500000000004</v>
      </c>
      <c r="K70" s="1">
        <v>43489</v>
      </c>
      <c r="L70" s="2">
        <v>0.41944444444444445</v>
      </c>
      <c r="M70" t="s">
        <v>29</v>
      </c>
      <c r="N70">
        <v>787.7</v>
      </c>
      <c r="O70">
        <v>4.7619047620000003</v>
      </c>
      <c r="P70">
        <v>39.384999999999998</v>
      </c>
      <c r="Q70">
        <v>6.4</v>
      </c>
    </row>
    <row r="71" spans="1:17" x14ac:dyDescent="0.3">
      <c r="A71" t="s">
        <v>105</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3">
      <c r="A72" t="s">
        <v>106</v>
      </c>
      <c r="B72" t="s">
        <v>25</v>
      </c>
      <c r="C72" t="s">
        <v>26</v>
      </c>
      <c r="D72" t="s">
        <v>27</v>
      </c>
      <c r="E72" t="s">
        <v>31</v>
      </c>
      <c r="F72" t="s">
        <v>44</v>
      </c>
      <c r="G72">
        <v>89.48</v>
      </c>
      <c r="H72">
        <v>10</v>
      </c>
      <c r="I72">
        <v>44.74</v>
      </c>
      <c r="J72">
        <v>939.54</v>
      </c>
      <c r="K72" s="1">
        <v>43471</v>
      </c>
      <c r="L72" s="2">
        <v>0.53194444444444444</v>
      </c>
      <c r="M72" t="s">
        <v>33</v>
      </c>
      <c r="N72">
        <v>894.8</v>
      </c>
      <c r="O72">
        <v>4.7619047620000003</v>
      </c>
      <c r="P72">
        <v>44.74</v>
      </c>
      <c r="Q72">
        <v>9.6</v>
      </c>
    </row>
    <row r="73" spans="1:17" x14ac:dyDescent="0.3">
      <c r="A73" t="s">
        <v>107</v>
      </c>
      <c r="B73" t="s">
        <v>25</v>
      </c>
      <c r="C73" t="s">
        <v>26</v>
      </c>
      <c r="D73" t="s">
        <v>27</v>
      </c>
      <c r="E73" t="s">
        <v>31</v>
      </c>
      <c r="F73" t="s">
        <v>46</v>
      </c>
      <c r="G73">
        <v>62.12</v>
      </c>
      <c r="H73">
        <v>10</v>
      </c>
      <c r="I73">
        <v>31.06</v>
      </c>
      <c r="J73">
        <v>652.26</v>
      </c>
      <c r="K73" s="1">
        <v>43507</v>
      </c>
      <c r="L73" s="2">
        <v>0.67986111111111114</v>
      </c>
      <c r="M73" t="s">
        <v>29</v>
      </c>
      <c r="N73">
        <v>621.20000000000005</v>
      </c>
      <c r="O73">
        <v>4.7619047620000003</v>
      </c>
      <c r="P73">
        <v>31.06</v>
      </c>
      <c r="Q73">
        <v>5.9</v>
      </c>
    </row>
    <row r="74" spans="1:17" x14ac:dyDescent="0.3">
      <c r="A74" t="s">
        <v>108</v>
      </c>
      <c r="B74" t="s">
        <v>42</v>
      </c>
      <c r="C74" t="s">
        <v>43</v>
      </c>
      <c r="D74" t="s">
        <v>20</v>
      </c>
      <c r="E74" t="s">
        <v>21</v>
      </c>
      <c r="F74" t="s">
        <v>44</v>
      </c>
      <c r="G74">
        <v>48.52</v>
      </c>
      <c r="H74">
        <v>3</v>
      </c>
      <c r="I74">
        <v>7.2779999999999996</v>
      </c>
      <c r="J74">
        <v>152.83799999999999</v>
      </c>
      <c r="K74" s="1">
        <v>43529</v>
      </c>
      <c r="L74" s="2">
        <v>0.76180555555555562</v>
      </c>
      <c r="M74" t="s">
        <v>23</v>
      </c>
      <c r="N74">
        <v>145.56</v>
      </c>
      <c r="O74">
        <v>4.7619047620000003</v>
      </c>
      <c r="P74">
        <v>7.2779999999999996</v>
      </c>
      <c r="Q74">
        <v>4</v>
      </c>
    </row>
    <row r="75" spans="1:17" x14ac:dyDescent="0.3">
      <c r="A75" t="s">
        <v>109</v>
      </c>
      <c r="B75" t="s">
        <v>25</v>
      </c>
      <c r="C75" t="s">
        <v>26</v>
      </c>
      <c r="D75" t="s">
        <v>27</v>
      </c>
      <c r="E75" t="s">
        <v>21</v>
      </c>
      <c r="F75" t="s">
        <v>28</v>
      </c>
      <c r="G75">
        <v>75.91</v>
      </c>
      <c r="H75">
        <v>6</v>
      </c>
      <c r="I75">
        <v>22.773</v>
      </c>
      <c r="J75">
        <v>478.233</v>
      </c>
      <c r="K75" s="1">
        <v>43533</v>
      </c>
      <c r="L75" s="2">
        <v>0.76458333333333339</v>
      </c>
      <c r="M75" t="s">
        <v>29</v>
      </c>
      <c r="N75">
        <v>455.46</v>
      </c>
      <c r="O75">
        <v>4.7619047620000003</v>
      </c>
      <c r="P75">
        <v>22.773</v>
      </c>
      <c r="Q75">
        <v>8.6999999999999993</v>
      </c>
    </row>
    <row r="76" spans="1:17" x14ac:dyDescent="0.3">
      <c r="A76" t="s">
        <v>110</v>
      </c>
      <c r="B76" t="s">
        <v>18</v>
      </c>
      <c r="C76" t="s">
        <v>19</v>
      </c>
      <c r="D76" t="s">
        <v>27</v>
      </c>
      <c r="E76" t="s">
        <v>31</v>
      </c>
      <c r="F76" t="s">
        <v>32</v>
      </c>
      <c r="G76">
        <v>74.67</v>
      </c>
      <c r="H76">
        <v>9</v>
      </c>
      <c r="I76">
        <v>33.601500000000001</v>
      </c>
      <c r="J76">
        <v>705.63149999999996</v>
      </c>
      <c r="K76" s="1">
        <v>43487</v>
      </c>
      <c r="L76" s="2">
        <v>0.4548611111111111</v>
      </c>
      <c r="M76" t="s">
        <v>23</v>
      </c>
      <c r="N76">
        <v>672.03</v>
      </c>
      <c r="O76">
        <v>4.7619047620000003</v>
      </c>
      <c r="P76">
        <v>33.601500000000001</v>
      </c>
      <c r="Q76">
        <v>9.4</v>
      </c>
    </row>
    <row r="77" spans="1:17" x14ac:dyDescent="0.3">
      <c r="A77" t="s">
        <v>111</v>
      </c>
      <c r="B77" t="s">
        <v>25</v>
      </c>
      <c r="C77" t="s">
        <v>26</v>
      </c>
      <c r="D77" t="s">
        <v>27</v>
      </c>
      <c r="E77" t="s">
        <v>21</v>
      </c>
      <c r="F77" t="s">
        <v>28</v>
      </c>
      <c r="G77">
        <v>41.65</v>
      </c>
      <c r="H77">
        <v>10</v>
      </c>
      <c r="I77">
        <v>20.824999999999999</v>
      </c>
      <c r="J77">
        <v>437.32499999999999</v>
      </c>
      <c r="K77" s="1">
        <v>43478</v>
      </c>
      <c r="L77" s="2">
        <v>0.71111111111111114</v>
      </c>
      <c r="M77" t="s">
        <v>33</v>
      </c>
      <c r="N77">
        <v>416.5</v>
      </c>
      <c r="O77">
        <v>4.7619047620000003</v>
      </c>
      <c r="P77">
        <v>20.824999999999999</v>
      </c>
      <c r="Q77">
        <v>5.4</v>
      </c>
    </row>
    <row r="78" spans="1:17" x14ac:dyDescent="0.3">
      <c r="A78" t="s">
        <v>112</v>
      </c>
      <c r="B78" t="s">
        <v>25</v>
      </c>
      <c r="C78" t="s">
        <v>26</v>
      </c>
      <c r="D78" t="s">
        <v>20</v>
      </c>
      <c r="E78" t="s">
        <v>31</v>
      </c>
      <c r="F78" t="s">
        <v>46</v>
      </c>
      <c r="G78">
        <v>49.04</v>
      </c>
      <c r="H78">
        <v>9</v>
      </c>
      <c r="I78">
        <v>22.068000000000001</v>
      </c>
      <c r="J78">
        <v>463.428</v>
      </c>
      <c r="K78" s="1">
        <v>43474</v>
      </c>
      <c r="L78" s="2">
        <v>0.59722222222222221</v>
      </c>
      <c r="M78" t="s">
        <v>33</v>
      </c>
      <c r="N78">
        <v>441.36</v>
      </c>
      <c r="O78">
        <v>4.7619047620000003</v>
      </c>
      <c r="P78">
        <v>22.068000000000001</v>
      </c>
      <c r="Q78">
        <v>8.6</v>
      </c>
    </row>
    <row r="79" spans="1:17" x14ac:dyDescent="0.3">
      <c r="A79" t="s">
        <v>113</v>
      </c>
      <c r="B79" t="s">
        <v>18</v>
      </c>
      <c r="C79" t="s">
        <v>19</v>
      </c>
      <c r="D79" t="s">
        <v>20</v>
      </c>
      <c r="E79" t="s">
        <v>21</v>
      </c>
      <c r="F79" t="s">
        <v>46</v>
      </c>
      <c r="G79">
        <v>20.010000000000002</v>
      </c>
      <c r="H79">
        <v>9</v>
      </c>
      <c r="I79">
        <v>9.0045000000000002</v>
      </c>
      <c r="J79">
        <v>189.09450000000001</v>
      </c>
      <c r="K79" s="1">
        <v>43477</v>
      </c>
      <c r="L79" s="2">
        <v>0.65833333333333333</v>
      </c>
      <c r="M79" t="s">
        <v>33</v>
      </c>
      <c r="N79">
        <v>180.09</v>
      </c>
      <c r="O79">
        <v>4.7619047620000003</v>
      </c>
      <c r="P79">
        <v>9.0045000000000002</v>
      </c>
      <c r="Q79">
        <v>5.7</v>
      </c>
    </row>
    <row r="80" spans="1:17" x14ac:dyDescent="0.3">
      <c r="A80" t="s">
        <v>114</v>
      </c>
      <c r="B80" t="s">
        <v>25</v>
      </c>
      <c r="C80" t="s">
        <v>26</v>
      </c>
      <c r="D80" t="s">
        <v>20</v>
      </c>
      <c r="E80" t="s">
        <v>21</v>
      </c>
      <c r="F80" t="s">
        <v>44</v>
      </c>
      <c r="G80">
        <v>78.31</v>
      </c>
      <c r="H80">
        <v>10</v>
      </c>
      <c r="I80">
        <v>39.155000000000001</v>
      </c>
      <c r="J80">
        <v>822.255</v>
      </c>
      <c r="K80" s="1">
        <v>43529</v>
      </c>
      <c r="L80" s="2">
        <v>0.68333333333333324</v>
      </c>
      <c r="M80" t="s">
        <v>23</v>
      </c>
      <c r="N80">
        <v>783.1</v>
      </c>
      <c r="O80">
        <v>4.7619047620000003</v>
      </c>
      <c r="P80">
        <v>39.155000000000001</v>
      </c>
      <c r="Q80">
        <v>6.6</v>
      </c>
    </row>
    <row r="81" spans="1:17" x14ac:dyDescent="0.3">
      <c r="A81" t="s">
        <v>115</v>
      </c>
      <c r="B81" t="s">
        <v>25</v>
      </c>
      <c r="C81" t="s">
        <v>26</v>
      </c>
      <c r="D81" t="s">
        <v>27</v>
      </c>
      <c r="E81" t="s">
        <v>21</v>
      </c>
      <c r="F81" t="s">
        <v>22</v>
      </c>
      <c r="G81">
        <v>20.38</v>
      </c>
      <c r="H81">
        <v>5</v>
      </c>
      <c r="I81">
        <v>5.0949999999999998</v>
      </c>
      <c r="J81">
        <v>106.995</v>
      </c>
      <c r="K81" s="1">
        <v>43487</v>
      </c>
      <c r="L81" s="2">
        <v>0.78888888888888886</v>
      </c>
      <c r="M81" t="s">
        <v>29</v>
      </c>
      <c r="N81">
        <v>101.9</v>
      </c>
      <c r="O81">
        <v>4.7619047620000003</v>
      </c>
      <c r="P81">
        <v>5.0949999999999998</v>
      </c>
      <c r="Q81">
        <v>6</v>
      </c>
    </row>
    <row r="82" spans="1:17" x14ac:dyDescent="0.3">
      <c r="A82" t="s">
        <v>116</v>
      </c>
      <c r="B82" t="s">
        <v>25</v>
      </c>
      <c r="C82" t="s">
        <v>26</v>
      </c>
      <c r="D82" t="s">
        <v>27</v>
      </c>
      <c r="E82" t="s">
        <v>21</v>
      </c>
      <c r="F82" t="s">
        <v>22</v>
      </c>
      <c r="G82">
        <v>99.19</v>
      </c>
      <c r="H82">
        <v>6</v>
      </c>
      <c r="I82">
        <v>29.757000000000001</v>
      </c>
      <c r="J82">
        <v>624.89700000000005</v>
      </c>
      <c r="K82" s="1">
        <v>43486</v>
      </c>
      <c r="L82" s="2">
        <v>0.61249999999999993</v>
      </c>
      <c r="M82" t="s">
        <v>33</v>
      </c>
      <c r="N82">
        <v>595.14</v>
      </c>
      <c r="O82">
        <v>4.7619047620000003</v>
      </c>
      <c r="P82">
        <v>29.757000000000001</v>
      </c>
      <c r="Q82">
        <v>5.5</v>
      </c>
    </row>
    <row r="83" spans="1:17" x14ac:dyDescent="0.3">
      <c r="A83" t="s">
        <v>117</v>
      </c>
      <c r="B83" t="s">
        <v>42</v>
      </c>
      <c r="C83" t="s">
        <v>43</v>
      </c>
      <c r="D83" t="s">
        <v>27</v>
      </c>
      <c r="E83" t="s">
        <v>21</v>
      </c>
      <c r="F83" t="s">
        <v>44</v>
      </c>
      <c r="G83">
        <v>96.68</v>
      </c>
      <c r="H83">
        <v>3</v>
      </c>
      <c r="I83">
        <v>14.502000000000001</v>
      </c>
      <c r="J83">
        <v>304.54199999999997</v>
      </c>
      <c r="K83" s="1">
        <v>43491</v>
      </c>
      <c r="L83" s="2">
        <v>0.8305555555555556</v>
      </c>
      <c r="M83" t="s">
        <v>23</v>
      </c>
      <c r="N83">
        <v>290.04000000000002</v>
      </c>
      <c r="O83">
        <v>4.7619047620000003</v>
      </c>
      <c r="P83">
        <v>14.502000000000001</v>
      </c>
      <c r="Q83">
        <v>6.4</v>
      </c>
    </row>
    <row r="84" spans="1:17" x14ac:dyDescent="0.3">
      <c r="A84" t="s">
        <v>118</v>
      </c>
      <c r="B84" t="s">
        <v>25</v>
      </c>
      <c r="C84" t="s">
        <v>26</v>
      </c>
      <c r="D84" t="s">
        <v>27</v>
      </c>
      <c r="E84" t="s">
        <v>31</v>
      </c>
      <c r="F84" t="s">
        <v>44</v>
      </c>
      <c r="G84">
        <v>19.25</v>
      </c>
      <c r="H84">
        <v>8</v>
      </c>
      <c r="I84">
        <v>7.7</v>
      </c>
      <c r="J84">
        <v>161.69999999999999</v>
      </c>
      <c r="K84" s="1">
        <v>43488</v>
      </c>
      <c r="L84" s="2">
        <v>0.77569444444444446</v>
      </c>
      <c r="M84" t="s">
        <v>23</v>
      </c>
      <c r="N84">
        <v>154</v>
      </c>
      <c r="O84">
        <v>4.7619047620000003</v>
      </c>
      <c r="P84">
        <v>7.7</v>
      </c>
      <c r="Q84">
        <v>6.6</v>
      </c>
    </row>
    <row r="85" spans="1:17" x14ac:dyDescent="0.3">
      <c r="A85" t="s">
        <v>119</v>
      </c>
      <c r="B85" t="s">
        <v>25</v>
      </c>
      <c r="C85" t="s">
        <v>26</v>
      </c>
      <c r="D85" t="s">
        <v>20</v>
      </c>
      <c r="E85" t="s">
        <v>21</v>
      </c>
      <c r="F85" t="s">
        <v>44</v>
      </c>
      <c r="G85">
        <v>80.36</v>
      </c>
      <c r="H85">
        <v>4</v>
      </c>
      <c r="I85">
        <v>16.071999999999999</v>
      </c>
      <c r="J85">
        <v>337.512</v>
      </c>
      <c r="K85" s="1">
        <v>43519</v>
      </c>
      <c r="L85" s="2">
        <v>0.78125</v>
      </c>
      <c r="M85" t="s">
        <v>33</v>
      </c>
      <c r="N85">
        <v>321.44</v>
      </c>
      <c r="O85">
        <v>4.7619047620000003</v>
      </c>
      <c r="P85">
        <v>16.071999999999999</v>
      </c>
      <c r="Q85">
        <v>8.3000000000000007</v>
      </c>
    </row>
    <row r="86" spans="1:17" x14ac:dyDescent="0.3">
      <c r="A86" t="s">
        <v>120</v>
      </c>
      <c r="B86" t="s">
        <v>25</v>
      </c>
      <c r="C86" t="s">
        <v>26</v>
      </c>
      <c r="D86" t="s">
        <v>20</v>
      </c>
      <c r="E86" t="s">
        <v>31</v>
      </c>
      <c r="F86" t="s">
        <v>36</v>
      </c>
      <c r="G86">
        <v>48.91</v>
      </c>
      <c r="H86">
        <v>5</v>
      </c>
      <c r="I86">
        <v>12.227499999999999</v>
      </c>
      <c r="J86">
        <v>256.77749999999997</v>
      </c>
      <c r="K86" s="1">
        <v>43533</v>
      </c>
      <c r="L86" s="2">
        <v>0.4284722222222222</v>
      </c>
      <c r="M86" t="s">
        <v>29</v>
      </c>
      <c r="N86">
        <v>244.55</v>
      </c>
      <c r="O86">
        <v>4.7619047620000003</v>
      </c>
      <c r="P86">
        <v>12.227499999999999</v>
      </c>
      <c r="Q86">
        <v>6.6</v>
      </c>
    </row>
    <row r="87" spans="1:17" x14ac:dyDescent="0.3">
      <c r="A87" t="s">
        <v>121</v>
      </c>
      <c r="B87" t="s">
        <v>25</v>
      </c>
      <c r="C87" t="s">
        <v>26</v>
      </c>
      <c r="D87" t="s">
        <v>27</v>
      </c>
      <c r="E87" t="s">
        <v>21</v>
      </c>
      <c r="F87" t="s">
        <v>36</v>
      </c>
      <c r="G87">
        <v>83.06</v>
      </c>
      <c r="H87">
        <v>7</v>
      </c>
      <c r="I87">
        <v>29.071000000000002</v>
      </c>
      <c r="J87">
        <v>610.49099999999999</v>
      </c>
      <c r="K87" s="1">
        <v>43529</v>
      </c>
      <c r="L87" s="2">
        <v>0.60486111111111118</v>
      </c>
      <c r="M87" t="s">
        <v>23</v>
      </c>
      <c r="N87">
        <v>581.41999999999996</v>
      </c>
      <c r="O87">
        <v>4.7619047620000003</v>
      </c>
      <c r="P87">
        <v>29.071000000000002</v>
      </c>
      <c r="Q87">
        <v>4</v>
      </c>
    </row>
    <row r="88" spans="1:17" x14ac:dyDescent="0.3">
      <c r="A88" t="s">
        <v>122</v>
      </c>
      <c r="B88" t="s">
        <v>25</v>
      </c>
      <c r="C88" t="s">
        <v>26</v>
      </c>
      <c r="D88" t="s">
        <v>27</v>
      </c>
      <c r="E88" t="s">
        <v>31</v>
      </c>
      <c r="F88" t="s">
        <v>46</v>
      </c>
      <c r="G88">
        <v>76.52</v>
      </c>
      <c r="H88">
        <v>5</v>
      </c>
      <c r="I88">
        <v>19.13</v>
      </c>
      <c r="J88">
        <v>401.73</v>
      </c>
      <c r="K88" s="1">
        <v>43549</v>
      </c>
      <c r="L88" s="2">
        <v>0.43263888888888885</v>
      </c>
      <c r="M88" t="s">
        <v>29</v>
      </c>
      <c r="N88">
        <v>382.6</v>
      </c>
      <c r="O88">
        <v>4.7619047620000003</v>
      </c>
      <c r="P88">
        <v>19.13</v>
      </c>
      <c r="Q88">
        <v>9.9</v>
      </c>
    </row>
    <row r="89" spans="1:17" x14ac:dyDescent="0.3">
      <c r="A89" t="s">
        <v>123</v>
      </c>
      <c r="B89" t="s">
        <v>18</v>
      </c>
      <c r="C89" t="s">
        <v>19</v>
      </c>
      <c r="D89" t="s">
        <v>20</v>
      </c>
      <c r="E89" t="s">
        <v>31</v>
      </c>
      <c r="F89" t="s">
        <v>44</v>
      </c>
      <c r="G89">
        <v>49.38</v>
      </c>
      <c r="H89">
        <v>7</v>
      </c>
      <c r="I89">
        <v>17.283000000000001</v>
      </c>
      <c r="J89">
        <v>362.94299999999998</v>
      </c>
      <c r="K89" s="1">
        <v>43551</v>
      </c>
      <c r="L89" s="2">
        <v>0.85763888888888884</v>
      </c>
      <c r="M89" t="s">
        <v>33</v>
      </c>
      <c r="N89">
        <v>345.66</v>
      </c>
      <c r="O89">
        <v>4.7619047620000003</v>
      </c>
      <c r="P89">
        <v>17.283000000000001</v>
      </c>
      <c r="Q89">
        <v>7.3</v>
      </c>
    </row>
    <row r="90" spans="1:17" x14ac:dyDescent="0.3">
      <c r="A90" t="s">
        <v>124</v>
      </c>
      <c r="B90" t="s">
        <v>18</v>
      </c>
      <c r="C90" t="s">
        <v>19</v>
      </c>
      <c r="D90" t="s">
        <v>27</v>
      </c>
      <c r="E90" t="s">
        <v>31</v>
      </c>
      <c r="F90" t="s">
        <v>36</v>
      </c>
      <c r="G90">
        <v>42.47</v>
      </c>
      <c r="H90">
        <v>1</v>
      </c>
      <c r="I90">
        <v>2.1234999999999999</v>
      </c>
      <c r="J90">
        <v>44.593499999999999</v>
      </c>
      <c r="K90" s="1">
        <v>43467</v>
      </c>
      <c r="L90" s="2">
        <v>0.70624999999999993</v>
      </c>
      <c r="M90" t="s">
        <v>29</v>
      </c>
      <c r="N90">
        <v>42.47</v>
      </c>
      <c r="O90">
        <v>4.7619047620000003</v>
      </c>
      <c r="P90">
        <v>2.1234999999999999</v>
      </c>
      <c r="Q90">
        <v>5.7</v>
      </c>
    </row>
    <row r="91" spans="1:17" x14ac:dyDescent="0.3">
      <c r="A91" t="s">
        <v>125</v>
      </c>
      <c r="B91" t="s">
        <v>42</v>
      </c>
      <c r="C91" t="s">
        <v>43</v>
      </c>
      <c r="D91" t="s">
        <v>27</v>
      </c>
      <c r="E91" t="s">
        <v>21</v>
      </c>
      <c r="F91" t="s">
        <v>22</v>
      </c>
      <c r="G91">
        <v>76.989999999999995</v>
      </c>
      <c r="H91">
        <v>6</v>
      </c>
      <c r="I91">
        <v>23.097000000000001</v>
      </c>
      <c r="J91">
        <v>485.03699999999998</v>
      </c>
      <c r="K91" s="1">
        <v>43523</v>
      </c>
      <c r="L91" s="2">
        <v>0.74652777777777779</v>
      </c>
      <c r="M91" t="s">
        <v>29</v>
      </c>
      <c r="N91">
        <v>461.94</v>
      </c>
      <c r="O91">
        <v>4.7619047620000003</v>
      </c>
      <c r="P91">
        <v>23.097000000000001</v>
      </c>
      <c r="Q91">
        <v>6.1</v>
      </c>
    </row>
    <row r="92" spans="1:17" x14ac:dyDescent="0.3">
      <c r="A92" t="s">
        <v>126</v>
      </c>
      <c r="B92" t="s">
        <v>25</v>
      </c>
      <c r="C92" t="s">
        <v>26</v>
      </c>
      <c r="D92" t="s">
        <v>20</v>
      </c>
      <c r="E92" t="s">
        <v>21</v>
      </c>
      <c r="F92" t="s">
        <v>32</v>
      </c>
      <c r="G92">
        <v>47.38</v>
      </c>
      <c r="H92">
        <v>4</v>
      </c>
      <c r="I92">
        <v>9.4760000000000009</v>
      </c>
      <c r="J92">
        <v>198.99600000000001</v>
      </c>
      <c r="K92" s="1">
        <v>43488</v>
      </c>
      <c r="L92" s="2">
        <v>0.43402777777777773</v>
      </c>
      <c r="M92" t="s">
        <v>29</v>
      </c>
      <c r="N92">
        <v>189.52</v>
      </c>
      <c r="O92">
        <v>4.7619047620000003</v>
      </c>
      <c r="P92">
        <v>9.4760000000000009</v>
      </c>
      <c r="Q92">
        <v>7.1</v>
      </c>
    </row>
    <row r="93" spans="1:17" x14ac:dyDescent="0.3">
      <c r="A93" t="s">
        <v>127</v>
      </c>
      <c r="B93" t="s">
        <v>25</v>
      </c>
      <c r="C93" t="s">
        <v>26</v>
      </c>
      <c r="D93" t="s">
        <v>27</v>
      </c>
      <c r="E93" t="s">
        <v>21</v>
      </c>
      <c r="F93" t="s">
        <v>36</v>
      </c>
      <c r="G93">
        <v>44.86</v>
      </c>
      <c r="H93">
        <v>10</v>
      </c>
      <c r="I93">
        <v>22.43</v>
      </c>
      <c r="J93">
        <v>471.03</v>
      </c>
      <c r="K93" s="1">
        <v>43491</v>
      </c>
      <c r="L93" s="2">
        <v>0.82916666666666661</v>
      </c>
      <c r="M93" t="s">
        <v>23</v>
      </c>
      <c r="N93">
        <v>448.6</v>
      </c>
      <c r="O93">
        <v>4.7619047620000003</v>
      </c>
      <c r="P93">
        <v>22.43</v>
      </c>
      <c r="Q93">
        <v>8.1999999999999993</v>
      </c>
    </row>
    <row r="94" spans="1:17" x14ac:dyDescent="0.3">
      <c r="A94" t="s">
        <v>128</v>
      </c>
      <c r="B94" t="s">
        <v>18</v>
      </c>
      <c r="C94" t="s">
        <v>19</v>
      </c>
      <c r="D94" t="s">
        <v>20</v>
      </c>
      <c r="E94" t="s">
        <v>21</v>
      </c>
      <c r="F94" t="s">
        <v>36</v>
      </c>
      <c r="G94">
        <v>21.98</v>
      </c>
      <c r="H94">
        <v>7</v>
      </c>
      <c r="I94">
        <v>7.6929999999999996</v>
      </c>
      <c r="J94">
        <v>161.553</v>
      </c>
      <c r="K94" s="1">
        <v>43475</v>
      </c>
      <c r="L94" s="2">
        <v>0.6958333333333333</v>
      </c>
      <c r="M94" t="s">
        <v>23</v>
      </c>
      <c r="N94">
        <v>153.86000000000001</v>
      </c>
      <c r="O94">
        <v>4.7619047620000003</v>
      </c>
      <c r="P94">
        <v>7.6929999999999996</v>
      </c>
      <c r="Q94">
        <v>5.0999999999999996</v>
      </c>
    </row>
    <row r="95" spans="1:17" x14ac:dyDescent="0.3">
      <c r="A95" t="s">
        <v>129</v>
      </c>
      <c r="B95" t="s">
        <v>42</v>
      </c>
      <c r="C95" t="s">
        <v>43</v>
      </c>
      <c r="D95" t="s">
        <v>20</v>
      </c>
      <c r="E95" t="s">
        <v>31</v>
      </c>
      <c r="F95" t="s">
        <v>22</v>
      </c>
      <c r="G95">
        <v>64.36</v>
      </c>
      <c r="H95">
        <v>9</v>
      </c>
      <c r="I95">
        <v>28.962</v>
      </c>
      <c r="J95">
        <v>608.202</v>
      </c>
      <c r="K95" s="1">
        <v>43536</v>
      </c>
      <c r="L95" s="2">
        <v>0.50624999999999998</v>
      </c>
      <c r="M95" t="s">
        <v>33</v>
      </c>
      <c r="N95">
        <v>579.24</v>
      </c>
      <c r="O95">
        <v>4.7619047620000003</v>
      </c>
      <c r="P95">
        <v>28.962</v>
      </c>
      <c r="Q95">
        <v>8.6</v>
      </c>
    </row>
    <row r="96" spans="1:17" x14ac:dyDescent="0.3">
      <c r="A96" t="s">
        <v>130</v>
      </c>
      <c r="B96" t="s">
        <v>25</v>
      </c>
      <c r="C96" t="s">
        <v>26</v>
      </c>
      <c r="D96" t="s">
        <v>27</v>
      </c>
      <c r="E96" t="s">
        <v>31</v>
      </c>
      <c r="F96" t="s">
        <v>22</v>
      </c>
      <c r="G96">
        <v>89.75</v>
      </c>
      <c r="H96">
        <v>1</v>
      </c>
      <c r="I96">
        <v>4.4874999999999998</v>
      </c>
      <c r="J96">
        <v>94.237499999999997</v>
      </c>
      <c r="K96" s="1">
        <v>43502</v>
      </c>
      <c r="L96" s="2">
        <v>0.83680555555555547</v>
      </c>
      <c r="M96" t="s">
        <v>33</v>
      </c>
      <c r="N96">
        <v>89.75</v>
      </c>
      <c r="O96">
        <v>4.7619047620000003</v>
      </c>
      <c r="P96">
        <v>4.4874999999999998</v>
      </c>
      <c r="Q96">
        <v>6.6</v>
      </c>
    </row>
    <row r="97" spans="1:17" x14ac:dyDescent="0.3">
      <c r="A97" t="s">
        <v>131</v>
      </c>
      <c r="B97" t="s">
        <v>18</v>
      </c>
      <c r="C97" t="s">
        <v>19</v>
      </c>
      <c r="D97" t="s">
        <v>27</v>
      </c>
      <c r="E97" t="s">
        <v>31</v>
      </c>
      <c r="F97" t="s">
        <v>28</v>
      </c>
      <c r="G97">
        <v>97.16</v>
      </c>
      <c r="H97">
        <v>1</v>
      </c>
      <c r="I97">
        <v>4.8579999999999997</v>
      </c>
      <c r="J97">
        <v>102.018</v>
      </c>
      <c r="K97" s="1">
        <v>43532</v>
      </c>
      <c r="L97" s="2">
        <v>0.85972222222222217</v>
      </c>
      <c r="M97" t="s">
        <v>23</v>
      </c>
      <c r="N97">
        <v>97.16</v>
      </c>
      <c r="O97">
        <v>4.7619047620000003</v>
      </c>
      <c r="P97">
        <v>4.8579999999999997</v>
      </c>
      <c r="Q97">
        <v>7.2</v>
      </c>
    </row>
    <row r="98" spans="1:17" x14ac:dyDescent="0.3">
      <c r="A98" t="s">
        <v>132</v>
      </c>
      <c r="B98" t="s">
        <v>42</v>
      </c>
      <c r="C98" t="s">
        <v>43</v>
      </c>
      <c r="D98" t="s">
        <v>27</v>
      </c>
      <c r="E98" t="s">
        <v>31</v>
      </c>
      <c r="F98" t="s">
        <v>22</v>
      </c>
      <c r="G98">
        <v>87.87</v>
      </c>
      <c r="H98">
        <v>10</v>
      </c>
      <c r="I98">
        <v>43.935000000000002</v>
      </c>
      <c r="J98">
        <v>922.63499999999999</v>
      </c>
      <c r="K98" s="1">
        <v>43553</v>
      </c>
      <c r="L98" s="2">
        <v>0.43402777777777773</v>
      </c>
      <c r="M98" t="s">
        <v>23</v>
      </c>
      <c r="N98">
        <v>878.7</v>
      </c>
      <c r="O98">
        <v>4.7619047620000003</v>
      </c>
      <c r="P98">
        <v>43.935000000000002</v>
      </c>
      <c r="Q98">
        <v>5.0999999999999996</v>
      </c>
    </row>
    <row r="99" spans="1:17" x14ac:dyDescent="0.3">
      <c r="A99" t="s">
        <v>133</v>
      </c>
      <c r="B99" t="s">
        <v>25</v>
      </c>
      <c r="C99" t="s">
        <v>26</v>
      </c>
      <c r="D99" t="s">
        <v>27</v>
      </c>
      <c r="E99" t="s">
        <v>21</v>
      </c>
      <c r="F99" t="s">
        <v>28</v>
      </c>
      <c r="G99">
        <v>12.45</v>
      </c>
      <c r="H99">
        <v>6</v>
      </c>
      <c r="I99">
        <v>3.7349999999999999</v>
      </c>
      <c r="J99">
        <v>78.435000000000002</v>
      </c>
      <c r="K99" s="1">
        <v>43505</v>
      </c>
      <c r="L99" s="2">
        <v>0.5493055555555556</v>
      </c>
      <c r="M99" t="s">
        <v>29</v>
      </c>
      <c r="N99">
        <v>74.7</v>
      </c>
      <c r="O99">
        <v>4.7619047620000003</v>
      </c>
      <c r="P99">
        <v>3.7349999999999999</v>
      </c>
      <c r="Q99">
        <v>4.0999999999999996</v>
      </c>
    </row>
    <row r="100" spans="1:17" x14ac:dyDescent="0.3">
      <c r="A100" t="s">
        <v>134</v>
      </c>
      <c r="B100" t="s">
        <v>18</v>
      </c>
      <c r="C100" t="s">
        <v>19</v>
      </c>
      <c r="D100" t="s">
        <v>27</v>
      </c>
      <c r="E100" t="s">
        <v>31</v>
      </c>
      <c r="F100" t="s">
        <v>44</v>
      </c>
      <c r="G100">
        <v>52.75</v>
      </c>
      <c r="H100">
        <v>3</v>
      </c>
      <c r="I100">
        <v>7.9124999999999996</v>
      </c>
      <c r="J100">
        <v>166.16249999999999</v>
      </c>
      <c r="K100" s="1">
        <v>43547</v>
      </c>
      <c r="L100" s="2">
        <v>0.42777777777777781</v>
      </c>
      <c r="M100" t="s">
        <v>23</v>
      </c>
      <c r="N100">
        <v>158.25</v>
      </c>
      <c r="O100">
        <v>4.7619047620000003</v>
      </c>
      <c r="P100">
        <v>7.9124999999999996</v>
      </c>
      <c r="Q100">
        <v>9.3000000000000007</v>
      </c>
    </row>
    <row r="101" spans="1:17" x14ac:dyDescent="0.3">
      <c r="A101" t="s">
        <v>135</v>
      </c>
      <c r="B101" t="s">
        <v>42</v>
      </c>
      <c r="C101" t="s">
        <v>43</v>
      </c>
      <c r="D101" t="s">
        <v>27</v>
      </c>
      <c r="E101" t="s">
        <v>31</v>
      </c>
      <c r="F101" t="s">
        <v>32</v>
      </c>
      <c r="G101">
        <v>82.7</v>
      </c>
      <c r="H101">
        <v>6</v>
      </c>
      <c r="I101">
        <v>24.81</v>
      </c>
      <c r="J101">
        <v>521.01</v>
      </c>
      <c r="K101" s="1">
        <v>43529</v>
      </c>
      <c r="L101" s="2">
        <v>0.7597222222222223</v>
      </c>
      <c r="M101" t="s">
        <v>29</v>
      </c>
      <c r="N101">
        <v>496.2</v>
      </c>
      <c r="O101">
        <v>4.7619047620000003</v>
      </c>
      <c r="P101">
        <v>24.81</v>
      </c>
      <c r="Q101">
        <v>7.4</v>
      </c>
    </row>
    <row r="102" spans="1:17" x14ac:dyDescent="0.3">
      <c r="A102" t="s">
        <v>136</v>
      </c>
      <c r="B102" t="s">
        <v>25</v>
      </c>
      <c r="C102" t="s">
        <v>26</v>
      </c>
      <c r="D102" t="s">
        <v>20</v>
      </c>
      <c r="E102" t="s">
        <v>31</v>
      </c>
      <c r="F102" t="s">
        <v>46</v>
      </c>
      <c r="G102">
        <v>48.71</v>
      </c>
      <c r="H102">
        <v>1</v>
      </c>
      <c r="I102">
        <v>2.4355000000000002</v>
      </c>
      <c r="J102">
        <v>51.145499999999998</v>
      </c>
      <c r="K102" s="1">
        <v>43550</v>
      </c>
      <c r="L102" s="2">
        <v>0.80555555555555547</v>
      </c>
      <c r="M102" t="s">
        <v>29</v>
      </c>
      <c r="N102">
        <v>48.71</v>
      </c>
      <c r="O102">
        <v>4.7619047620000003</v>
      </c>
      <c r="P102">
        <v>2.4355000000000002</v>
      </c>
      <c r="Q102">
        <v>4.0999999999999996</v>
      </c>
    </row>
    <row r="103" spans="1:17" x14ac:dyDescent="0.3">
      <c r="A103" t="s">
        <v>137</v>
      </c>
      <c r="B103" t="s">
        <v>25</v>
      </c>
      <c r="C103" t="s">
        <v>26</v>
      </c>
      <c r="D103" t="s">
        <v>27</v>
      </c>
      <c r="E103" t="s">
        <v>31</v>
      </c>
      <c r="F103" t="s">
        <v>46</v>
      </c>
      <c r="G103">
        <v>78.55</v>
      </c>
      <c r="H103">
        <v>9</v>
      </c>
      <c r="I103">
        <v>35.347499999999997</v>
      </c>
      <c r="J103">
        <v>742.29750000000001</v>
      </c>
      <c r="K103" s="1">
        <v>43525</v>
      </c>
      <c r="L103" s="2">
        <v>0.55694444444444446</v>
      </c>
      <c r="M103" t="s">
        <v>29</v>
      </c>
      <c r="N103">
        <v>706.95</v>
      </c>
      <c r="O103">
        <v>4.7619047620000003</v>
      </c>
      <c r="P103">
        <v>35.347499999999997</v>
      </c>
      <c r="Q103">
        <v>7.2</v>
      </c>
    </row>
    <row r="104" spans="1:17" x14ac:dyDescent="0.3">
      <c r="A104" t="s">
        <v>138</v>
      </c>
      <c r="B104" t="s">
        <v>25</v>
      </c>
      <c r="C104" t="s">
        <v>26</v>
      </c>
      <c r="D104" t="s">
        <v>27</v>
      </c>
      <c r="E104" t="s">
        <v>21</v>
      </c>
      <c r="F104" t="s">
        <v>28</v>
      </c>
      <c r="G104">
        <v>23.07</v>
      </c>
      <c r="H104">
        <v>9</v>
      </c>
      <c r="I104">
        <v>10.381500000000001</v>
      </c>
      <c r="J104">
        <v>218.01150000000001</v>
      </c>
      <c r="K104" s="1">
        <v>43497</v>
      </c>
      <c r="L104" s="2">
        <v>0.4770833333333333</v>
      </c>
      <c r="M104" t="s">
        <v>29</v>
      </c>
      <c r="N104">
        <v>207.63</v>
      </c>
      <c r="O104">
        <v>4.7619047620000003</v>
      </c>
      <c r="P104">
        <v>10.381500000000001</v>
      </c>
      <c r="Q104">
        <v>4.9000000000000004</v>
      </c>
    </row>
    <row r="105" spans="1:17" x14ac:dyDescent="0.3">
      <c r="A105" t="s">
        <v>139</v>
      </c>
      <c r="B105" t="s">
        <v>18</v>
      </c>
      <c r="C105" t="s">
        <v>19</v>
      </c>
      <c r="D105" t="s">
        <v>27</v>
      </c>
      <c r="E105" t="s">
        <v>31</v>
      </c>
      <c r="F105" t="s">
        <v>44</v>
      </c>
      <c r="G105">
        <v>58.26</v>
      </c>
      <c r="H105">
        <v>6</v>
      </c>
      <c r="I105">
        <v>17.478000000000002</v>
      </c>
      <c r="J105">
        <v>367.03800000000001</v>
      </c>
      <c r="K105" s="1">
        <v>43552</v>
      </c>
      <c r="L105" s="2">
        <v>0.6972222222222223</v>
      </c>
      <c r="M105" t="s">
        <v>29</v>
      </c>
      <c r="N105">
        <v>349.56</v>
      </c>
      <c r="O105">
        <v>4.7619047620000003</v>
      </c>
      <c r="P105">
        <v>17.478000000000002</v>
      </c>
      <c r="Q105">
        <v>9.9</v>
      </c>
    </row>
    <row r="106" spans="1:17" x14ac:dyDescent="0.3">
      <c r="A106" t="s">
        <v>140</v>
      </c>
      <c r="B106" t="s">
        <v>42</v>
      </c>
      <c r="C106" t="s">
        <v>43</v>
      </c>
      <c r="D106" t="s">
        <v>27</v>
      </c>
      <c r="E106" t="s">
        <v>31</v>
      </c>
      <c r="F106" t="s">
        <v>22</v>
      </c>
      <c r="G106">
        <v>30.35</v>
      </c>
      <c r="H106">
        <v>7</v>
      </c>
      <c r="I106">
        <v>10.6225</v>
      </c>
      <c r="J106">
        <v>223.07249999999999</v>
      </c>
      <c r="K106" s="1">
        <v>43543</v>
      </c>
      <c r="L106" s="2">
        <v>0.7631944444444444</v>
      </c>
      <c r="M106" t="s">
        <v>29</v>
      </c>
      <c r="N106">
        <v>212.45</v>
      </c>
      <c r="O106">
        <v>4.7619047620000003</v>
      </c>
      <c r="P106">
        <v>10.6225</v>
      </c>
      <c r="Q106">
        <v>8</v>
      </c>
    </row>
    <row r="107" spans="1:17" x14ac:dyDescent="0.3">
      <c r="A107" t="s">
        <v>141</v>
      </c>
      <c r="B107" t="s">
        <v>18</v>
      </c>
      <c r="C107" t="s">
        <v>19</v>
      </c>
      <c r="D107" t="s">
        <v>20</v>
      </c>
      <c r="E107" t="s">
        <v>31</v>
      </c>
      <c r="F107" t="s">
        <v>28</v>
      </c>
      <c r="G107">
        <v>88.67</v>
      </c>
      <c r="H107">
        <v>10</v>
      </c>
      <c r="I107">
        <v>44.335000000000001</v>
      </c>
      <c r="J107">
        <v>931.03499999999997</v>
      </c>
      <c r="K107" s="1">
        <v>43477</v>
      </c>
      <c r="L107" s="2">
        <v>0.61805555555555558</v>
      </c>
      <c r="M107" t="s">
        <v>23</v>
      </c>
      <c r="N107">
        <v>886.7</v>
      </c>
      <c r="O107">
        <v>4.7619047620000003</v>
      </c>
      <c r="P107">
        <v>44.335000000000001</v>
      </c>
      <c r="Q107">
        <v>7.3</v>
      </c>
    </row>
    <row r="108" spans="1:17" x14ac:dyDescent="0.3">
      <c r="A108" t="s">
        <v>142</v>
      </c>
      <c r="B108" t="s">
        <v>25</v>
      </c>
      <c r="C108" t="s">
        <v>26</v>
      </c>
      <c r="D108" t="s">
        <v>27</v>
      </c>
      <c r="E108" t="s">
        <v>31</v>
      </c>
      <c r="F108" t="s">
        <v>46</v>
      </c>
      <c r="G108">
        <v>27.38</v>
      </c>
      <c r="H108">
        <v>6</v>
      </c>
      <c r="I108">
        <v>8.2140000000000004</v>
      </c>
      <c r="J108">
        <v>172.494</v>
      </c>
      <c r="K108" s="1">
        <v>43470</v>
      </c>
      <c r="L108" s="2">
        <v>0.87083333333333324</v>
      </c>
      <c r="M108" t="s">
        <v>33</v>
      </c>
      <c r="N108">
        <v>164.28</v>
      </c>
      <c r="O108">
        <v>4.7619047620000003</v>
      </c>
      <c r="P108">
        <v>8.2140000000000004</v>
      </c>
      <c r="Q108">
        <v>7.9</v>
      </c>
    </row>
    <row r="109" spans="1:17" x14ac:dyDescent="0.3">
      <c r="A109" t="s">
        <v>143</v>
      </c>
      <c r="B109" t="s">
        <v>18</v>
      </c>
      <c r="C109" t="s">
        <v>19</v>
      </c>
      <c r="D109" t="s">
        <v>27</v>
      </c>
      <c r="E109" t="s">
        <v>31</v>
      </c>
      <c r="F109" t="s">
        <v>36</v>
      </c>
      <c r="G109">
        <v>62.13</v>
      </c>
      <c r="H109">
        <v>6</v>
      </c>
      <c r="I109">
        <v>18.638999999999999</v>
      </c>
      <c r="J109">
        <v>391.41899999999998</v>
      </c>
      <c r="K109" s="1">
        <v>43546</v>
      </c>
      <c r="L109" s="2">
        <v>0.84652777777777777</v>
      </c>
      <c r="M109" t="s">
        <v>29</v>
      </c>
      <c r="N109">
        <v>372.78</v>
      </c>
      <c r="O109">
        <v>4.7619047620000003</v>
      </c>
      <c r="P109">
        <v>18.638999999999999</v>
      </c>
      <c r="Q109">
        <v>7.4</v>
      </c>
    </row>
    <row r="110" spans="1:17" x14ac:dyDescent="0.3">
      <c r="A110" t="s">
        <v>144</v>
      </c>
      <c r="B110" t="s">
        <v>25</v>
      </c>
      <c r="C110" t="s">
        <v>26</v>
      </c>
      <c r="D110" t="s">
        <v>27</v>
      </c>
      <c r="E110" t="s">
        <v>21</v>
      </c>
      <c r="F110" t="s">
        <v>44</v>
      </c>
      <c r="G110">
        <v>33.979999999999997</v>
      </c>
      <c r="H110">
        <v>9</v>
      </c>
      <c r="I110">
        <v>15.291</v>
      </c>
      <c r="J110">
        <v>321.11099999999999</v>
      </c>
      <c r="K110" s="1">
        <v>43548</v>
      </c>
      <c r="L110" s="2">
        <v>0.4465277777777778</v>
      </c>
      <c r="M110" t="s">
        <v>29</v>
      </c>
      <c r="N110">
        <v>305.82</v>
      </c>
      <c r="O110">
        <v>4.7619047620000003</v>
      </c>
      <c r="P110">
        <v>15.291</v>
      </c>
      <c r="Q110">
        <v>4.2</v>
      </c>
    </row>
    <row r="111" spans="1:17" x14ac:dyDescent="0.3">
      <c r="A111" t="s">
        <v>145</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3">
      <c r="A112" t="s">
        <v>146</v>
      </c>
      <c r="B112" t="s">
        <v>42</v>
      </c>
      <c r="C112" t="s">
        <v>43</v>
      </c>
      <c r="D112" t="s">
        <v>20</v>
      </c>
      <c r="E112" t="s">
        <v>21</v>
      </c>
      <c r="F112" t="s">
        <v>36</v>
      </c>
      <c r="G112">
        <v>16.489999999999998</v>
      </c>
      <c r="H112">
        <v>2</v>
      </c>
      <c r="I112">
        <v>1.649</v>
      </c>
      <c r="J112">
        <v>34.628999999999998</v>
      </c>
      <c r="K112" s="1">
        <v>43501</v>
      </c>
      <c r="L112" s="2">
        <v>0.48055555555555557</v>
      </c>
      <c r="M112" t="s">
        <v>23</v>
      </c>
      <c r="N112">
        <v>32.979999999999997</v>
      </c>
      <c r="O112">
        <v>4.7619047620000003</v>
      </c>
      <c r="P112">
        <v>1.649</v>
      </c>
      <c r="Q112">
        <v>4.5999999999999996</v>
      </c>
    </row>
    <row r="113" spans="1:17" x14ac:dyDescent="0.3">
      <c r="A113" t="s">
        <v>147</v>
      </c>
      <c r="B113" t="s">
        <v>25</v>
      </c>
      <c r="C113" t="s">
        <v>26</v>
      </c>
      <c r="D113" t="s">
        <v>20</v>
      </c>
      <c r="E113" t="s">
        <v>21</v>
      </c>
      <c r="F113" t="s">
        <v>22</v>
      </c>
      <c r="G113">
        <v>98.21</v>
      </c>
      <c r="H113">
        <v>3</v>
      </c>
      <c r="I113">
        <v>14.7315</v>
      </c>
      <c r="J113">
        <v>309.36149999999998</v>
      </c>
      <c r="K113" s="1">
        <v>43501</v>
      </c>
      <c r="L113" s="2">
        <v>0.44513888888888892</v>
      </c>
      <c r="M113" t="s">
        <v>33</v>
      </c>
      <c r="N113">
        <v>294.63</v>
      </c>
      <c r="O113">
        <v>4.7619047620000003</v>
      </c>
      <c r="P113">
        <v>14.7315</v>
      </c>
      <c r="Q113">
        <v>7.8</v>
      </c>
    </row>
    <row r="114" spans="1:17" x14ac:dyDescent="0.3">
      <c r="A114" t="s">
        <v>148</v>
      </c>
      <c r="B114" t="s">
        <v>42</v>
      </c>
      <c r="C114" t="s">
        <v>43</v>
      </c>
      <c r="D114" t="s">
        <v>27</v>
      </c>
      <c r="E114" t="s">
        <v>21</v>
      </c>
      <c r="F114" t="s">
        <v>46</v>
      </c>
      <c r="G114">
        <v>72.84</v>
      </c>
      <c r="H114">
        <v>7</v>
      </c>
      <c r="I114">
        <v>25.494</v>
      </c>
      <c r="J114">
        <v>535.37400000000002</v>
      </c>
      <c r="K114" s="1">
        <v>43511</v>
      </c>
      <c r="L114" s="2">
        <v>0.53055555555555556</v>
      </c>
      <c r="M114" t="s">
        <v>29</v>
      </c>
      <c r="N114">
        <v>509.88</v>
      </c>
      <c r="O114">
        <v>4.7619047620000003</v>
      </c>
      <c r="P114">
        <v>25.494</v>
      </c>
      <c r="Q114">
        <v>8.4</v>
      </c>
    </row>
    <row r="115" spans="1:17" x14ac:dyDescent="0.3">
      <c r="A115" t="s">
        <v>149</v>
      </c>
      <c r="B115" t="s">
        <v>18</v>
      </c>
      <c r="C115" t="s">
        <v>19</v>
      </c>
      <c r="D115" t="s">
        <v>20</v>
      </c>
      <c r="E115" t="s">
        <v>31</v>
      </c>
      <c r="F115" t="s">
        <v>32</v>
      </c>
      <c r="G115">
        <v>58.07</v>
      </c>
      <c r="H115">
        <v>9</v>
      </c>
      <c r="I115">
        <v>26.131499999999999</v>
      </c>
      <c r="J115">
        <v>548.76149999999996</v>
      </c>
      <c r="K115" s="1">
        <v>43484</v>
      </c>
      <c r="L115" s="2">
        <v>0.83819444444444446</v>
      </c>
      <c r="M115" t="s">
        <v>23</v>
      </c>
      <c r="N115">
        <v>522.63</v>
      </c>
      <c r="O115">
        <v>4.7619047620000003</v>
      </c>
      <c r="P115">
        <v>26.131499999999999</v>
      </c>
      <c r="Q115">
        <v>4.3</v>
      </c>
    </row>
    <row r="116" spans="1:17" x14ac:dyDescent="0.3">
      <c r="A116" t="s">
        <v>150</v>
      </c>
      <c r="B116" t="s">
        <v>25</v>
      </c>
      <c r="C116" t="s">
        <v>26</v>
      </c>
      <c r="D116" t="s">
        <v>20</v>
      </c>
      <c r="E116" t="s">
        <v>21</v>
      </c>
      <c r="F116" t="s">
        <v>32</v>
      </c>
      <c r="G116">
        <v>80.790000000000006</v>
      </c>
      <c r="H116">
        <v>9</v>
      </c>
      <c r="I116">
        <v>36.355499999999999</v>
      </c>
      <c r="J116">
        <v>763.46550000000002</v>
      </c>
      <c r="K116" s="1">
        <v>43497</v>
      </c>
      <c r="L116" s="2">
        <v>0.85486111111111107</v>
      </c>
      <c r="M116" t="s">
        <v>33</v>
      </c>
      <c r="N116">
        <v>727.11</v>
      </c>
      <c r="O116">
        <v>4.7619047620000003</v>
      </c>
      <c r="P116">
        <v>36.355499999999999</v>
      </c>
      <c r="Q116">
        <v>9.5</v>
      </c>
    </row>
    <row r="117" spans="1:17" x14ac:dyDescent="0.3">
      <c r="A117" t="s">
        <v>151</v>
      </c>
      <c r="B117" t="s">
        <v>25</v>
      </c>
      <c r="C117" t="s">
        <v>26</v>
      </c>
      <c r="D117" t="s">
        <v>27</v>
      </c>
      <c r="E117" t="s">
        <v>21</v>
      </c>
      <c r="F117" t="s">
        <v>46</v>
      </c>
      <c r="G117">
        <v>27.02</v>
      </c>
      <c r="H117">
        <v>3</v>
      </c>
      <c r="I117">
        <v>4.0529999999999999</v>
      </c>
      <c r="J117">
        <v>85.113</v>
      </c>
      <c r="K117" s="1">
        <v>43526</v>
      </c>
      <c r="L117" s="2">
        <v>0.54236111111111118</v>
      </c>
      <c r="M117" t="s">
        <v>33</v>
      </c>
      <c r="N117">
        <v>81.06</v>
      </c>
      <c r="O117">
        <v>4.7619047620000003</v>
      </c>
      <c r="P117">
        <v>4.0529999999999999</v>
      </c>
      <c r="Q117">
        <v>7.1</v>
      </c>
    </row>
    <row r="118" spans="1:17" x14ac:dyDescent="0.3">
      <c r="A118" t="s">
        <v>152</v>
      </c>
      <c r="B118" t="s">
        <v>42</v>
      </c>
      <c r="C118" t="s">
        <v>43</v>
      </c>
      <c r="D118" t="s">
        <v>20</v>
      </c>
      <c r="E118" t="s">
        <v>31</v>
      </c>
      <c r="F118" t="s">
        <v>46</v>
      </c>
      <c r="G118">
        <v>21.94</v>
      </c>
      <c r="H118">
        <v>5</v>
      </c>
      <c r="I118">
        <v>5.4850000000000003</v>
      </c>
      <c r="J118">
        <v>115.185</v>
      </c>
      <c r="K118" s="1">
        <v>43529</v>
      </c>
      <c r="L118" s="2">
        <v>0.52013888888888882</v>
      </c>
      <c r="M118" t="s">
        <v>23</v>
      </c>
      <c r="N118">
        <v>109.7</v>
      </c>
      <c r="O118">
        <v>4.7619047620000003</v>
      </c>
      <c r="P118">
        <v>5.4850000000000003</v>
      </c>
      <c r="Q118">
        <v>5.3</v>
      </c>
    </row>
    <row r="119" spans="1:17" x14ac:dyDescent="0.3">
      <c r="A119" t="s">
        <v>153</v>
      </c>
      <c r="B119" t="s">
        <v>42</v>
      </c>
      <c r="C119" t="s">
        <v>43</v>
      </c>
      <c r="D119" t="s">
        <v>20</v>
      </c>
      <c r="E119" t="s">
        <v>31</v>
      </c>
      <c r="F119" t="s">
        <v>46</v>
      </c>
      <c r="G119">
        <v>51.36</v>
      </c>
      <c r="H119">
        <v>1</v>
      </c>
      <c r="I119">
        <v>2.5680000000000001</v>
      </c>
      <c r="J119">
        <v>53.927999999999997</v>
      </c>
      <c r="K119" s="1">
        <v>43481</v>
      </c>
      <c r="L119" s="2">
        <v>0.6430555555555556</v>
      </c>
      <c r="M119" t="s">
        <v>23</v>
      </c>
      <c r="N119">
        <v>51.36</v>
      </c>
      <c r="O119">
        <v>4.7619047620000003</v>
      </c>
      <c r="P119">
        <v>2.5680000000000001</v>
      </c>
      <c r="Q119">
        <v>5.2</v>
      </c>
    </row>
    <row r="120" spans="1:17" x14ac:dyDescent="0.3">
      <c r="A120" t="s">
        <v>154</v>
      </c>
      <c r="B120" t="s">
        <v>18</v>
      </c>
      <c r="C120" t="s">
        <v>19</v>
      </c>
      <c r="D120" t="s">
        <v>27</v>
      </c>
      <c r="E120" t="s">
        <v>21</v>
      </c>
      <c r="F120" t="s">
        <v>44</v>
      </c>
      <c r="G120">
        <v>10.96</v>
      </c>
      <c r="H120">
        <v>10</v>
      </c>
      <c r="I120">
        <v>5.48</v>
      </c>
      <c r="J120">
        <v>115.08</v>
      </c>
      <c r="K120" s="1">
        <v>43498</v>
      </c>
      <c r="L120" s="2">
        <v>0.8666666666666667</v>
      </c>
      <c r="M120" t="s">
        <v>23</v>
      </c>
      <c r="N120">
        <v>109.6</v>
      </c>
      <c r="O120">
        <v>4.7619047620000003</v>
      </c>
      <c r="P120">
        <v>5.48</v>
      </c>
      <c r="Q120">
        <v>6</v>
      </c>
    </row>
    <row r="121" spans="1:17" x14ac:dyDescent="0.3">
      <c r="A121" t="s">
        <v>155</v>
      </c>
      <c r="B121" t="s">
        <v>42</v>
      </c>
      <c r="C121" t="s">
        <v>43</v>
      </c>
      <c r="D121" t="s">
        <v>27</v>
      </c>
      <c r="E121" t="s">
        <v>31</v>
      </c>
      <c r="F121" t="s">
        <v>32</v>
      </c>
      <c r="G121">
        <v>53.44</v>
      </c>
      <c r="H121">
        <v>2</v>
      </c>
      <c r="I121">
        <v>5.3440000000000003</v>
      </c>
      <c r="J121">
        <v>112.224</v>
      </c>
      <c r="K121" s="1">
        <v>43485</v>
      </c>
      <c r="L121" s="2">
        <v>0.85972222222222217</v>
      </c>
      <c r="M121" t="s">
        <v>23</v>
      </c>
      <c r="N121">
        <v>106.88</v>
      </c>
      <c r="O121">
        <v>4.7619047620000003</v>
      </c>
      <c r="P121">
        <v>5.3440000000000003</v>
      </c>
      <c r="Q121">
        <v>4.0999999999999996</v>
      </c>
    </row>
    <row r="122" spans="1:17" x14ac:dyDescent="0.3">
      <c r="A122" t="s">
        <v>156</v>
      </c>
      <c r="B122" t="s">
        <v>18</v>
      </c>
      <c r="C122" t="s">
        <v>19</v>
      </c>
      <c r="D122" t="s">
        <v>27</v>
      </c>
      <c r="E122" t="s">
        <v>21</v>
      </c>
      <c r="F122" t="s">
        <v>28</v>
      </c>
      <c r="G122">
        <v>99.56</v>
      </c>
      <c r="H122">
        <v>8</v>
      </c>
      <c r="I122">
        <v>39.823999999999998</v>
      </c>
      <c r="J122">
        <v>836.30399999999997</v>
      </c>
      <c r="K122" s="1">
        <v>43510</v>
      </c>
      <c r="L122" s="2">
        <v>0.7104166666666667</v>
      </c>
      <c r="M122" t="s">
        <v>33</v>
      </c>
      <c r="N122">
        <v>796.48</v>
      </c>
      <c r="O122">
        <v>4.7619047620000003</v>
      </c>
      <c r="P122">
        <v>39.823999999999998</v>
      </c>
      <c r="Q122">
        <v>5.2</v>
      </c>
    </row>
    <row r="123" spans="1:17" x14ac:dyDescent="0.3">
      <c r="A123" t="s">
        <v>157</v>
      </c>
      <c r="B123" t="s">
        <v>25</v>
      </c>
      <c r="C123" t="s">
        <v>26</v>
      </c>
      <c r="D123" t="s">
        <v>20</v>
      </c>
      <c r="E123" t="s">
        <v>31</v>
      </c>
      <c r="F123" t="s">
        <v>36</v>
      </c>
      <c r="G123">
        <v>57.12</v>
      </c>
      <c r="H123">
        <v>7</v>
      </c>
      <c r="I123">
        <v>19.992000000000001</v>
      </c>
      <c r="J123">
        <v>419.83199999999999</v>
      </c>
      <c r="K123" s="1">
        <v>43477</v>
      </c>
      <c r="L123" s="2">
        <v>0.50138888888888888</v>
      </c>
      <c r="M123" t="s">
        <v>33</v>
      </c>
      <c r="N123">
        <v>399.84</v>
      </c>
      <c r="O123">
        <v>4.7619047620000003</v>
      </c>
      <c r="P123">
        <v>19.992000000000001</v>
      </c>
      <c r="Q123">
        <v>6.5</v>
      </c>
    </row>
    <row r="124" spans="1:17" x14ac:dyDescent="0.3">
      <c r="A124" t="s">
        <v>158</v>
      </c>
      <c r="B124" t="s">
        <v>42</v>
      </c>
      <c r="C124" t="s">
        <v>43</v>
      </c>
      <c r="D124" t="s">
        <v>20</v>
      </c>
      <c r="E124" t="s">
        <v>31</v>
      </c>
      <c r="F124" t="s">
        <v>36</v>
      </c>
      <c r="G124">
        <v>99.96</v>
      </c>
      <c r="H124">
        <v>9</v>
      </c>
      <c r="I124">
        <v>44.981999999999999</v>
      </c>
      <c r="J124">
        <v>944.62199999999996</v>
      </c>
      <c r="K124" s="1">
        <v>43533</v>
      </c>
      <c r="L124" s="2">
        <v>0.72638888888888886</v>
      </c>
      <c r="M124" t="s">
        <v>33</v>
      </c>
      <c r="N124">
        <v>899.64</v>
      </c>
      <c r="O124">
        <v>4.7619047620000003</v>
      </c>
      <c r="P124">
        <v>44.981999999999999</v>
      </c>
      <c r="Q124">
        <v>4.2</v>
      </c>
    </row>
    <row r="125" spans="1:17" x14ac:dyDescent="0.3">
      <c r="A125" t="s">
        <v>159</v>
      </c>
      <c r="B125" t="s">
        <v>25</v>
      </c>
      <c r="C125" t="s">
        <v>26</v>
      </c>
      <c r="D125" t="s">
        <v>20</v>
      </c>
      <c r="E125" t="s">
        <v>31</v>
      </c>
      <c r="F125" t="s">
        <v>32</v>
      </c>
      <c r="G125">
        <v>63.91</v>
      </c>
      <c r="H125">
        <v>8</v>
      </c>
      <c r="I125">
        <v>25.564</v>
      </c>
      <c r="J125">
        <v>536.84400000000005</v>
      </c>
      <c r="K125" s="1">
        <v>43537</v>
      </c>
      <c r="L125" s="2">
        <v>0.82777777777777783</v>
      </c>
      <c r="M125" t="s">
        <v>33</v>
      </c>
      <c r="N125">
        <v>511.28</v>
      </c>
      <c r="O125">
        <v>4.7619047620000003</v>
      </c>
      <c r="P125">
        <v>25.564</v>
      </c>
      <c r="Q125">
        <v>4.5999999999999996</v>
      </c>
    </row>
    <row r="126" spans="1:17" x14ac:dyDescent="0.3">
      <c r="A126" t="s">
        <v>160</v>
      </c>
      <c r="B126" t="s">
        <v>42</v>
      </c>
      <c r="C126" t="s">
        <v>43</v>
      </c>
      <c r="D126" t="s">
        <v>20</v>
      </c>
      <c r="E126" t="s">
        <v>21</v>
      </c>
      <c r="F126" t="s">
        <v>46</v>
      </c>
      <c r="G126">
        <v>56.47</v>
      </c>
      <c r="H126">
        <v>8</v>
      </c>
      <c r="I126">
        <v>22.588000000000001</v>
      </c>
      <c r="J126">
        <v>474.34800000000001</v>
      </c>
      <c r="K126" s="1">
        <v>43533</v>
      </c>
      <c r="L126" s="2">
        <v>0.62291666666666667</v>
      </c>
      <c r="M126" t="s">
        <v>23</v>
      </c>
      <c r="N126">
        <v>451.76</v>
      </c>
      <c r="O126">
        <v>4.7619047620000003</v>
      </c>
      <c r="P126">
        <v>22.588000000000001</v>
      </c>
      <c r="Q126">
        <v>7.3</v>
      </c>
    </row>
    <row r="127" spans="1:17" x14ac:dyDescent="0.3">
      <c r="A127" t="s">
        <v>161</v>
      </c>
      <c r="B127" t="s">
        <v>18</v>
      </c>
      <c r="C127" t="s">
        <v>19</v>
      </c>
      <c r="D127" t="s">
        <v>27</v>
      </c>
      <c r="E127" t="s">
        <v>21</v>
      </c>
      <c r="F127" t="s">
        <v>32</v>
      </c>
      <c r="G127">
        <v>93.69</v>
      </c>
      <c r="H127">
        <v>7</v>
      </c>
      <c r="I127">
        <v>32.791499999999999</v>
      </c>
      <c r="J127">
        <v>688.62149999999997</v>
      </c>
      <c r="K127" s="1">
        <v>43534</v>
      </c>
      <c r="L127" s="2">
        <v>0.78055555555555556</v>
      </c>
      <c r="M127" t="s">
        <v>33</v>
      </c>
      <c r="N127">
        <v>655.83</v>
      </c>
      <c r="O127">
        <v>4.7619047620000003</v>
      </c>
      <c r="P127">
        <v>32.791499999999999</v>
      </c>
      <c r="Q127">
        <v>4.5</v>
      </c>
    </row>
    <row r="128" spans="1:17" x14ac:dyDescent="0.3">
      <c r="A128" t="s">
        <v>162</v>
      </c>
      <c r="B128" t="s">
        <v>18</v>
      </c>
      <c r="C128" t="s">
        <v>19</v>
      </c>
      <c r="D128" t="s">
        <v>27</v>
      </c>
      <c r="E128" t="s">
        <v>21</v>
      </c>
      <c r="F128" t="s">
        <v>36</v>
      </c>
      <c r="G128">
        <v>32.25</v>
      </c>
      <c r="H128">
        <v>5</v>
      </c>
      <c r="I128">
        <v>8.0625</v>
      </c>
      <c r="J128">
        <v>169.3125</v>
      </c>
      <c r="K128" s="1">
        <v>43492</v>
      </c>
      <c r="L128" s="2">
        <v>0.55972222222222223</v>
      </c>
      <c r="M128" t="s">
        <v>29</v>
      </c>
      <c r="N128">
        <v>161.25</v>
      </c>
      <c r="O128">
        <v>4.7619047620000003</v>
      </c>
      <c r="P128">
        <v>8.0625</v>
      </c>
      <c r="Q128">
        <v>9</v>
      </c>
    </row>
    <row r="129" spans="1:17" x14ac:dyDescent="0.3">
      <c r="A129" t="s">
        <v>163</v>
      </c>
      <c r="B129" t="s">
        <v>25</v>
      </c>
      <c r="C129" t="s">
        <v>26</v>
      </c>
      <c r="D129" t="s">
        <v>27</v>
      </c>
      <c r="E129" t="s">
        <v>21</v>
      </c>
      <c r="F129" t="s">
        <v>46</v>
      </c>
      <c r="G129">
        <v>31.73</v>
      </c>
      <c r="H129">
        <v>9</v>
      </c>
      <c r="I129">
        <v>14.278499999999999</v>
      </c>
      <c r="J129">
        <v>299.8485</v>
      </c>
      <c r="K129" s="1">
        <v>43473</v>
      </c>
      <c r="L129" s="2">
        <v>0.67847222222222225</v>
      </c>
      <c r="M129" t="s">
        <v>33</v>
      </c>
      <c r="N129">
        <v>285.57</v>
      </c>
      <c r="O129">
        <v>4.7619047620000003</v>
      </c>
      <c r="P129">
        <v>14.278499999999999</v>
      </c>
      <c r="Q129">
        <v>5.9</v>
      </c>
    </row>
    <row r="130" spans="1:17" x14ac:dyDescent="0.3">
      <c r="A130" t="s">
        <v>164</v>
      </c>
      <c r="B130" t="s">
        <v>25</v>
      </c>
      <c r="C130" t="s">
        <v>26</v>
      </c>
      <c r="D130" t="s">
        <v>20</v>
      </c>
      <c r="E130" t="s">
        <v>21</v>
      </c>
      <c r="F130" t="s">
        <v>44</v>
      </c>
      <c r="G130">
        <v>68.540000000000006</v>
      </c>
      <c r="H130">
        <v>8</v>
      </c>
      <c r="I130">
        <v>27.416</v>
      </c>
      <c r="J130">
        <v>575.73599999999999</v>
      </c>
      <c r="K130" s="1">
        <v>43473</v>
      </c>
      <c r="L130" s="2">
        <v>0.6645833333333333</v>
      </c>
      <c r="M130" t="s">
        <v>23</v>
      </c>
      <c r="N130">
        <v>548.32000000000005</v>
      </c>
      <c r="O130">
        <v>4.7619047620000003</v>
      </c>
      <c r="P130">
        <v>27.416</v>
      </c>
      <c r="Q130">
        <v>8.5</v>
      </c>
    </row>
    <row r="131" spans="1:17" x14ac:dyDescent="0.3">
      <c r="A131" t="s">
        <v>165</v>
      </c>
      <c r="B131" t="s">
        <v>42</v>
      </c>
      <c r="C131" t="s">
        <v>43</v>
      </c>
      <c r="D131" t="s">
        <v>27</v>
      </c>
      <c r="E131" t="s">
        <v>21</v>
      </c>
      <c r="F131" t="s">
        <v>36</v>
      </c>
      <c r="G131">
        <v>90.28</v>
      </c>
      <c r="H131">
        <v>9</v>
      </c>
      <c r="I131">
        <v>40.625999999999998</v>
      </c>
      <c r="J131">
        <v>853.14599999999996</v>
      </c>
      <c r="K131" s="1">
        <v>43504</v>
      </c>
      <c r="L131" s="2">
        <v>0.46875</v>
      </c>
      <c r="M131" t="s">
        <v>23</v>
      </c>
      <c r="N131">
        <v>812.52</v>
      </c>
      <c r="O131">
        <v>4.7619047620000003</v>
      </c>
      <c r="P131">
        <v>40.625999999999998</v>
      </c>
      <c r="Q131">
        <v>7.2</v>
      </c>
    </row>
    <row r="132" spans="1:17" x14ac:dyDescent="0.3">
      <c r="A132" t="s">
        <v>166</v>
      </c>
      <c r="B132" t="s">
        <v>42</v>
      </c>
      <c r="C132" t="s">
        <v>43</v>
      </c>
      <c r="D132" t="s">
        <v>27</v>
      </c>
      <c r="E132" t="s">
        <v>21</v>
      </c>
      <c r="F132" t="s">
        <v>46</v>
      </c>
      <c r="G132">
        <v>39.619999999999997</v>
      </c>
      <c r="H132">
        <v>7</v>
      </c>
      <c r="I132">
        <v>13.867000000000001</v>
      </c>
      <c r="J132">
        <v>291.20699999999999</v>
      </c>
      <c r="K132" s="1">
        <v>43490</v>
      </c>
      <c r="L132" s="2">
        <v>0.5541666666666667</v>
      </c>
      <c r="M132" t="s">
        <v>29</v>
      </c>
      <c r="N132">
        <v>277.33999999999997</v>
      </c>
      <c r="O132">
        <v>4.7619047620000003</v>
      </c>
      <c r="P132">
        <v>13.867000000000001</v>
      </c>
      <c r="Q132">
        <v>7.5</v>
      </c>
    </row>
    <row r="133" spans="1:17" x14ac:dyDescent="0.3">
      <c r="A133" t="s">
        <v>167</v>
      </c>
      <c r="B133" t="s">
        <v>18</v>
      </c>
      <c r="C133" t="s">
        <v>19</v>
      </c>
      <c r="D133" t="s">
        <v>20</v>
      </c>
      <c r="E133" t="s">
        <v>21</v>
      </c>
      <c r="F133" t="s">
        <v>36</v>
      </c>
      <c r="G133">
        <v>92.13</v>
      </c>
      <c r="H133">
        <v>6</v>
      </c>
      <c r="I133">
        <v>27.638999999999999</v>
      </c>
      <c r="J133">
        <v>580.41899999999998</v>
      </c>
      <c r="K133" s="1">
        <v>43530</v>
      </c>
      <c r="L133" s="2">
        <v>0.8569444444444444</v>
      </c>
      <c r="M133" t="s">
        <v>29</v>
      </c>
      <c r="N133">
        <v>552.78</v>
      </c>
      <c r="O133">
        <v>4.7619047620000003</v>
      </c>
      <c r="P133">
        <v>27.638999999999999</v>
      </c>
      <c r="Q133">
        <v>8.3000000000000007</v>
      </c>
    </row>
    <row r="134" spans="1:17" x14ac:dyDescent="0.3">
      <c r="A134" t="s">
        <v>168</v>
      </c>
      <c r="B134" t="s">
        <v>42</v>
      </c>
      <c r="C134" t="s">
        <v>43</v>
      </c>
      <c r="D134" t="s">
        <v>27</v>
      </c>
      <c r="E134" t="s">
        <v>21</v>
      </c>
      <c r="F134" t="s">
        <v>36</v>
      </c>
      <c r="G134">
        <v>34.840000000000003</v>
      </c>
      <c r="H134">
        <v>4</v>
      </c>
      <c r="I134">
        <v>6.968</v>
      </c>
      <c r="J134">
        <v>146.328</v>
      </c>
      <c r="K134" s="1">
        <v>43506</v>
      </c>
      <c r="L134" s="2">
        <v>0.77500000000000002</v>
      </c>
      <c r="M134" t="s">
        <v>29</v>
      </c>
      <c r="N134">
        <v>139.36000000000001</v>
      </c>
      <c r="O134">
        <v>4.7619047620000003</v>
      </c>
      <c r="P134">
        <v>6.968</v>
      </c>
      <c r="Q134">
        <v>7.4</v>
      </c>
    </row>
    <row r="135" spans="1:17" x14ac:dyDescent="0.3">
      <c r="A135" t="s">
        <v>169</v>
      </c>
      <c r="B135" t="s">
        <v>42</v>
      </c>
      <c r="C135" t="s">
        <v>43</v>
      </c>
      <c r="D135" t="s">
        <v>20</v>
      </c>
      <c r="E135" t="s">
        <v>31</v>
      </c>
      <c r="F135" t="s">
        <v>28</v>
      </c>
      <c r="G135">
        <v>87.45</v>
      </c>
      <c r="H135">
        <v>6</v>
      </c>
      <c r="I135">
        <v>26.234999999999999</v>
      </c>
      <c r="J135">
        <v>550.93499999999995</v>
      </c>
      <c r="K135" s="1">
        <v>43513</v>
      </c>
      <c r="L135" s="2">
        <v>0.61111111111111105</v>
      </c>
      <c r="M135" t="s">
        <v>33</v>
      </c>
      <c r="N135">
        <v>524.70000000000005</v>
      </c>
      <c r="O135">
        <v>4.7619047620000003</v>
      </c>
      <c r="P135">
        <v>26.234999999999999</v>
      </c>
      <c r="Q135">
        <v>8.8000000000000007</v>
      </c>
    </row>
    <row r="136" spans="1:17" x14ac:dyDescent="0.3">
      <c r="A136" t="s">
        <v>170</v>
      </c>
      <c r="B136" t="s">
        <v>25</v>
      </c>
      <c r="C136" t="s">
        <v>26</v>
      </c>
      <c r="D136" t="s">
        <v>27</v>
      </c>
      <c r="E136" t="s">
        <v>21</v>
      </c>
      <c r="F136" t="s">
        <v>22</v>
      </c>
      <c r="G136">
        <v>81.3</v>
      </c>
      <c r="H136">
        <v>6</v>
      </c>
      <c r="I136">
        <v>24.39</v>
      </c>
      <c r="J136">
        <v>512.19000000000005</v>
      </c>
      <c r="K136" s="1">
        <v>43532</v>
      </c>
      <c r="L136" s="2">
        <v>0.69652777777777775</v>
      </c>
      <c r="M136" t="s">
        <v>23</v>
      </c>
      <c r="N136">
        <v>487.8</v>
      </c>
      <c r="O136">
        <v>4.7619047620000003</v>
      </c>
      <c r="P136">
        <v>24.39</v>
      </c>
      <c r="Q136">
        <v>5.3</v>
      </c>
    </row>
    <row r="137" spans="1:17" x14ac:dyDescent="0.3">
      <c r="A137" t="s">
        <v>171</v>
      </c>
      <c r="B137" t="s">
        <v>25</v>
      </c>
      <c r="C137" t="s">
        <v>26</v>
      </c>
      <c r="D137" t="s">
        <v>27</v>
      </c>
      <c r="E137" t="s">
        <v>31</v>
      </c>
      <c r="F137" t="s">
        <v>46</v>
      </c>
      <c r="G137">
        <v>90.22</v>
      </c>
      <c r="H137">
        <v>3</v>
      </c>
      <c r="I137">
        <v>13.532999999999999</v>
      </c>
      <c r="J137">
        <v>284.19299999999998</v>
      </c>
      <c r="K137" s="1">
        <v>43514</v>
      </c>
      <c r="L137" s="2">
        <v>0.81874999999999998</v>
      </c>
      <c r="M137" t="s">
        <v>29</v>
      </c>
      <c r="N137">
        <v>270.66000000000003</v>
      </c>
      <c r="O137">
        <v>4.7619047620000003</v>
      </c>
      <c r="P137">
        <v>13.532999999999999</v>
      </c>
      <c r="Q137">
        <v>6.2</v>
      </c>
    </row>
    <row r="138" spans="1:17" x14ac:dyDescent="0.3">
      <c r="A138" t="s">
        <v>172</v>
      </c>
      <c r="B138" t="s">
        <v>18</v>
      </c>
      <c r="C138" t="s">
        <v>19</v>
      </c>
      <c r="D138" t="s">
        <v>27</v>
      </c>
      <c r="E138" t="s">
        <v>21</v>
      </c>
      <c r="F138" t="s">
        <v>28</v>
      </c>
      <c r="G138">
        <v>26.31</v>
      </c>
      <c r="H138">
        <v>5</v>
      </c>
      <c r="I138">
        <v>6.5774999999999997</v>
      </c>
      <c r="J138">
        <v>138.1275</v>
      </c>
      <c r="K138" s="1">
        <v>43483</v>
      </c>
      <c r="L138" s="2">
        <v>0.87430555555555556</v>
      </c>
      <c r="M138" t="s">
        <v>33</v>
      </c>
      <c r="N138">
        <v>131.55000000000001</v>
      </c>
      <c r="O138">
        <v>4.7619047620000003</v>
      </c>
      <c r="P138">
        <v>6.5774999999999997</v>
      </c>
      <c r="Q138">
        <v>8.8000000000000007</v>
      </c>
    </row>
    <row r="139" spans="1:17" x14ac:dyDescent="0.3">
      <c r="A139" t="s">
        <v>173</v>
      </c>
      <c r="B139" t="s">
        <v>18</v>
      </c>
      <c r="C139" t="s">
        <v>19</v>
      </c>
      <c r="D139" t="s">
        <v>20</v>
      </c>
      <c r="E139" t="s">
        <v>21</v>
      </c>
      <c r="F139" t="s">
        <v>32</v>
      </c>
      <c r="G139">
        <v>34.42</v>
      </c>
      <c r="H139">
        <v>6</v>
      </c>
      <c r="I139">
        <v>10.326000000000001</v>
      </c>
      <c r="J139">
        <v>216.846</v>
      </c>
      <c r="K139" s="1">
        <v>43514</v>
      </c>
      <c r="L139" s="2">
        <v>0.65208333333333335</v>
      </c>
      <c r="M139" t="s">
        <v>29</v>
      </c>
      <c r="N139">
        <v>206.52</v>
      </c>
      <c r="O139">
        <v>4.7619047620000003</v>
      </c>
      <c r="P139">
        <v>10.326000000000001</v>
      </c>
      <c r="Q139">
        <v>9.8000000000000007</v>
      </c>
    </row>
    <row r="140" spans="1:17" x14ac:dyDescent="0.3">
      <c r="A140" t="s">
        <v>174</v>
      </c>
      <c r="B140" t="s">
        <v>42</v>
      </c>
      <c r="C140" t="s">
        <v>43</v>
      </c>
      <c r="D140" t="s">
        <v>27</v>
      </c>
      <c r="E140" t="s">
        <v>31</v>
      </c>
      <c r="F140" t="s">
        <v>36</v>
      </c>
      <c r="G140">
        <v>51.91</v>
      </c>
      <c r="H140">
        <v>10</v>
      </c>
      <c r="I140">
        <v>25.954999999999998</v>
      </c>
      <c r="J140">
        <v>545.05499999999995</v>
      </c>
      <c r="K140" s="1">
        <v>43512</v>
      </c>
      <c r="L140" s="2">
        <v>0.51458333333333328</v>
      </c>
      <c r="M140" t="s">
        <v>29</v>
      </c>
      <c r="N140">
        <v>519.1</v>
      </c>
      <c r="O140">
        <v>4.7619047620000003</v>
      </c>
      <c r="P140">
        <v>25.954999999999998</v>
      </c>
      <c r="Q140">
        <v>8.1999999999999993</v>
      </c>
    </row>
    <row r="141" spans="1:17" x14ac:dyDescent="0.3">
      <c r="A141" t="s">
        <v>175</v>
      </c>
      <c r="B141" t="s">
        <v>18</v>
      </c>
      <c r="C141" t="s">
        <v>19</v>
      </c>
      <c r="D141" t="s">
        <v>27</v>
      </c>
      <c r="E141" t="s">
        <v>31</v>
      </c>
      <c r="F141" t="s">
        <v>36</v>
      </c>
      <c r="G141">
        <v>72.5</v>
      </c>
      <c r="H141">
        <v>8</v>
      </c>
      <c r="I141">
        <v>29</v>
      </c>
      <c r="J141">
        <v>609</v>
      </c>
      <c r="K141" s="1">
        <v>43540</v>
      </c>
      <c r="L141" s="2">
        <v>0.80902777777777779</v>
      </c>
      <c r="M141" t="s">
        <v>23</v>
      </c>
      <c r="N141">
        <v>580</v>
      </c>
      <c r="O141">
        <v>4.7619047620000003</v>
      </c>
      <c r="P141">
        <v>29</v>
      </c>
      <c r="Q141">
        <v>9.1999999999999993</v>
      </c>
    </row>
    <row r="142" spans="1:17" x14ac:dyDescent="0.3">
      <c r="A142" t="s">
        <v>176</v>
      </c>
      <c r="B142" t="s">
        <v>25</v>
      </c>
      <c r="C142" t="s">
        <v>26</v>
      </c>
      <c r="D142" t="s">
        <v>20</v>
      </c>
      <c r="E142" t="s">
        <v>21</v>
      </c>
      <c r="F142" t="s">
        <v>36</v>
      </c>
      <c r="G142">
        <v>89.8</v>
      </c>
      <c r="H142">
        <v>10</v>
      </c>
      <c r="I142">
        <v>44.9</v>
      </c>
      <c r="J142">
        <v>942.9</v>
      </c>
      <c r="K142" s="1">
        <v>43488</v>
      </c>
      <c r="L142" s="2">
        <v>0.54166666666666663</v>
      </c>
      <c r="M142" t="s">
        <v>33</v>
      </c>
      <c r="N142">
        <v>898</v>
      </c>
      <c r="O142">
        <v>4.7619047620000003</v>
      </c>
      <c r="P142">
        <v>44.9</v>
      </c>
      <c r="Q142">
        <v>5.4</v>
      </c>
    </row>
    <row r="143" spans="1:17" x14ac:dyDescent="0.3">
      <c r="A143" t="s">
        <v>177</v>
      </c>
      <c r="B143" t="s">
        <v>25</v>
      </c>
      <c r="C143" t="s">
        <v>26</v>
      </c>
      <c r="D143" t="s">
        <v>20</v>
      </c>
      <c r="E143" t="s">
        <v>31</v>
      </c>
      <c r="F143" t="s">
        <v>22</v>
      </c>
      <c r="G143">
        <v>90.5</v>
      </c>
      <c r="H143">
        <v>10</v>
      </c>
      <c r="I143">
        <v>45.25</v>
      </c>
      <c r="J143">
        <v>950.25</v>
      </c>
      <c r="K143" s="1">
        <v>43490</v>
      </c>
      <c r="L143" s="2">
        <v>0.57500000000000007</v>
      </c>
      <c r="M143" t="s">
        <v>29</v>
      </c>
      <c r="N143">
        <v>905</v>
      </c>
      <c r="O143">
        <v>4.7619047620000003</v>
      </c>
      <c r="P143">
        <v>45.25</v>
      </c>
      <c r="Q143">
        <v>8.1</v>
      </c>
    </row>
    <row r="144" spans="1:17" x14ac:dyDescent="0.3">
      <c r="A144" t="s">
        <v>178</v>
      </c>
      <c r="B144" t="s">
        <v>25</v>
      </c>
      <c r="C144" t="s">
        <v>26</v>
      </c>
      <c r="D144" t="s">
        <v>20</v>
      </c>
      <c r="E144" t="s">
        <v>21</v>
      </c>
      <c r="F144" t="s">
        <v>22</v>
      </c>
      <c r="G144">
        <v>68.599999999999994</v>
      </c>
      <c r="H144">
        <v>10</v>
      </c>
      <c r="I144">
        <v>34.299999999999997</v>
      </c>
      <c r="J144">
        <v>720.3</v>
      </c>
      <c r="K144" s="1">
        <v>43501</v>
      </c>
      <c r="L144" s="2">
        <v>0.83124999999999993</v>
      </c>
      <c r="M144" t="s">
        <v>29</v>
      </c>
      <c r="N144">
        <v>686</v>
      </c>
      <c r="O144">
        <v>4.7619047620000003</v>
      </c>
      <c r="P144">
        <v>34.299999999999997</v>
      </c>
      <c r="Q144">
        <v>9.1</v>
      </c>
    </row>
    <row r="145" spans="1:17" x14ac:dyDescent="0.3">
      <c r="A145" t="s">
        <v>179</v>
      </c>
      <c r="B145" t="s">
        <v>25</v>
      </c>
      <c r="C145" t="s">
        <v>26</v>
      </c>
      <c r="D145" t="s">
        <v>20</v>
      </c>
      <c r="E145" t="s">
        <v>21</v>
      </c>
      <c r="F145" t="s">
        <v>44</v>
      </c>
      <c r="G145">
        <v>30.41</v>
      </c>
      <c r="H145">
        <v>1</v>
      </c>
      <c r="I145">
        <v>1.5205</v>
      </c>
      <c r="J145">
        <v>31.930499999999999</v>
      </c>
      <c r="K145" s="1">
        <v>43518</v>
      </c>
      <c r="L145" s="2">
        <v>0.44166666666666665</v>
      </c>
      <c r="M145" t="s">
        <v>33</v>
      </c>
      <c r="N145">
        <v>30.41</v>
      </c>
      <c r="O145">
        <v>4.7619047620000003</v>
      </c>
      <c r="P145">
        <v>1.5205</v>
      </c>
      <c r="Q145">
        <v>8.4</v>
      </c>
    </row>
    <row r="146" spans="1:17" x14ac:dyDescent="0.3">
      <c r="A146" t="s">
        <v>180</v>
      </c>
      <c r="B146" t="s">
        <v>18</v>
      </c>
      <c r="C146" t="s">
        <v>19</v>
      </c>
      <c r="D146" t="s">
        <v>27</v>
      </c>
      <c r="E146" t="s">
        <v>21</v>
      </c>
      <c r="F146" t="s">
        <v>32</v>
      </c>
      <c r="G146">
        <v>77.95</v>
      </c>
      <c r="H146">
        <v>6</v>
      </c>
      <c r="I146">
        <v>23.385000000000002</v>
      </c>
      <c r="J146">
        <v>491.08499999999998</v>
      </c>
      <c r="K146" s="1">
        <v>43486</v>
      </c>
      <c r="L146" s="2">
        <v>0.69236111111111109</v>
      </c>
      <c r="M146" t="s">
        <v>23</v>
      </c>
      <c r="N146">
        <v>467.7</v>
      </c>
      <c r="O146">
        <v>4.7619047620000003</v>
      </c>
      <c r="P146">
        <v>23.385000000000002</v>
      </c>
      <c r="Q146">
        <v>8</v>
      </c>
    </row>
    <row r="147" spans="1:17" x14ac:dyDescent="0.3">
      <c r="A147" t="s">
        <v>181</v>
      </c>
      <c r="B147" t="s">
        <v>25</v>
      </c>
      <c r="C147" t="s">
        <v>26</v>
      </c>
      <c r="D147" t="s">
        <v>27</v>
      </c>
      <c r="E147" t="s">
        <v>21</v>
      </c>
      <c r="F147" t="s">
        <v>22</v>
      </c>
      <c r="G147">
        <v>46.26</v>
      </c>
      <c r="H147">
        <v>6</v>
      </c>
      <c r="I147">
        <v>13.878</v>
      </c>
      <c r="J147">
        <v>291.43799999999999</v>
      </c>
      <c r="K147" s="1">
        <v>43532</v>
      </c>
      <c r="L147" s="2">
        <v>0.71597222222222223</v>
      </c>
      <c r="M147" t="s">
        <v>33</v>
      </c>
      <c r="N147">
        <v>277.56</v>
      </c>
      <c r="O147">
        <v>4.7619047620000003</v>
      </c>
      <c r="P147">
        <v>13.878</v>
      </c>
      <c r="Q147">
        <v>9.5</v>
      </c>
    </row>
    <row r="148" spans="1:17" x14ac:dyDescent="0.3">
      <c r="A148" t="s">
        <v>182</v>
      </c>
      <c r="B148" t="s">
        <v>18</v>
      </c>
      <c r="C148" t="s">
        <v>19</v>
      </c>
      <c r="D148" t="s">
        <v>20</v>
      </c>
      <c r="E148" t="s">
        <v>21</v>
      </c>
      <c r="F148" t="s">
        <v>46</v>
      </c>
      <c r="G148">
        <v>30.14</v>
      </c>
      <c r="H148">
        <v>10</v>
      </c>
      <c r="I148">
        <v>15.07</v>
      </c>
      <c r="J148">
        <v>316.47000000000003</v>
      </c>
      <c r="K148" s="1">
        <v>43506</v>
      </c>
      <c r="L148" s="2">
        <v>0.51944444444444449</v>
      </c>
      <c r="M148" t="s">
        <v>23</v>
      </c>
      <c r="N148">
        <v>301.39999999999998</v>
      </c>
      <c r="O148">
        <v>4.7619047620000003</v>
      </c>
      <c r="P148">
        <v>15.07</v>
      </c>
      <c r="Q148">
        <v>9.1999999999999993</v>
      </c>
    </row>
    <row r="149" spans="1:17" x14ac:dyDescent="0.3">
      <c r="A149" t="s">
        <v>183</v>
      </c>
      <c r="B149" t="s">
        <v>25</v>
      </c>
      <c r="C149" t="s">
        <v>26</v>
      </c>
      <c r="D149" t="s">
        <v>27</v>
      </c>
      <c r="E149" t="s">
        <v>31</v>
      </c>
      <c r="F149" t="s">
        <v>22</v>
      </c>
      <c r="G149">
        <v>66.14</v>
      </c>
      <c r="H149">
        <v>4</v>
      </c>
      <c r="I149">
        <v>13.228</v>
      </c>
      <c r="J149">
        <v>277.78800000000001</v>
      </c>
      <c r="K149" s="1">
        <v>43543</v>
      </c>
      <c r="L149" s="2">
        <v>0.53194444444444444</v>
      </c>
      <c r="M149" t="s">
        <v>33</v>
      </c>
      <c r="N149">
        <v>264.56</v>
      </c>
      <c r="O149">
        <v>4.7619047620000003</v>
      </c>
      <c r="P149">
        <v>13.228</v>
      </c>
      <c r="Q149">
        <v>5.6</v>
      </c>
    </row>
    <row r="150" spans="1:17" x14ac:dyDescent="0.3">
      <c r="A150" t="s">
        <v>184</v>
      </c>
      <c r="B150" t="s">
        <v>42</v>
      </c>
      <c r="C150" t="s">
        <v>43</v>
      </c>
      <c r="D150" t="s">
        <v>20</v>
      </c>
      <c r="E150" t="s">
        <v>31</v>
      </c>
      <c r="F150" t="s">
        <v>32</v>
      </c>
      <c r="G150">
        <v>71.86</v>
      </c>
      <c r="H150">
        <v>8</v>
      </c>
      <c r="I150">
        <v>28.744</v>
      </c>
      <c r="J150">
        <v>603.62400000000002</v>
      </c>
      <c r="K150" s="1">
        <v>43530</v>
      </c>
      <c r="L150" s="2">
        <v>0.62986111111111109</v>
      </c>
      <c r="M150" t="s">
        <v>33</v>
      </c>
      <c r="N150">
        <v>574.88</v>
      </c>
      <c r="O150">
        <v>4.7619047620000003</v>
      </c>
      <c r="P150">
        <v>28.744</v>
      </c>
      <c r="Q150">
        <v>6.2</v>
      </c>
    </row>
    <row r="151" spans="1:17" x14ac:dyDescent="0.3">
      <c r="A151" t="s">
        <v>185</v>
      </c>
      <c r="B151" t="s">
        <v>18</v>
      </c>
      <c r="C151" t="s">
        <v>19</v>
      </c>
      <c r="D151" t="s">
        <v>27</v>
      </c>
      <c r="E151" t="s">
        <v>31</v>
      </c>
      <c r="F151" t="s">
        <v>22</v>
      </c>
      <c r="G151">
        <v>32.46</v>
      </c>
      <c r="H151">
        <v>8</v>
      </c>
      <c r="I151">
        <v>12.984</v>
      </c>
      <c r="J151">
        <v>272.66399999999999</v>
      </c>
      <c r="K151" s="1">
        <v>43551</v>
      </c>
      <c r="L151" s="2">
        <v>0.57500000000000007</v>
      </c>
      <c r="M151" t="s">
        <v>33</v>
      </c>
      <c r="N151">
        <v>259.68</v>
      </c>
      <c r="O151">
        <v>4.7619047620000003</v>
      </c>
      <c r="P151">
        <v>12.984</v>
      </c>
      <c r="Q151">
        <v>4.9000000000000004</v>
      </c>
    </row>
    <row r="152" spans="1:17" x14ac:dyDescent="0.3">
      <c r="A152" t="s">
        <v>186</v>
      </c>
      <c r="B152" t="s">
        <v>42</v>
      </c>
      <c r="C152" t="s">
        <v>43</v>
      </c>
      <c r="D152" t="s">
        <v>20</v>
      </c>
      <c r="E152" t="s">
        <v>21</v>
      </c>
      <c r="F152" t="s">
        <v>46</v>
      </c>
      <c r="G152">
        <v>91.54</v>
      </c>
      <c r="H152">
        <v>4</v>
      </c>
      <c r="I152">
        <v>18.308</v>
      </c>
      <c r="J152">
        <v>384.46800000000002</v>
      </c>
      <c r="K152" s="1">
        <v>43547</v>
      </c>
      <c r="L152" s="2">
        <v>0.80555555555555547</v>
      </c>
      <c r="M152" t="s">
        <v>33</v>
      </c>
      <c r="N152">
        <v>366.16</v>
      </c>
      <c r="O152">
        <v>4.7619047620000003</v>
      </c>
      <c r="P152">
        <v>18.308</v>
      </c>
      <c r="Q152">
        <v>4.8</v>
      </c>
    </row>
    <row r="153" spans="1:17" x14ac:dyDescent="0.3">
      <c r="A153" t="s">
        <v>187</v>
      </c>
      <c r="B153" t="s">
        <v>25</v>
      </c>
      <c r="C153" t="s">
        <v>26</v>
      </c>
      <c r="D153" t="s">
        <v>20</v>
      </c>
      <c r="E153" t="s">
        <v>31</v>
      </c>
      <c r="F153" t="s">
        <v>36</v>
      </c>
      <c r="G153">
        <v>34.56</v>
      </c>
      <c r="H153">
        <v>7</v>
      </c>
      <c r="I153">
        <v>12.096</v>
      </c>
      <c r="J153">
        <v>254.01599999999999</v>
      </c>
      <c r="K153" s="1">
        <v>43535</v>
      </c>
      <c r="L153" s="2">
        <v>0.67152777777777783</v>
      </c>
      <c r="M153" t="s">
        <v>33</v>
      </c>
      <c r="N153">
        <v>241.92</v>
      </c>
      <c r="O153">
        <v>4.7619047620000003</v>
      </c>
      <c r="P153">
        <v>12.096</v>
      </c>
      <c r="Q153">
        <v>7.3</v>
      </c>
    </row>
    <row r="154" spans="1:17" x14ac:dyDescent="0.3">
      <c r="A154" t="s">
        <v>188</v>
      </c>
      <c r="B154" t="s">
        <v>18</v>
      </c>
      <c r="C154" t="s">
        <v>19</v>
      </c>
      <c r="D154" t="s">
        <v>27</v>
      </c>
      <c r="E154" t="s">
        <v>31</v>
      </c>
      <c r="F154" t="s">
        <v>46</v>
      </c>
      <c r="G154">
        <v>83.24</v>
      </c>
      <c r="H154">
        <v>9</v>
      </c>
      <c r="I154">
        <v>37.457999999999998</v>
      </c>
      <c r="J154">
        <v>786.61800000000005</v>
      </c>
      <c r="K154" s="1">
        <v>43494</v>
      </c>
      <c r="L154" s="2">
        <v>0.49722222222222223</v>
      </c>
      <c r="M154" t="s">
        <v>33</v>
      </c>
      <c r="N154">
        <v>749.16</v>
      </c>
      <c r="O154">
        <v>4.7619047620000003</v>
      </c>
      <c r="P154">
        <v>37.457999999999998</v>
      </c>
      <c r="Q154">
        <v>7.4</v>
      </c>
    </row>
    <row r="155" spans="1:17" x14ac:dyDescent="0.3">
      <c r="A155" t="s">
        <v>189</v>
      </c>
      <c r="B155" t="s">
        <v>25</v>
      </c>
      <c r="C155" t="s">
        <v>26</v>
      </c>
      <c r="D155" t="s">
        <v>27</v>
      </c>
      <c r="E155" t="s">
        <v>21</v>
      </c>
      <c r="F155" t="s">
        <v>44</v>
      </c>
      <c r="G155">
        <v>16.48</v>
      </c>
      <c r="H155">
        <v>6</v>
      </c>
      <c r="I155">
        <v>4.944</v>
      </c>
      <c r="J155">
        <v>103.824</v>
      </c>
      <c r="K155" s="1">
        <v>43503</v>
      </c>
      <c r="L155" s="2">
        <v>0.76597222222222217</v>
      </c>
      <c r="M155" t="s">
        <v>23</v>
      </c>
      <c r="N155">
        <v>98.88</v>
      </c>
      <c r="O155">
        <v>4.7619047620000003</v>
      </c>
      <c r="P155">
        <v>4.944</v>
      </c>
      <c r="Q155">
        <v>9.9</v>
      </c>
    </row>
    <row r="156" spans="1:17" x14ac:dyDescent="0.3">
      <c r="A156" t="s">
        <v>190</v>
      </c>
      <c r="B156" t="s">
        <v>25</v>
      </c>
      <c r="C156" t="s">
        <v>26</v>
      </c>
      <c r="D156" t="s">
        <v>27</v>
      </c>
      <c r="E156" t="s">
        <v>21</v>
      </c>
      <c r="F156" t="s">
        <v>36</v>
      </c>
      <c r="G156">
        <v>80.97</v>
      </c>
      <c r="H156">
        <v>8</v>
      </c>
      <c r="I156">
        <v>32.387999999999998</v>
      </c>
      <c r="J156">
        <v>680.14800000000002</v>
      </c>
      <c r="K156" s="1">
        <v>43493</v>
      </c>
      <c r="L156" s="2">
        <v>0.54513888888888895</v>
      </c>
      <c r="M156" t="s">
        <v>29</v>
      </c>
      <c r="N156">
        <v>647.76</v>
      </c>
      <c r="O156">
        <v>4.7619047620000003</v>
      </c>
      <c r="P156">
        <v>32.387999999999998</v>
      </c>
      <c r="Q156">
        <v>9.3000000000000007</v>
      </c>
    </row>
    <row r="157" spans="1:17" x14ac:dyDescent="0.3">
      <c r="A157" t="s">
        <v>191</v>
      </c>
      <c r="B157" t="s">
        <v>18</v>
      </c>
      <c r="C157" t="s">
        <v>19</v>
      </c>
      <c r="D157" t="s">
        <v>20</v>
      </c>
      <c r="E157" t="s">
        <v>31</v>
      </c>
      <c r="F157" t="s">
        <v>44</v>
      </c>
      <c r="G157">
        <v>92.29</v>
      </c>
      <c r="H157">
        <v>5</v>
      </c>
      <c r="I157">
        <v>23.072500000000002</v>
      </c>
      <c r="J157">
        <v>484.52249999999998</v>
      </c>
      <c r="K157" s="1">
        <v>43516</v>
      </c>
      <c r="L157" s="2">
        <v>0.66319444444444442</v>
      </c>
      <c r="M157" t="s">
        <v>33</v>
      </c>
      <c r="N157">
        <v>461.45</v>
      </c>
      <c r="O157">
        <v>4.7619047620000003</v>
      </c>
      <c r="P157">
        <v>23.072500000000002</v>
      </c>
      <c r="Q157">
        <v>9</v>
      </c>
    </row>
    <row r="158" spans="1:17" x14ac:dyDescent="0.3">
      <c r="A158" t="s">
        <v>192</v>
      </c>
      <c r="B158" t="s">
        <v>42</v>
      </c>
      <c r="C158" t="s">
        <v>43</v>
      </c>
      <c r="D158" t="s">
        <v>20</v>
      </c>
      <c r="E158" t="s">
        <v>31</v>
      </c>
      <c r="F158" t="s">
        <v>28</v>
      </c>
      <c r="G158">
        <v>72.17</v>
      </c>
      <c r="H158">
        <v>1</v>
      </c>
      <c r="I158">
        <v>3.6084999999999998</v>
      </c>
      <c r="J158">
        <v>75.778499999999994</v>
      </c>
      <c r="K158" s="1">
        <v>43469</v>
      </c>
      <c r="L158" s="2">
        <v>0.81944444444444453</v>
      </c>
      <c r="M158" t="s">
        <v>29</v>
      </c>
      <c r="N158">
        <v>72.17</v>
      </c>
      <c r="O158">
        <v>4.7619047620000003</v>
      </c>
      <c r="P158">
        <v>3.6084999999999998</v>
      </c>
      <c r="Q158">
        <v>6.1</v>
      </c>
    </row>
    <row r="159" spans="1:17" x14ac:dyDescent="0.3">
      <c r="A159" t="s">
        <v>193</v>
      </c>
      <c r="B159" t="s">
        <v>42</v>
      </c>
      <c r="C159" t="s">
        <v>43</v>
      </c>
      <c r="D159" t="s">
        <v>27</v>
      </c>
      <c r="E159" t="s">
        <v>31</v>
      </c>
      <c r="F159" t="s">
        <v>32</v>
      </c>
      <c r="G159">
        <v>50.28</v>
      </c>
      <c r="H159">
        <v>5</v>
      </c>
      <c r="I159">
        <v>12.57</v>
      </c>
      <c r="J159">
        <v>263.97000000000003</v>
      </c>
      <c r="K159" s="1">
        <v>43531</v>
      </c>
      <c r="L159" s="2">
        <v>0.58194444444444449</v>
      </c>
      <c r="M159" t="s">
        <v>23</v>
      </c>
      <c r="N159">
        <v>251.4</v>
      </c>
      <c r="O159">
        <v>4.7619047620000003</v>
      </c>
      <c r="P159">
        <v>12.57</v>
      </c>
      <c r="Q159">
        <v>9.6999999999999993</v>
      </c>
    </row>
    <row r="160" spans="1:17" x14ac:dyDescent="0.3">
      <c r="A160" t="s">
        <v>194</v>
      </c>
      <c r="B160" t="s">
        <v>42</v>
      </c>
      <c r="C160" t="s">
        <v>43</v>
      </c>
      <c r="D160" t="s">
        <v>20</v>
      </c>
      <c r="E160" t="s">
        <v>31</v>
      </c>
      <c r="F160" t="s">
        <v>22</v>
      </c>
      <c r="G160">
        <v>97.22</v>
      </c>
      <c r="H160">
        <v>9</v>
      </c>
      <c r="I160">
        <v>43.749000000000002</v>
      </c>
      <c r="J160">
        <v>918.72900000000004</v>
      </c>
      <c r="K160" s="1">
        <v>43554</v>
      </c>
      <c r="L160" s="2">
        <v>0.61319444444444449</v>
      </c>
      <c r="M160" t="s">
        <v>23</v>
      </c>
      <c r="N160">
        <v>874.98</v>
      </c>
      <c r="O160">
        <v>4.7619047620000003</v>
      </c>
      <c r="P160">
        <v>43.749000000000002</v>
      </c>
      <c r="Q160">
        <v>6</v>
      </c>
    </row>
    <row r="161" spans="1:17" x14ac:dyDescent="0.3">
      <c r="A161" t="s">
        <v>195</v>
      </c>
      <c r="B161" t="s">
        <v>42</v>
      </c>
      <c r="C161" t="s">
        <v>43</v>
      </c>
      <c r="D161" t="s">
        <v>27</v>
      </c>
      <c r="E161" t="s">
        <v>31</v>
      </c>
      <c r="F161" t="s">
        <v>36</v>
      </c>
      <c r="G161">
        <v>93.39</v>
      </c>
      <c r="H161">
        <v>6</v>
      </c>
      <c r="I161">
        <v>28.016999999999999</v>
      </c>
      <c r="J161">
        <v>588.35699999999997</v>
      </c>
      <c r="K161" s="1">
        <v>43551</v>
      </c>
      <c r="L161" s="2">
        <v>0.8041666666666667</v>
      </c>
      <c r="M161" t="s">
        <v>23</v>
      </c>
      <c r="N161">
        <v>560.34</v>
      </c>
      <c r="O161">
        <v>4.7619047620000003</v>
      </c>
      <c r="P161">
        <v>28.016999999999999</v>
      </c>
      <c r="Q161">
        <v>10</v>
      </c>
    </row>
    <row r="162" spans="1:17" x14ac:dyDescent="0.3">
      <c r="A162" t="s">
        <v>196</v>
      </c>
      <c r="B162" t="s">
        <v>25</v>
      </c>
      <c r="C162" t="s">
        <v>26</v>
      </c>
      <c r="D162" t="s">
        <v>27</v>
      </c>
      <c r="E162" t="s">
        <v>21</v>
      </c>
      <c r="F162" t="s">
        <v>44</v>
      </c>
      <c r="G162">
        <v>43.18</v>
      </c>
      <c r="H162">
        <v>8</v>
      </c>
      <c r="I162">
        <v>17.271999999999998</v>
      </c>
      <c r="J162">
        <v>362.71199999999999</v>
      </c>
      <c r="K162" s="1">
        <v>43484</v>
      </c>
      <c r="L162" s="2">
        <v>0.81874999999999998</v>
      </c>
      <c r="M162" t="s">
        <v>33</v>
      </c>
      <c r="N162">
        <v>345.44</v>
      </c>
      <c r="O162">
        <v>4.7619047620000003</v>
      </c>
      <c r="P162">
        <v>17.271999999999998</v>
      </c>
      <c r="Q162">
        <v>8.3000000000000007</v>
      </c>
    </row>
    <row r="163" spans="1:17" x14ac:dyDescent="0.3">
      <c r="A163" t="s">
        <v>197</v>
      </c>
      <c r="B163" t="s">
        <v>18</v>
      </c>
      <c r="C163" t="s">
        <v>19</v>
      </c>
      <c r="D163" t="s">
        <v>27</v>
      </c>
      <c r="E163" t="s">
        <v>31</v>
      </c>
      <c r="F163" t="s">
        <v>36</v>
      </c>
      <c r="G163">
        <v>63.69</v>
      </c>
      <c r="H163">
        <v>1</v>
      </c>
      <c r="I163">
        <v>3.1844999999999999</v>
      </c>
      <c r="J163">
        <v>66.874499999999998</v>
      </c>
      <c r="K163" s="1">
        <v>43521</v>
      </c>
      <c r="L163" s="2">
        <v>0.68125000000000002</v>
      </c>
      <c r="M163" t="s">
        <v>29</v>
      </c>
      <c r="N163">
        <v>63.69</v>
      </c>
      <c r="O163">
        <v>4.7619047620000003</v>
      </c>
      <c r="P163">
        <v>3.1844999999999999</v>
      </c>
      <c r="Q163">
        <v>6</v>
      </c>
    </row>
    <row r="164" spans="1:17" x14ac:dyDescent="0.3">
      <c r="A164" t="s">
        <v>198</v>
      </c>
      <c r="B164" t="s">
        <v>18</v>
      </c>
      <c r="C164" t="s">
        <v>19</v>
      </c>
      <c r="D164" t="s">
        <v>27</v>
      </c>
      <c r="E164" t="s">
        <v>31</v>
      </c>
      <c r="F164" t="s">
        <v>44</v>
      </c>
      <c r="G164">
        <v>45.79</v>
      </c>
      <c r="H164">
        <v>7</v>
      </c>
      <c r="I164">
        <v>16.026499999999999</v>
      </c>
      <c r="J164">
        <v>336.55650000000003</v>
      </c>
      <c r="K164" s="1">
        <v>43537</v>
      </c>
      <c r="L164" s="2">
        <v>0.8222222222222223</v>
      </c>
      <c r="M164" t="s">
        <v>33</v>
      </c>
      <c r="N164">
        <v>320.52999999999997</v>
      </c>
      <c r="O164">
        <v>4.7619047620000003</v>
      </c>
      <c r="P164">
        <v>16.026499999999999</v>
      </c>
      <c r="Q164">
        <v>7</v>
      </c>
    </row>
    <row r="165" spans="1:17" x14ac:dyDescent="0.3">
      <c r="A165" t="s">
        <v>199</v>
      </c>
      <c r="B165" t="s">
        <v>25</v>
      </c>
      <c r="C165" t="s">
        <v>26</v>
      </c>
      <c r="D165" t="s">
        <v>27</v>
      </c>
      <c r="E165" t="s">
        <v>31</v>
      </c>
      <c r="F165" t="s">
        <v>36</v>
      </c>
      <c r="G165">
        <v>76.400000000000006</v>
      </c>
      <c r="H165">
        <v>2</v>
      </c>
      <c r="I165">
        <v>7.64</v>
      </c>
      <c r="J165">
        <v>160.44</v>
      </c>
      <c r="K165" s="1">
        <v>43495</v>
      </c>
      <c r="L165" s="2">
        <v>0.8208333333333333</v>
      </c>
      <c r="M165" t="s">
        <v>23</v>
      </c>
      <c r="N165">
        <v>152.80000000000001</v>
      </c>
      <c r="O165">
        <v>4.7619047620000003</v>
      </c>
      <c r="P165">
        <v>7.64</v>
      </c>
      <c r="Q165">
        <v>6.5</v>
      </c>
    </row>
    <row r="166" spans="1:17" x14ac:dyDescent="0.3">
      <c r="A166" t="s">
        <v>200</v>
      </c>
      <c r="B166" t="s">
        <v>42</v>
      </c>
      <c r="C166" t="s">
        <v>43</v>
      </c>
      <c r="D166" t="s">
        <v>27</v>
      </c>
      <c r="E166" t="s">
        <v>31</v>
      </c>
      <c r="F166" t="s">
        <v>44</v>
      </c>
      <c r="G166">
        <v>39.9</v>
      </c>
      <c r="H166">
        <v>10</v>
      </c>
      <c r="I166">
        <v>19.95</v>
      </c>
      <c r="J166">
        <v>418.95</v>
      </c>
      <c r="K166" s="1">
        <v>43516</v>
      </c>
      <c r="L166" s="2">
        <v>0.64166666666666672</v>
      </c>
      <c r="M166" t="s">
        <v>33</v>
      </c>
      <c r="N166">
        <v>399</v>
      </c>
      <c r="O166">
        <v>4.7619047620000003</v>
      </c>
      <c r="P166">
        <v>19.95</v>
      </c>
      <c r="Q166">
        <v>5.9</v>
      </c>
    </row>
    <row r="167" spans="1:17" x14ac:dyDescent="0.3">
      <c r="A167" t="s">
        <v>201</v>
      </c>
      <c r="B167" t="s">
        <v>42</v>
      </c>
      <c r="C167" t="s">
        <v>43</v>
      </c>
      <c r="D167" t="s">
        <v>20</v>
      </c>
      <c r="E167" t="s">
        <v>31</v>
      </c>
      <c r="F167" t="s">
        <v>22</v>
      </c>
      <c r="G167">
        <v>42.57</v>
      </c>
      <c r="H167">
        <v>8</v>
      </c>
      <c r="I167">
        <v>17.027999999999999</v>
      </c>
      <c r="J167">
        <v>357.58800000000002</v>
      </c>
      <c r="K167" s="1">
        <v>43521</v>
      </c>
      <c r="L167" s="2">
        <v>0.59166666666666667</v>
      </c>
      <c r="M167" t="s">
        <v>23</v>
      </c>
      <c r="N167">
        <v>340.56</v>
      </c>
      <c r="O167">
        <v>4.7619047620000003</v>
      </c>
      <c r="P167">
        <v>17.027999999999999</v>
      </c>
      <c r="Q167">
        <v>5.6</v>
      </c>
    </row>
    <row r="168" spans="1:17" x14ac:dyDescent="0.3">
      <c r="A168" t="s">
        <v>202</v>
      </c>
      <c r="B168" t="s">
        <v>25</v>
      </c>
      <c r="C168" t="s">
        <v>26</v>
      </c>
      <c r="D168" t="s">
        <v>27</v>
      </c>
      <c r="E168" t="s">
        <v>31</v>
      </c>
      <c r="F168" t="s">
        <v>32</v>
      </c>
      <c r="G168">
        <v>95.58</v>
      </c>
      <c r="H168">
        <v>10</v>
      </c>
      <c r="I168">
        <v>47.79</v>
      </c>
      <c r="J168">
        <v>1003.59</v>
      </c>
      <c r="K168" s="1">
        <v>43481</v>
      </c>
      <c r="L168" s="2">
        <v>0.56388888888888888</v>
      </c>
      <c r="M168" t="s">
        <v>29</v>
      </c>
      <c r="N168">
        <v>955.8</v>
      </c>
      <c r="O168">
        <v>4.7619047620000003</v>
      </c>
      <c r="P168">
        <v>47.79</v>
      </c>
      <c r="Q168">
        <v>4.8</v>
      </c>
    </row>
    <row r="169" spans="1:17" x14ac:dyDescent="0.3">
      <c r="A169" t="s">
        <v>203</v>
      </c>
      <c r="B169" t="s">
        <v>18</v>
      </c>
      <c r="C169" t="s">
        <v>19</v>
      </c>
      <c r="D169" t="s">
        <v>27</v>
      </c>
      <c r="E169" t="s">
        <v>31</v>
      </c>
      <c r="F169" t="s">
        <v>46</v>
      </c>
      <c r="G169">
        <v>98.98</v>
      </c>
      <c r="H169">
        <v>10</v>
      </c>
      <c r="I169">
        <v>49.49</v>
      </c>
      <c r="J169">
        <v>1039.29</v>
      </c>
      <c r="K169" s="1">
        <v>43504</v>
      </c>
      <c r="L169" s="2">
        <v>0.68055555555555547</v>
      </c>
      <c r="M169" t="s">
        <v>33</v>
      </c>
      <c r="N169">
        <v>989.8</v>
      </c>
      <c r="O169">
        <v>4.7619047620000003</v>
      </c>
      <c r="P169">
        <v>49.49</v>
      </c>
      <c r="Q169">
        <v>8.6999999999999993</v>
      </c>
    </row>
    <row r="170" spans="1:17" x14ac:dyDescent="0.3">
      <c r="A170" t="s">
        <v>204</v>
      </c>
      <c r="B170" t="s">
        <v>18</v>
      </c>
      <c r="C170" t="s">
        <v>19</v>
      </c>
      <c r="D170" t="s">
        <v>27</v>
      </c>
      <c r="E170" t="s">
        <v>31</v>
      </c>
      <c r="F170" t="s">
        <v>44</v>
      </c>
      <c r="G170">
        <v>51.28</v>
      </c>
      <c r="H170">
        <v>6</v>
      </c>
      <c r="I170">
        <v>15.384</v>
      </c>
      <c r="J170">
        <v>323.06400000000002</v>
      </c>
      <c r="K170" s="1">
        <v>43484</v>
      </c>
      <c r="L170" s="2">
        <v>0.68819444444444444</v>
      </c>
      <c r="M170" t="s">
        <v>29</v>
      </c>
      <c r="N170">
        <v>307.68</v>
      </c>
      <c r="O170">
        <v>4.7619047620000003</v>
      </c>
      <c r="P170">
        <v>15.384</v>
      </c>
      <c r="Q170">
        <v>6.5</v>
      </c>
    </row>
    <row r="171" spans="1:17" x14ac:dyDescent="0.3">
      <c r="A171" t="s">
        <v>205</v>
      </c>
      <c r="B171" t="s">
        <v>18</v>
      </c>
      <c r="C171" t="s">
        <v>19</v>
      </c>
      <c r="D171" t="s">
        <v>20</v>
      </c>
      <c r="E171" t="s">
        <v>31</v>
      </c>
      <c r="F171" t="s">
        <v>36</v>
      </c>
      <c r="G171">
        <v>69.52</v>
      </c>
      <c r="H171">
        <v>7</v>
      </c>
      <c r="I171">
        <v>24.332000000000001</v>
      </c>
      <c r="J171">
        <v>510.97199999999998</v>
      </c>
      <c r="K171" s="1">
        <v>43497</v>
      </c>
      <c r="L171" s="2">
        <v>0.63194444444444442</v>
      </c>
      <c r="M171" t="s">
        <v>33</v>
      </c>
      <c r="N171">
        <v>486.64</v>
      </c>
      <c r="O171">
        <v>4.7619047620000003</v>
      </c>
      <c r="P171">
        <v>24.332000000000001</v>
      </c>
      <c r="Q171">
        <v>8.5</v>
      </c>
    </row>
    <row r="172" spans="1:17" x14ac:dyDescent="0.3">
      <c r="A172" t="s">
        <v>206</v>
      </c>
      <c r="B172" t="s">
        <v>18</v>
      </c>
      <c r="C172" t="s">
        <v>19</v>
      </c>
      <c r="D172" t="s">
        <v>27</v>
      </c>
      <c r="E172" t="s">
        <v>31</v>
      </c>
      <c r="F172" t="s">
        <v>22</v>
      </c>
      <c r="G172">
        <v>70.010000000000005</v>
      </c>
      <c r="H172">
        <v>5</v>
      </c>
      <c r="I172">
        <v>17.502500000000001</v>
      </c>
      <c r="J172">
        <v>367.55250000000001</v>
      </c>
      <c r="K172" s="1">
        <v>43468</v>
      </c>
      <c r="L172" s="2">
        <v>0.48333333333333334</v>
      </c>
      <c r="M172" t="s">
        <v>23</v>
      </c>
      <c r="N172">
        <v>350.05</v>
      </c>
      <c r="O172">
        <v>4.7619047620000003</v>
      </c>
      <c r="P172">
        <v>17.502500000000001</v>
      </c>
      <c r="Q172">
        <v>5.5</v>
      </c>
    </row>
    <row r="173" spans="1:17" x14ac:dyDescent="0.3">
      <c r="A173" t="s">
        <v>207</v>
      </c>
      <c r="B173" t="s">
        <v>42</v>
      </c>
      <c r="C173" t="s">
        <v>43</v>
      </c>
      <c r="D173" t="s">
        <v>20</v>
      </c>
      <c r="E173" t="s">
        <v>31</v>
      </c>
      <c r="F173" t="s">
        <v>44</v>
      </c>
      <c r="G173">
        <v>80.05</v>
      </c>
      <c r="H173">
        <v>5</v>
      </c>
      <c r="I173">
        <v>20.012499999999999</v>
      </c>
      <c r="J173">
        <v>420.26249999999999</v>
      </c>
      <c r="K173" s="1">
        <v>43491</v>
      </c>
      <c r="L173" s="2">
        <v>0.53125</v>
      </c>
      <c r="M173" t="s">
        <v>33</v>
      </c>
      <c r="N173">
        <v>400.25</v>
      </c>
      <c r="O173">
        <v>4.7619047620000003</v>
      </c>
      <c r="P173">
        <v>20.012499999999999</v>
      </c>
      <c r="Q173">
        <v>9.4</v>
      </c>
    </row>
    <row r="174" spans="1:17" x14ac:dyDescent="0.3">
      <c r="A174" t="s">
        <v>208</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x14ac:dyDescent="0.3">
      <c r="A175" t="s">
        <v>209</v>
      </c>
      <c r="B175" t="s">
        <v>42</v>
      </c>
      <c r="C175" t="s">
        <v>43</v>
      </c>
      <c r="D175" t="s">
        <v>20</v>
      </c>
      <c r="E175" t="s">
        <v>31</v>
      </c>
      <c r="F175" t="s">
        <v>28</v>
      </c>
      <c r="G175">
        <v>52.89</v>
      </c>
      <c r="H175">
        <v>6</v>
      </c>
      <c r="I175">
        <v>15.867000000000001</v>
      </c>
      <c r="J175">
        <v>333.20699999999999</v>
      </c>
      <c r="K175" s="1">
        <v>43484</v>
      </c>
      <c r="L175" s="2">
        <v>0.7319444444444444</v>
      </c>
      <c r="M175" t="s">
        <v>33</v>
      </c>
      <c r="N175">
        <v>317.33999999999997</v>
      </c>
      <c r="O175">
        <v>4.7619047620000003</v>
      </c>
      <c r="P175">
        <v>15.867000000000001</v>
      </c>
      <c r="Q175">
        <v>9.8000000000000007</v>
      </c>
    </row>
    <row r="176" spans="1:17" x14ac:dyDescent="0.3">
      <c r="A176" t="s">
        <v>210</v>
      </c>
      <c r="B176" t="s">
        <v>42</v>
      </c>
      <c r="C176" t="s">
        <v>43</v>
      </c>
      <c r="D176" t="s">
        <v>27</v>
      </c>
      <c r="E176" t="s">
        <v>31</v>
      </c>
      <c r="F176" t="s">
        <v>44</v>
      </c>
      <c r="G176">
        <v>19.79</v>
      </c>
      <c r="H176">
        <v>8</v>
      </c>
      <c r="I176">
        <v>7.9160000000000004</v>
      </c>
      <c r="J176">
        <v>166.23599999999999</v>
      </c>
      <c r="K176" s="1">
        <v>43483</v>
      </c>
      <c r="L176" s="2">
        <v>0.50277777777777777</v>
      </c>
      <c r="M176" t="s">
        <v>23</v>
      </c>
      <c r="N176">
        <v>158.32</v>
      </c>
      <c r="O176">
        <v>4.7619047620000003</v>
      </c>
      <c r="P176">
        <v>7.9160000000000004</v>
      </c>
      <c r="Q176">
        <v>8.6999999999999993</v>
      </c>
    </row>
    <row r="177" spans="1:17" x14ac:dyDescent="0.3">
      <c r="A177" t="s">
        <v>211</v>
      </c>
      <c r="B177" t="s">
        <v>18</v>
      </c>
      <c r="C177" t="s">
        <v>19</v>
      </c>
      <c r="D177" t="s">
        <v>20</v>
      </c>
      <c r="E177" t="s">
        <v>31</v>
      </c>
      <c r="F177" t="s">
        <v>32</v>
      </c>
      <c r="G177">
        <v>33.840000000000003</v>
      </c>
      <c r="H177">
        <v>9</v>
      </c>
      <c r="I177">
        <v>15.228</v>
      </c>
      <c r="J177">
        <v>319.78800000000001</v>
      </c>
      <c r="K177" s="1">
        <v>43545</v>
      </c>
      <c r="L177" s="2">
        <v>0.68125000000000002</v>
      </c>
      <c r="M177" t="s">
        <v>23</v>
      </c>
      <c r="N177">
        <v>304.56</v>
      </c>
      <c r="O177">
        <v>4.7619047620000003</v>
      </c>
      <c r="P177">
        <v>15.228</v>
      </c>
      <c r="Q177">
        <v>8.8000000000000007</v>
      </c>
    </row>
    <row r="178" spans="1:17" x14ac:dyDescent="0.3">
      <c r="A178" t="s">
        <v>212</v>
      </c>
      <c r="B178" t="s">
        <v>18</v>
      </c>
      <c r="C178" t="s">
        <v>19</v>
      </c>
      <c r="D178" t="s">
        <v>20</v>
      </c>
      <c r="E178" t="s">
        <v>31</v>
      </c>
      <c r="F178" t="s">
        <v>44</v>
      </c>
      <c r="G178">
        <v>22.17</v>
      </c>
      <c r="H178">
        <v>8</v>
      </c>
      <c r="I178">
        <v>8.8680000000000003</v>
      </c>
      <c r="J178">
        <v>186.22800000000001</v>
      </c>
      <c r="K178" s="1">
        <v>43527</v>
      </c>
      <c r="L178" s="2">
        <v>0.7090277777777777</v>
      </c>
      <c r="M178" t="s">
        <v>33</v>
      </c>
      <c r="N178">
        <v>177.36</v>
      </c>
      <c r="O178">
        <v>4.7619047620000003</v>
      </c>
      <c r="P178">
        <v>8.8680000000000003</v>
      </c>
      <c r="Q178">
        <v>9.6</v>
      </c>
    </row>
    <row r="179" spans="1:17" x14ac:dyDescent="0.3">
      <c r="A179" t="s">
        <v>213</v>
      </c>
      <c r="B179" t="s">
        <v>25</v>
      </c>
      <c r="C179" t="s">
        <v>26</v>
      </c>
      <c r="D179" t="s">
        <v>27</v>
      </c>
      <c r="E179" t="s">
        <v>21</v>
      </c>
      <c r="F179" t="s">
        <v>46</v>
      </c>
      <c r="G179">
        <v>22.51</v>
      </c>
      <c r="H179">
        <v>7</v>
      </c>
      <c r="I179">
        <v>7.8784999999999998</v>
      </c>
      <c r="J179">
        <v>165.4485</v>
      </c>
      <c r="K179" s="1">
        <v>43509</v>
      </c>
      <c r="L179" s="2">
        <v>0.4513888888888889</v>
      </c>
      <c r="M179" t="s">
        <v>33</v>
      </c>
      <c r="N179">
        <v>157.57</v>
      </c>
      <c r="O179">
        <v>4.7619047620000003</v>
      </c>
      <c r="P179">
        <v>7.8784999999999998</v>
      </c>
      <c r="Q179">
        <v>4.8</v>
      </c>
    </row>
    <row r="180" spans="1:17" x14ac:dyDescent="0.3">
      <c r="A180" t="s">
        <v>214</v>
      </c>
      <c r="B180" t="s">
        <v>18</v>
      </c>
      <c r="C180" t="s">
        <v>19</v>
      </c>
      <c r="D180" t="s">
        <v>27</v>
      </c>
      <c r="E180" t="s">
        <v>31</v>
      </c>
      <c r="F180" t="s">
        <v>44</v>
      </c>
      <c r="G180">
        <v>73.88</v>
      </c>
      <c r="H180">
        <v>6</v>
      </c>
      <c r="I180">
        <v>22.164000000000001</v>
      </c>
      <c r="J180">
        <v>465.44400000000002</v>
      </c>
      <c r="K180" s="1">
        <v>43547</v>
      </c>
      <c r="L180" s="2">
        <v>0.8027777777777777</v>
      </c>
      <c r="M180" t="s">
        <v>23</v>
      </c>
      <c r="N180">
        <v>443.28</v>
      </c>
      <c r="O180">
        <v>4.7619047620000003</v>
      </c>
      <c r="P180">
        <v>22.164000000000001</v>
      </c>
      <c r="Q180">
        <v>4.4000000000000004</v>
      </c>
    </row>
    <row r="181" spans="1:17" x14ac:dyDescent="0.3">
      <c r="A181" t="s">
        <v>215</v>
      </c>
      <c r="B181" t="s">
        <v>25</v>
      </c>
      <c r="C181" t="s">
        <v>26</v>
      </c>
      <c r="D181" t="s">
        <v>20</v>
      </c>
      <c r="E181" t="s">
        <v>31</v>
      </c>
      <c r="F181" t="s">
        <v>22</v>
      </c>
      <c r="G181">
        <v>86.8</v>
      </c>
      <c r="H181">
        <v>3</v>
      </c>
      <c r="I181">
        <v>13.02</v>
      </c>
      <c r="J181">
        <v>273.42</v>
      </c>
      <c r="K181" s="1">
        <v>43493</v>
      </c>
      <c r="L181" s="2">
        <v>0.69930555555555562</v>
      </c>
      <c r="M181" t="s">
        <v>23</v>
      </c>
      <c r="N181">
        <v>260.39999999999998</v>
      </c>
      <c r="O181">
        <v>4.7619047620000003</v>
      </c>
      <c r="P181">
        <v>13.02</v>
      </c>
      <c r="Q181">
        <v>9.9</v>
      </c>
    </row>
    <row r="182" spans="1:17" x14ac:dyDescent="0.3">
      <c r="A182" t="s">
        <v>216</v>
      </c>
      <c r="B182" t="s">
        <v>25</v>
      </c>
      <c r="C182" t="s">
        <v>26</v>
      </c>
      <c r="D182" t="s">
        <v>27</v>
      </c>
      <c r="E182" t="s">
        <v>31</v>
      </c>
      <c r="F182" t="s">
        <v>46</v>
      </c>
      <c r="G182">
        <v>64.260000000000005</v>
      </c>
      <c r="H182">
        <v>7</v>
      </c>
      <c r="I182">
        <v>22.491</v>
      </c>
      <c r="J182">
        <v>472.31099999999998</v>
      </c>
      <c r="K182" s="1">
        <v>43505</v>
      </c>
      <c r="L182" s="2">
        <v>0.41666666666666669</v>
      </c>
      <c r="M182" t="s">
        <v>29</v>
      </c>
      <c r="N182">
        <v>449.82</v>
      </c>
      <c r="O182">
        <v>4.7619047620000003</v>
      </c>
      <c r="P182">
        <v>22.491</v>
      </c>
      <c r="Q182">
        <v>5.7</v>
      </c>
    </row>
    <row r="183" spans="1:17" x14ac:dyDescent="0.3">
      <c r="A183" t="s">
        <v>217</v>
      </c>
      <c r="B183" t="s">
        <v>25</v>
      </c>
      <c r="C183" t="s">
        <v>26</v>
      </c>
      <c r="D183" t="s">
        <v>20</v>
      </c>
      <c r="E183" t="s">
        <v>31</v>
      </c>
      <c r="F183" t="s">
        <v>44</v>
      </c>
      <c r="G183">
        <v>38.47</v>
      </c>
      <c r="H183">
        <v>8</v>
      </c>
      <c r="I183">
        <v>15.388</v>
      </c>
      <c r="J183">
        <v>323.14800000000002</v>
      </c>
      <c r="K183" s="1">
        <v>43488</v>
      </c>
      <c r="L183" s="2">
        <v>0.49374999999999997</v>
      </c>
      <c r="M183" t="s">
        <v>29</v>
      </c>
      <c r="N183">
        <v>307.76</v>
      </c>
      <c r="O183">
        <v>4.7619047620000003</v>
      </c>
      <c r="P183">
        <v>15.388</v>
      </c>
      <c r="Q183">
        <v>7.7</v>
      </c>
    </row>
    <row r="184" spans="1:17" x14ac:dyDescent="0.3">
      <c r="A184" t="s">
        <v>218</v>
      </c>
      <c r="B184" t="s">
        <v>18</v>
      </c>
      <c r="C184" t="s">
        <v>19</v>
      </c>
      <c r="D184" t="s">
        <v>20</v>
      </c>
      <c r="E184" t="s">
        <v>31</v>
      </c>
      <c r="F184" t="s">
        <v>36</v>
      </c>
      <c r="G184">
        <v>15.5</v>
      </c>
      <c r="H184">
        <v>10</v>
      </c>
      <c r="I184">
        <v>7.75</v>
      </c>
      <c r="J184">
        <v>162.75</v>
      </c>
      <c r="K184" s="1">
        <v>43547</v>
      </c>
      <c r="L184" s="2">
        <v>0.4548611111111111</v>
      </c>
      <c r="M184" t="s">
        <v>23</v>
      </c>
      <c r="N184">
        <v>155</v>
      </c>
      <c r="O184">
        <v>4.7619047620000003</v>
      </c>
      <c r="P184">
        <v>7.75</v>
      </c>
      <c r="Q184">
        <v>8</v>
      </c>
    </row>
    <row r="185" spans="1:17" x14ac:dyDescent="0.3">
      <c r="A185" t="s">
        <v>219</v>
      </c>
      <c r="B185" t="s">
        <v>25</v>
      </c>
      <c r="C185" t="s">
        <v>26</v>
      </c>
      <c r="D185" t="s">
        <v>27</v>
      </c>
      <c r="E185" t="s">
        <v>31</v>
      </c>
      <c r="F185" t="s">
        <v>22</v>
      </c>
      <c r="G185">
        <v>34.31</v>
      </c>
      <c r="H185">
        <v>8</v>
      </c>
      <c r="I185">
        <v>13.724</v>
      </c>
      <c r="J185">
        <v>288.20400000000001</v>
      </c>
      <c r="K185" s="1">
        <v>43490</v>
      </c>
      <c r="L185" s="2">
        <v>0.625</v>
      </c>
      <c r="M185" t="s">
        <v>23</v>
      </c>
      <c r="N185">
        <v>274.48</v>
      </c>
      <c r="O185">
        <v>4.7619047620000003</v>
      </c>
      <c r="P185">
        <v>13.724</v>
      </c>
      <c r="Q185">
        <v>5.7</v>
      </c>
    </row>
    <row r="186" spans="1:17" x14ac:dyDescent="0.3">
      <c r="A186" t="s">
        <v>220</v>
      </c>
      <c r="B186" t="s">
        <v>18</v>
      </c>
      <c r="C186" t="s">
        <v>19</v>
      </c>
      <c r="D186" t="s">
        <v>27</v>
      </c>
      <c r="E186" t="s">
        <v>21</v>
      </c>
      <c r="F186" t="s">
        <v>36</v>
      </c>
      <c r="G186">
        <v>12.34</v>
      </c>
      <c r="H186">
        <v>7</v>
      </c>
      <c r="I186">
        <v>4.319</v>
      </c>
      <c r="J186">
        <v>90.698999999999998</v>
      </c>
      <c r="K186" s="1">
        <v>43528</v>
      </c>
      <c r="L186" s="2">
        <v>0.47152777777777777</v>
      </c>
      <c r="M186" t="s">
        <v>33</v>
      </c>
      <c r="N186">
        <v>86.38</v>
      </c>
      <c r="O186">
        <v>4.7619047620000003</v>
      </c>
      <c r="P186">
        <v>4.319</v>
      </c>
      <c r="Q186">
        <v>6.7</v>
      </c>
    </row>
    <row r="187" spans="1:17" x14ac:dyDescent="0.3">
      <c r="A187" t="s">
        <v>221</v>
      </c>
      <c r="B187" t="s">
        <v>42</v>
      </c>
      <c r="C187" t="s">
        <v>43</v>
      </c>
      <c r="D187" t="s">
        <v>20</v>
      </c>
      <c r="E187" t="s">
        <v>31</v>
      </c>
      <c r="F187" t="s">
        <v>44</v>
      </c>
      <c r="G187">
        <v>18.079999999999998</v>
      </c>
      <c r="H187">
        <v>3</v>
      </c>
      <c r="I187">
        <v>2.7120000000000002</v>
      </c>
      <c r="J187">
        <v>56.951999999999998</v>
      </c>
      <c r="K187" s="1">
        <v>43529</v>
      </c>
      <c r="L187" s="2">
        <v>0.82361111111111107</v>
      </c>
      <c r="M187" t="s">
        <v>23</v>
      </c>
      <c r="N187">
        <v>54.24</v>
      </c>
      <c r="O187">
        <v>4.7619047620000003</v>
      </c>
      <c r="P187">
        <v>2.7120000000000002</v>
      </c>
      <c r="Q187">
        <v>8</v>
      </c>
    </row>
    <row r="188" spans="1:17" x14ac:dyDescent="0.3">
      <c r="A188" t="s">
        <v>222</v>
      </c>
      <c r="B188" t="s">
        <v>42</v>
      </c>
      <c r="C188" t="s">
        <v>43</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3">
      <c r="A189" t="s">
        <v>223</v>
      </c>
      <c r="B189" t="s">
        <v>42</v>
      </c>
      <c r="C189" t="s">
        <v>43</v>
      </c>
      <c r="D189" t="s">
        <v>20</v>
      </c>
      <c r="E189" t="s">
        <v>31</v>
      </c>
      <c r="F189" t="s">
        <v>32</v>
      </c>
      <c r="G189">
        <v>46.47</v>
      </c>
      <c r="H189">
        <v>4</v>
      </c>
      <c r="I189">
        <v>9.2940000000000005</v>
      </c>
      <c r="J189">
        <v>195.17400000000001</v>
      </c>
      <c r="K189" s="1">
        <v>43504</v>
      </c>
      <c r="L189" s="2">
        <v>0.45347222222222222</v>
      </c>
      <c r="M189" t="s">
        <v>29</v>
      </c>
      <c r="N189">
        <v>185.88</v>
      </c>
      <c r="O189">
        <v>4.7619047620000003</v>
      </c>
      <c r="P189">
        <v>9.2940000000000005</v>
      </c>
      <c r="Q189">
        <v>7</v>
      </c>
    </row>
    <row r="190" spans="1:17" x14ac:dyDescent="0.3">
      <c r="A190" t="s">
        <v>224</v>
      </c>
      <c r="B190" t="s">
        <v>18</v>
      </c>
      <c r="C190" t="s">
        <v>19</v>
      </c>
      <c r="D190" t="s">
        <v>27</v>
      </c>
      <c r="E190" t="s">
        <v>31</v>
      </c>
      <c r="F190" t="s">
        <v>32</v>
      </c>
      <c r="G190">
        <v>74.069999999999993</v>
      </c>
      <c r="H190">
        <v>1</v>
      </c>
      <c r="I190">
        <v>3.7035</v>
      </c>
      <c r="J190">
        <v>77.773499999999999</v>
      </c>
      <c r="K190" s="1">
        <v>43506</v>
      </c>
      <c r="L190" s="2">
        <v>0.53472222222222221</v>
      </c>
      <c r="M190" t="s">
        <v>23</v>
      </c>
      <c r="N190">
        <v>74.069999999999993</v>
      </c>
      <c r="O190">
        <v>4.7619047620000003</v>
      </c>
      <c r="P190">
        <v>3.7035</v>
      </c>
      <c r="Q190">
        <v>9.9</v>
      </c>
    </row>
    <row r="191" spans="1:17" x14ac:dyDescent="0.3">
      <c r="A191" t="s">
        <v>225</v>
      </c>
      <c r="B191" t="s">
        <v>25</v>
      </c>
      <c r="C191" t="s">
        <v>26</v>
      </c>
      <c r="D191" t="s">
        <v>27</v>
      </c>
      <c r="E191" t="s">
        <v>21</v>
      </c>
      <c r="F191" t="s">
        <v>32</v>
      </c>
      <c r="G191">
        <v>69.81</v>
      </c>
      <c r="H191">
        <v>4</v>
      </c>
      <c r="I191">
        <v>13.962</v>
      </c>
      <c r="J191">
        <v>293.202</v>
      </c>
      <c r="K191" s="1">
        <v>43493</v>
      </c>
      <c r="L191" s="2">
        <v>0.86805555555555547</v>
      </c>
      <c r="M191" t="s">
        <v>33</v>
      </c>
      <c r="N191">
        <v>279.24</v>
      </c>
      <c r="O191">
        <v>4.7619047620000003</v>
      </c>
      <c r="P191">
        <v>13.962</v>
      </c>
      <c r="Q191">
        <v>5.9</v>
      </c>
    </row>
    <row r="192" spans="1:17" x14ac:dyDescent="0.3">
      <c r="A192" t="s">
        <v>226</v>
      </c>
      <c r="B192" t="s">
        <v>42</v>
      </c>
      <c r="C192" t="s">
        <v>43</v>
      </c>
      <c r="D192" t="s">
        <v>27</v>
      </c>
      <c r="E192" t="s">
        <v>21</v>
      </c>
      <c r="F192" t="s">
        <v>32</v>
      </c>
      <c r="G192">
        <v>77.040000000000006</v>
      </c>
      <c r="H192">
        <v>3</v>
      </c>
      <c r="I192">
        <v>11.555999999999999</v>
      </c>
      <c r="J192">
        <v>242.67599999999999</v>
      </c>
      <c r="K192" s="1">
        <v>43507</v>
      </c>
      <c r="L192" s="2">
        <v>0.44375000000000003</v>
      </c>
      <c r="M192" t="s">
        <v>33</v>
      </c>
      <c r="N192">
        <v>231.12</v>
      </c>
      <c r="O192">
        <v>4.7619047620000003</v>
      </c>
      <c r="P192">
        <v>11.555999999999999</v>
      </c>
      <c r="Q192">
        <v>7.2</v>
      </c>
    </row>
    <row r="193" spans="1:17" x14ac:dyDescent="0.3">
      <c r="A193" t="s">
        <v>227</v>
      </c>
      <c r="B193" t="s">
        <v>42</v>
      </c>
      <c r="C193" t="s">
        <v>43</v>
      </c>
      <c r="D193" t="s">
        <v>27</v>
      </c>
      <c r="E193" t="s">
        <v>21</v>
      </c>
      <c r="F193" t="s">
        <v>46</v>
      </c>
      <c r="G193">
        <v>73.52</v>
      </c>
      <c r="H193">
        <v>2</v>
      </c>
      <c r="I193">
        <v>7.3520000000000003</v>
      </c>
      <c r="J193">
        <v>154.392</v>
      </c>
      <c r="K193" s="1">
        <v>43480</v>
      </c>
      <c r="L193" s="2">
        <v>0.57013888888888886</v>
      </c>
      <c r="M193" t="s">
        <v>23</v>
      </c>
      <c r="N193">
        <v>147.04</v>
      </c>
      <c r="O193">
        <v>4.7619047620000003</v>
      </c>
      <c r="P193">
        <v>7.3520000000000003</v>
      </c>
      <c r="Q193">
        <v>4.5999999999999996</v>
      </c>
    </row>
    <row r="194" spans="1:17" x14ac:dyDescent="0.3">
      <c r="A194" t="s">
        <v>228</v>
      </c>
      <c r="B194" t="s">
        <v>25</v>
      </c>
      <c r="C194" t="s">
        <v>26</v>
      </c>
      <c r="D194" t="s">
        <v>27</v>
      </c>
      <c r="E194" t="s">
        <v>21</v>
      </c>
      <c r="F194" t="s">
        <v>44</v>
      </c>
      <c r="G194">
        <v>87.8</v>
      </c>
      <c r="H194">
        <v>9</v>
      </c>
      <c r="I194">
        <v>39.51</v>
      </c>
      <c r="J194">
        <v>829.71</v>
      </c>
      <c r="K194" s="1">
        <v>43540</v>
      </c>
      <c r="L194" s="2">
        <v>0.79722222222222217</v>
      </c>
      <c r="M194" t="s">
        <v>29</v>
      </c>
      <c r="N194">
        <v>790.2</v>
      </c>
      <c r="O194">
        <v>4.7619047620000003</v>
      </c>
      <c r="P194">
        <v>39.51</v>
      </c>
      <c r="Q194">
        <v>9.1999999999999993</v>
      </c>
    </row>
    <row r="195" spans="1:17" x14ac:dyDescent="0.3">
      <c r="A195" t="s">
        <v>229</v>
      </c>
      <c r="B195" t="s">
        <v>42</v>
      </c>
      <c r="C195" t="s">
        <v>43</v>
      </c>
      <c r="D195" t="s">
        <v>27</v>
      </c>
      <c r="E195" t="s">
        <v>31</v>
      </c>
      <c r="F195" t="s">
        <v>32</v>
      </c>
      <c r="G195">
        <v>25.55</v>
      </c>
      <c r="H195">
        <v>4</v>
      </c>
      <c r="I195">
        <v>5.1100000000000003</v>
      </c>
      <c r="J195">
        <v>107.31</v>
      </c>
      <c r="K195" s="1">
        <v>43491</v>
      </c>
      <c r="L195" s="2">
        <v>0.84930555555555554</v>
      </c>
      <c r="M195" t="s">
        <v>23</v>
      </c>
      <c r="N195">
        <v>102.2</v>
      </c>
      <c r="O195">
        <v>4.7619047620000003</v>
      </c>
      <c r="P195">
        <v>5.1100000000000003</v>
      </c>
      <c r="Q195">
        <v>5.7</v>
      </c>
    </row>
    <row r="196" spans="1:17" x14ac:dyDescent="0.3">
      <c r="A196" t="s">
        <v>230</v>
      </c>
      <c r="B196" t="s">
        <v>18</v>
      </c>
      <c r="C196" t="s">
        <v>19</v>
      </c>
      <c r="D196" t="s">
        <v>27</v>
      </c>
      <c r="E196" t="s">
        <v>31</v>
      </c>
      <c r="F196" t="s">
        <v>28</v>
      </c>
      <c r="G196">
        <v>32.71</v>
      </c>
      <c r="H196">
        <v>5</v>
      </c>
      <c r="I196">
        <v>8.1775000000000002</v>
      </c>
      <c r="J196">
        <v>171.72749999999999</v>
      </c>
      <c r="K196" s="1">
        <v>43543</v>
      </c>
      <c r="L196" s="2">
        <v>0.47916666666666669</v>
      </c>
      <c r="M196" t="s">
        <v>33</v>
      </c>
      <c r="N196">
        <v>163.55000000000001</v>
      </c>
      <c r="O196">
        <v>4.7619047620000003</v>
      </c>
      <c r="P196">
        <v>8.1775000000000002</v>
      </c>
      <c r="Q196">
        <v>9.9</v>
      </c>
    </row>
    <row r="197" spans="1:17" x14ac:dyDescent="0.3">
      <c r="A197" t="s">
        <v>231</v>
      </c>
      <c r="B197" t="s">
        <v>25</v>
      </c>
      <c r="C197" t="s">
        <v>26</v>
      </c>
      <c r="D197" t="s">
        <v>20</v>
      </c>
      <c r="E197" t="s">
        <v>21</v>
      </c>
      <c r="F197" t="s">
        <v>46</v>
      </c>
      <c r="G197">
        <v>74.290000000000006</v>
      </c>
      <c r="H197">
        <v>1</v>
      </c>
      <c r="I197">
        <v>3.7145000000000001</v>
      </c>
      <c r="J197">
        <v>78.004499999999993</v>
      </c>
      <c r="K197" s="1">
        <v>43478</v>
      </c>
      <c r="L197" s="2">
        <v>0.8125</v>
      </c>
      <c r="M197" t="s">
        <v>29</v>
      </c>
      <c r="N197">
        <v>74.290000000000006</v>
      </c>
      <c r="O197">
        <v>4.7619047620000003</v>
      </c>
      <c r="P197">
        <v>3.7145000000000001</v>
      </c>
      <c r="Q197">
        <v>5</v>
      </c>
    </row>
    <row r="198" spans="1:17" x14ac:dyDescent="0.3">
      <c r="A198" t="s">
        <v>232</v>
      </c>
      <c r="B198" t="s">
        <v>25</v>
      </c>
      <c r="C198" t="s">
        <v>26</v>
      </c>
      <c r="D198" t="s">
        <v>20</v>
      </c>
      <c r="E198" t="s">
        <v>31</v>
      </c>
      <c r="F198" t="s">
        <v>22</v>
      </c>
      <c r="G198">
        <v>43.7</v>
      </c>
      <c r="H198">
        <v>2</v>
      </c>
      <c r="I198">
        <v>4.37</v>
      </c>
      <c r="J198">
        <v>91.77</v>
      </c>
      <c r="K198" s="1">
        <v>43550</v>
      </c>
      <c r="L198" s="2">
        <v>0.75208333333333333</v>
      </c>
      <c r="M198" t="s">
        <v>29</v>
      </c>
      <c r="N198">
        <v>87.4</v>
      </c>
      <c r="O198">
        <v>4.7619047620000003</v>
      </c>
      <c r="P198">
        <v>4.37</v>
      </c>
      <c r="Q198">
        <v>4.9000000000000004</v>
      </c>
    </row>
    <row r="199" spans="1:17" x14ac:dyDescent="0.3">
      <c r="A199" t="s">
        <v>233</v>
      </c>
      <c r="B199" t="s">
        <v>18</v>
      </c>
      <c r="C199" t="s">
        <v>19</v>
      </c>
      <c r="D199" t="s">
        <v>27</v>
      </c>
      <c r="E199" t="s">
        <v>21</v>
      </c>
      <c r="F199" t="s">
        <v>32</v>
      </c>
      <c r="G199">
        <v>25.29</v>
      </c>
      <c r="H199">
        <v>1</v>
      </c>
      <c r="I199">
        <v>1.2645</v>
      </c>
      <c r="J199">
        <v>26.554500000000001</v>
      </c>
      <c r="K199" s="1">
        <v>43547</v>
      </c>
      <c r="L199" s="2">
        <v>0.42569444444444443</v>
      </c>
      <c r="M199" t="s">
        <v>23</v>
      </c>
      <c r="N199">
        <v>25.29</v>
      </c>
      <c r="O199">
        <v>4.7619047620000003</v>
      </c>
      <c r="P199">
        <v>1.2645</v>
      </c>
      <c r="Q199">
        <v>6.1</v>
      </c>
    </row>
    <row r="200" spans="1:17" x14ac:dyDescent="0.3">
      <c r="A200" t="s">
        <v>234</v>
      </c>
      <c r="B200" t="s">
        <v>25</v>
      </c>
      <c r="C200" t="s">
        <v>26</v>
      </c>
      <c r="D200" t="s">
        <v>27</v>
      </c>
      <c r="E200" t="s">
        <v>31</v>
      </c>
      <c r="F200" t="s">
        <v>22</v>
      </c>
      <c r="G200">
        <v>41.5</v>
      </c>
      <c r="H200">
        <v>4</v>
      </c>
      <c r="I200">
        <v>8.3000000000000007</v>
      </c>
      <c r="J200">
        <v>174.3</v>
      </c>
      <c r="K200" s="1">
        <v>43536</v>
      </c>
      <c r="L200" s="2">
        <v>0.83194444444444438</v>
      </c>
      <c r="M200" t="s">
        <v>33</v>
      </c>
      <c r="N200">
        <v>166</v>
      </c>
      <c r="O200">
        <v>4.7619047620000003</v>
      </c>
      <c r="P200">
        <v>8.3000000000000007</v>
      </c>
      <c r="Q200">
        <v>8.1999999999999993</v>
      </c>
    </row>
    <row r="201" spans="1:17" x14ac:dyDescent="0.3">
      <c r="A201" t="s">
        <v>235</v>
      </c>
      <c r="B201" t="s">
        <v>25</v>
      </c>
      <c r="C201" t="s">
        <v>26</v>
      </c>
      <c r="D201" t="s">
        <v>20</v>
      </c>
      <c r="E201" t="s">
        <v>21</v>
      </c>
      <c r="F201" t="s">
        <v>44</v>
      </c>
      <c r="G201">
        <v>71.39</v>
      </c>
      <c r="H201">
        <v>5</v>
      </c>
      <c r="I201">
        <v>17.8475</v>
      </c>
      <c r="J201">
        <v>374.79750000000001</v>
      </c>
      <c r="K201" s="1">
        <v>43513</v>
      </c>
      <c r="L201" s="2">
        <v>0.83124999999999993</v>
      </c>
      <c r="M201" t="s">
        <v>33</v>
      </c>
      <c r="N201">
        <v>356.95</v>
      </c>
      <c r="O201">
        <v>4.7619047620000003</v>
      </c>
      <c r="P201">
        <v>17.8475</v>
      </c>
      <c r="Q201">
        <v>5.5</v>
      </c>
    </row>
    <row r="202" spans="1:17" x14ac:dyDescent="0.3">
      <c r="A202" t="s">
        <v>236</v>
      </c>
      <c r="B202" t="s">
        <v>25</v>
      </c>
      <c r="C202" t="s">
        <v>26</v>
      </c>
      <c r="D202" t="s">
        <v>20</v>
      </c>
      <c r="E202" t="s">
        <v>21</v>
      </c>
      <c r="F202" t="s">
        <v>36</v>
      </c>
      <c r="G202">
        <v>19.149999999999999</v>
      </c>
      <c r="H202">
        <v>6</v>
      </c>
      <c r="I202">
        <v>5.7450000000000001</v>
      </c>
      <c r="J202">
        <v>120.645</v>
      </c>
      <c r="K202" s="1">
        <v>43494</v>
      </c>
      <c r="L202" s="2">
        <v>0.41736111111111113</v>
      </c>
      <c r="M202" t="s">
        <v>33</v>
      </c>
      <c r="N202">
        <v>114.9</v>
      </c>
      <c r="O202">
        <v>4.7619047620000003</v>
      </c>
      <c r="P202">
        <v>5.7450000000000001</v>
      </c>
      <c r="Q202">
        <v>6.8</v>
      </c>
    </row>
    <row r="203" spans="1:17" x14ac:dyDescent="0.3">
      <c r="A203" t="s">
        <v>237</v>
      </c>
      <c r="B203" t="s">
        <v>42</v>
      </c>
      <c r="C203" t="s">
        <v>43</v>
      </c>
      <c r="D203" t="s">
        <v>20</v>
      </c>
      <c r="E203" t="s">
        <v>21</v>
      </c>
      <c r="F203" t="s">
        <v>28</v>
      </c>
      <c r="G203">
        <v>57.49</v>
      </c>
      <c r="H203">
        <v>4</v>
      </c>
      <c r="I203">
        <v>11.497999999999999</v>
      </c>
      <c r="J203">
        <v>241.458</v>
      </c>
      <c r="K203" s="1">
        <v>43539</v>
      </c>
      <c r="L203" s="2">
        <v>0.49791666666666662</v>
      </c>
      <c r="M203" t="s">
        <v>29</v>
      </c>
      <c r="N203">
        <v>229.96</v>
      </c>
      <c r="O203">
        <v>4.7619047620000003</v>
      </c>
      <c r="P203">
        <v>11.497999999999999</v>
      </c>
      <c r="Q203">
        <v>6.6</v>
      </c>
    </row>
    <row r="204" spans="1:17" x14ac:dyDescent="0.3">
      <c r="A204" t="s">
        <v>238</v>
      </c>
      <c r="B204" t="s">
        <v>25</v>
      </c>
      <c r="C204" t="s">
        <v>26</v>
      </c>
      <c r="D204" t="s">
        <v>27</v>
      </c>
      <c r="E204" t="s">
        <v>31</v>
      </c>
      <c r="F204" t="s">
        <v>28</v>
      </c>
      <c r="G204">
        <v>61.41</v>
      </c>
      <c r="H204">
        <v>7</v>
      </c>
      <c r="I204">
        <v>21.493500000000001</v>
      </c>
      <c r="J204">
        <v>451.36349999999999</v>
      </c>
      <c r="K204" s="1">
        <v>43479</v>
      </c>
      <c r="L204" s="2">
        <v>0.41805555555555557</v>
      </c>
      <c r="M204" t="s">
        <v>29</v>
      </c>
      <c r="N204">
        <v>429.87</v>
      </c>
      <c r="O204">
        <v>4.7619047620000003</v>
      </c>
      <c r="P204">
        <v>21.493500000000001</v>
      </c>
      <c r="Q204">
        <v>9.8000000000000007</v>
      </c>
    </row>
    <row r="205" spans="1:17" x14ac:dyDescent="0.3">
      <c r="A205" t="s">
        <v>239</v>
      </c>
      <c r="B205" t="s">
        <v>42</v>
      </c>
      <c r="C205" t="s">
        <v>43</v>
      </c>
      <c r="D205" t="s">
        <v>20</v>
      </c>
      <c r="E205" t="s">
        <v>31</v>
      </c>
      <c r="F205" t="s">
        <v>22</v>
      </c>
      <c r="G205">
        <v>25.9</v>
      </c>
      <c r="H205">
        <v>10</v>
      </c>
      <c r="I205">
        <v>12.95</v>
      </c>
      <c r="J205">
        <v>271.95</v>
      </c>
      <c r="K205" s="1">
        <v>43502</v>
      </c>
      <c r="L205" s="2">
        <v>0.61875000000000002</v>
      </c>
      <c r="M205" t="s">
        <v>23</v>
      </c>
      <c r="N205">
        <v>259</v>
      </c>
      <c r="O205">
        <v>4.7619047620000003</v>
      </c>
      <c r="P205">
        <v>12.95</v>
      </c>
      <c r="Q205">
        <v>8.6999999999999993</v>
      </c>
    </row>
    <row r="206" spans="1:17" x14ac:dyDescent="0.3">
      <c r="A206" t="s">
        <v>240</v>
      </c>
      <c r="B206" t="s">
        <v>42</v>
      </c>
      <c r="C206" t="s">
        <v>43</v>
      </c>
      <c r="D206" t="s">
        <v>20</v>
      </c>
      <c r="E206" t="s">
        <v>31</v>
      </c>
      <c r="F206" t="s">
        <v>32</v>
      </c>
      <c r="G206">
        <v>17.77</v>
      </c>
      <c r="H206">
        <v>5</v>
      </c>
      <c r="I206">
        <v>4.4424999999999999</v>
      </c>
      <c r="J206">
        <v>93.292500000000004</v>
      </c>
      <c r="K206" s="1">
        <v>43511</v>
      </c>
      <c r="L206" s="2">
        <v>0.52916666666666667</v>
      </c>
      <c r="M206" t="s">
        <v>33</v>
      </c>
      <c r="N206">
        <v>88.85</v>
      </c>
      <c r="O206">
        <v>4.7619047620000003</v>
      </c>
      <c r="P206">
        <v>4.4424999999999999</v>
      </c>
      <c r="Q206">
        <v>5.4</v>
      </c>
    </row>
    <row r="207" spans="1:17" x14ac:dyDescent="0.3">
      <c r="A207" t="s">
        <v>241</v>
      </c>
      <c r="B207" t="s">
        <v>18</v>
      </c>
      <c r="C207" t="s">
        <v>19</v>
      </c>
      <c r="D207" t="s">
        <v>27</v>
      </c>
      <c r="E207" t="s">
        <v>21</v>
      </c>
      <c r="F207" t="s">
        <v>22</v>
      </c>
      <c r="G207">
        <v>23.03</v>
      </c>
      <c r="H207">
        <v>9</v>
      </c>
      <c r="I207">
        <v>10.3635</v>
      </c>
      <c r="J207">
        <v>217.6335</v>
      </c>
      <c r="K207" s="1">
        <v>43468</v>
      </c>
      <c r="L207" s="2">
        <v>0.50138888888888888</v>
      </c>
      <c r="M207" t="s">
        <v>23</v>
      </c>
      <c r="N207">
        <v>207.27</v>
      </c>
      <c r="O207">
        <v>4.7619047620000003</v>
      </c>
      <c r="P207">
        <v>10.3635</v>
      </c>
      <c r="Q207">
        <v>7.9</v>
      </c>
    </row>
    <row r="208" spans="1:17" x14ac:dyDescent="0.3">
      <c r="A208" t="s">
        <v>242</v>
      </c>
      <c r="B208" t="s">
        <v>25</v>
      </c>
      <c r="C208" t="s">
        <v>26</v>
      </c>
      <c r="D208" t="s">
        <v>20</v>
      </c>
      <c r="E208" t="s">
        <v>21</v>
      </c>
      <c r="F208" t="s">
        <v>28</v>
      </c>
      <c r="G208">
        <v>66.650000000000006</v>
      </c>
      <c r="H208">
        <v>9</v>
      </c>
      <c r="I208">
        <v>29.9925</v>
      </c>
      <c r="J208">
        <v>629.84249999999997</v>
      </c>
      <c r="K208" s="1">
        <v>43469</v>
      </c>
      <c r="L208" s="2">
        <v>0.7631944444444444</v>
      </c>
      <c r="M208" t="s">
        <v>33</v>
      </c>
      <c r="N208">
        <v>599.85</v>
      </c>
      <c r="O208">
        <v>4.7619047620000003</v>
      </c>
      <c r="P208">
        <v>29.9925</v>
      </c>
      <c r="Q208">
        <v>9.6999999999999993</v>
      </c>
    </row>
    <row r="209" spans="1:17" x14ac:dyDescent="0.3">
      <c r="A209" t="s">
        <v>243</v>
      </c>
      <c r="B209" t="s">
        <v>25</v>
      </c>
      <c r="C209" t="s">
        <v>26</v>
      </c>
      <c r="D209" t="s">
        <v>20</v>
      </c>
      <c r="E209" t="s">
        <v>21</v>
      </c>
      <c r="F209" t="s">
        <v>32</v>
      </c>
      <c r="G209">
        <v>28.53</v>
      </c>
      <c r="H209">
        <v>10</v>
      </c>
      <c r="I209">
        <v>14.265000000000001</v>
      </c>
      <c r="J209">
        <v>299.565</v>
      </c>
      <c r="K209" s="1">
        <v>43542</v>
      </c>
      <c r="L209" s="2">
        <v>0.73472222222222217</v>
      </c>
      <c r="M209" t="s">
        <v>23</v>
      </c>
      <c r="N209">
        <v>285.3</v>
      </c>
      <c r="O209">
        <v>4.7619047620000003</v>
      </c>
      <c r="P209">
        <v>14.265000000000001</v>
      </c>
      <c r="Q209">
        <v>7.8</v>
      </c>
    </row>
    <row r="210" spans="1:17" x14ac:dyDescent="0.3">
      <c r="A210" t="s">
        <v>244</v>
      </c>
      <c r="B210" t="s">
        <v>42</v>
      </c>
      <c r="C210" t="s">
        <v>43</v>
      </c>
      <c r="D210" t="s">
        <v>27</v>
      </c>
      <c r="E210" t="s">
        <v>21</v>
      </c>
      <c r="F210" t="s">
        <v>46</v>
      </c>
      <c r="G210">
        <v>30.37</v>
      </c>
      <c r="H210">
        <v>3</v>
      </c>
      <c r="I210">
        <v>4.5555000000000003</v>
      </c>
      <c r="J210">
        <v>95.665499999999994</v>
      </c>
      <c r="K210" s="1">
        <v>43552</v>
      </c>
      <c r="L210" s="2">
        <v>0.57013888888888886</v>
      </c>
      <c r="M210" t="s">
        <v>23</v>
      </c>
      <c r="N210">
        <v>91.11</v>
      </c>
      <c r="O210">
        <v>4.7619047620000003</v>
      </c>
      <c r="P210">
        <v>4.5555000000000003</v>
      </c>
      <c r="Q210">
        <v>5.0999999999999996</v>
      </c>
    </row>
    <row r="211" spans="1:17" x14ac:dyDescent="0.3">
      <c r="A211" t="s">
        <v>245</v>
      </c>
      <c r="B211" t="s">
        <v>42</v>
      </c>
      <c r="C211" t="s">
        <v>43</v>
      </c>
      <c r="D211" t="s">
        <v>27</v>
      </c>
      <c r="E211" t="s">
        <v>21</v>
      </c>
      <c r="F211" t="s">
        <v>28</v>
      </c>
      <c r="G211">
        <v>99.73</v>
      </c>
      <c r="H211">
        <v>9</v>
      </c>
      <c r="I211">
        <v>44.878500000000003</v>
      </c>
      <c r="J211">
        <v>942.44849999999997</v>
      </c>
      <c r="K211" s="1">
        <v>43526</v>
      </c>
      <c r="L211" s="2">
        <v>0.8208333333333333</v>
      </c>
      <c r="M211" t="s">
        <v>33</v>
      </c>
      <c r="N211">
        <v>897.57</v>
      </c>
      <c r="O211">
        <v>4.7619047620000003</v>
      </c>
      <c r="P211">
        <v>44.878500000000003</v>
      </c>
      <c r="Q211">
        <v>6.5</v>
      </c>
    </row>
    <row r="212" spans="1:17" x14ac:dyDescent="0.3">
      <c r="A212" t="s">
        <v>246</v>
      </c>
      <c r="B212" t="s">
        <v>18</v>
      </c>
      <c r="C212" t="s">
        <v>19</v>
      </c>
      <c r="D212" t="s">
        <v>27</v>
      </c>
      <c r="E212" t="s">
        <v>31</v>
      </c>
      <c r="F212" t="s">
        <v>28</v>
      </c>
      <c r="G212">
        <v>26.23</v>
      </c>
      <c r="H212">
        <v>9</v>
      </c>
      <c r="I212">
        <v>11.8035</v>
      </c>
      <c r="J212">
        <v>247.87350000000001</v>
      </c>
      <c r="K212" s="1">
        <v>43490</v>
      </c>
      <c r="L212" s="2">
        <v>0.85</v>
      </c>
      <c r="M212" t="s">
        <v>23</v>
      </c>
      <c r="N212">
        <v>236.07</v>
      </c>
      <c r="O212">
        <v>4.7619047620000003</v>
      </c>
      <c r="P212">
        <v>11.8035</v>
      </c>
      <c r="Q212">
        <v>5.9</v>
      </c>
    </row>
    <row r="213" spans="1:17" x14ac:dyDescent="0.3">
      <c r="A213" t="s">
        <v>247</v>
      </c>
      <c r="B213" t="s">
        <v>25</v>
      </c>
      <c r="C213" t="s">
        <v>26</v>
      </c>
      <c r="D213" t="s">
        <v>27</v>
      </c>
      <c r="E213" t="s">
        <v>21</v>
      </c>
      <c r="F213" t="s">
        <v>44</v>
      </c>
      <c r="G213">
        <v>93.26</v>
      </c>
      <c r="H213">
        <v>9</v>
      </c>
      <c r="I213">
        <v>41.966999999999999</v>
      </c>
      <c r="J213">
        <v>881.30700000000002</v>
      </c>
      <c r="K213" s="1">
        <v>43481</v>
      </c>
      <c r="L213" s="2">
        <v>0.75555555555555554</v>
      </c>
      <c r="M213" t="s">
        <v>29</v>
      </c>
      <c r="N213">
        <v>839.34</v>
      </c>
      <c r="O213">
        <v>4.7619047620000003</v>
      </c>
      <c r="P213">
        <v>41.966999999999999</v>
      </c>
      <c r="Q213">
        <v>8.8000000000000007</v>
      </c>
    </row>
    <row r="214" spans="1:17" x14ac:dyDescent="0.3">
      <c r="A214" t="s">
        <v>248</v>
      </c>
      <c r="B214" t="s">
        <v>42</v>
      </c>
      <c r="C214" t="s">
        <v>43</v>
      </c>
      <c r="D214" t="s">
        <v>27</v>
      </c>
      <c r="E214" t="s">
        <v>31</v>
      </c>
      <c r="F214" t="s">
        <v>32</v>
      </c>
      <c r="G214">
        <v>92.36</v>
      </c>
      <c r="H214">
        <v>5</v>
      </c>
      <c r="I214">
        <v>23.09</v>
      </c>
      <c r="J214">
        <v>484.89</v>
      </c>
      <c r="K214" s="1">
        <v>43544</v>
      </c>
      <c r="L214" s="2">
        <v>0.80347222222222225</v>
      </c>
      <c r="M214" t="s">
        <v>23</v>
      </c>
      <c r="N214">
        <v>461.8</v>
      </c>
      <c r="O214">
        <v>4.7619047620000003</v>
      </c>
      <c r="P214">
        <v>23.09</v>
      </c>
      <c r="Q214">
        <v>4.9000000000000004</v>
      </c>
    </row>
    <row r="215" spans="1:17" x14ac:dyDescent="0.3">
      <c r="A215" t="s">
        <v>249</v>
      </c>
      <c r="B215" t="s">
        <v>42</v>
      </c>
      <c r="C215" t="s">
        <v>43</v>
      </c>
      <c r="D215" t="s">
        <v>27</v>
      </c>
      <c r="E215" t="s">
        <v>31</v>
      </c>
      <c r="F215" t="s">
        <v>36</v>
      </c>
      <c r="G215">
        <v>46.42</v>
      </c>
      <c r="H215">
        <v>3</v>
      </c>
      <c r="I215">
        <v>6.9630000000000001</v>
      </c>
      <c r="J215">
        <v>146.22300000000001</v>
      </c>
      <c r="K215" s="1">
        <v>43469</v>
      </c>
      <c r="L215" s="2">
        <v>0.55833333333333335</v>
      </c>
      <c r="M215" t="s">
        <v>33</v>
      </c>
      <c r="N215">
        <v>139.26</v>
      </c>
      <c r="O215">
        <v>4.7619047620000003</v>
      </c>
      <c r="P215">
        <v>6.9630000000000001</v>
      </c>
      <c r="Q215">
        <v>4.4000000000000004</v>
      </c>
    </row>
    <row r="216" spans="1:17" x14ac:dyDescent="0.3">
      <c r="A216" t="s">
        <v>250</v>
      </c>
      <c r="B216" t="s">
        <v>42</v>
      </c>
      <c r="C216" t="s">
        <v>43</v>
      </c>
      <c r="D216" t="s">
        <v>20</v>
      </c>
      <c r="E216" t="s">
        <v>21</v>
      </c>
      <c r="F216" t="s">
        <v>36</v>
      </c>
      <c r="G216">
        <v>29.61</v>
      </c>
      <c r="H216">
        <v>7</v>
      </c>
      <c r="I216">
        <v>10.3635</v>
      </c>
      <c r="J216">
        <v>217.6335</v>
      </c>
      <c r="K216" s="1">
        <v>43535</v>
      </c>
      <c r="L216" s="2">
        <v>0.66180555555555554</v>
      </c>
      <c r="M216" t="s">
        <v>29</v>
      </c>
      <c r="N216">
        <v>207.27</v>
      </c>
      <c r="O216">
        <v>4.7619047620000003</v>
      </c>
      <c r="P216">
        <v>10.3635</v>
      </c>
      <c r="Q216">
        <v>6.5</v>
      </c>
    </row>
    <row r="217" spans="1:17" x14ac:dyDescent="0.3">
      <c r="A217" t="s">
        <v>251</v>
      </c>
      <c r="B217" t="s">
        <v>18</v>
      </c>
      <c r="C217" t="s">
        <v>19</v>
      </c>
      <c r="D217" t="s">
        <v>27</v>
      </c>
      <c r="E217" t="s">
        <v>31</v>
      </c>
      <c r="F217" t="s">
        <v>32</v>
      </c>
      <c r="G217">
        <v>18.28</v>
      </c>
      <c r="H217">
        <v>1</v>
      </c>
      <c r="I217">
        <v>0.91400000000000003</v>
      </c>
      <c r="J217">
        <v>19.193999999999999</v>
      </c>
      <c r="K217" s="1">
        <v>43546</v>
      </c>
      <c r="L217" s="2">
        <v>0.62847222222222221</v>
      </c>
      <c r="M217" t="s">
        <v>33</v>
      </c>
      <c r="N217">
        <v>18.28</v>
      </c>
      <c r="O217">
        <v>4.7619047620000003</v>
      </c>
      <c r="P217">
        <v>0.91400000000000003</v>
      </c>
      <c r="Q217">
        <v>8.3000000000000007</v>
      </c>
    </row>
    <row r="218" spans="1:17" x14ac:dyDescent="0.3">
      <c r="A218" t="s">
        <v>252</v>
      </c>
      <c r="B218" t="s">
        <v>42</v>
      </c>
      <c r="C218" t="s">
        <v>43</v>
      </c>
      <c r="D218" t="s">
        <v>27</v>
      </c>
      <c r="E218" t="s">
        <v>21</v>
      </c>
      <c r="F218" t="s">
        <v>36</v>
      </c>
      <c r="G218">
        <v>24.77</v>
      </c>
      <c r="H218">
        <v>5</v>
      </c>
      <c r="I218">
        <v>6.1924999999999999</v>
      </c>
      <c r="J218">
        <v>130.04249999999999</v>
      </c>
      <c r="K218" s="1">
        <v>43548</v>
      </c>
      <c r="L218" s="2">
        <v>0.76874999999999993</v>
      </c>
      <c r="M218" t="s">
        <v>29</v>
      </c>
      <c r="N218">
        <v>123.85</v>
      </c>
      <c r="O218">
        <v>4.7619047620000003</v>
      </c>
      <c r="P218">
        <v>6.1924999999999999</v>
      </c>
      <c r="Q218">
        <v>8.5</v>
      </c>
    </row>
    <row r="219" spans="1:17" x14ac:dyDescent="0.3">
      <c r="A219" t="s">
        <v>253</v>
      </c>
      <c r="B219" t="s">
        <v>18</v>
      </c>
      <c r="C219" t="s">
        <v>19</v>
      </c>
      <c r="D219" t="s">
        <v>20</v>
      </c>
      <c r="E219" t="s">
        <v>21</v>
      </c>
      <c r="F219" t="s">
        <v>28</v>
      </c>
      <c r="G219">
        <v>94.64</v>
      </c>
      <c r="H219">
        <v>3</v>
      </c>
      <c r="I219">
        <v>14.196</v>
      </c>
      <c r="J219">
        <v>298.11599999999999</v>
      </c>
      <c r="K219" s="1">
        <v>43517</v>
      </c>
      <c r="L219" s="2">
        <v>0.70486111111111116</v>
      </c>
      <c r="M219" t="s">
        <v>29</v>
      </c>
      <c r="N219">
        <v>283.92</v>
      </c>
      <c r="O219">
        <v>4.7619047620000003</v>
      </c>
      <c r="P219">
        <v>14.196</v>
      </c>
      <c r="Q219">
        <v>5.5</v>
      </c>
    </row>
    <row r="220" spans="1:17" x14ac:dyDescent="0.3">
      <c r="A220" t="s">
        <v>254</v>
      </c>
      <c r="B220" t="s">
        <v>42</v>
      </c>
      <c r="C220" t="s">
        <v>43</v>
      </c>
      <c r="D220" t="s">
        <v>27</v>
      </c>
      <c r="E220" t="s">
        <v>31</v>
      </c>
      <c r="F220" t="s">
        <v>46</v>
      </c>
      <c r="G220">
        <v>94.87</v>
      </c>
      <c r="H220">
        <v>8</v>
      </c>
      <c r="I220">
        <v>37.948</v>
      </c>
      <c r="J220">
        <v>796.90800000000002</v>
      </c>
      <c r="K220" s="1">
        <v>43508</v>
      </c>
      <c r="L220" s="2">
        <v>0.54027777777777775</v>
      </c>
      <c r="M220" t="s">
        <v>23</v>
      </c>
      <c r="N220">
        <v>758.96</v>
      </c>
      <c r="O220">
        <v>4.7619047620000003</v>
      </c>
      <c r="P220">
        <v>37.948</v>
      </c>
      <c r="Q220">
        <v>8.6999999999999993</v>
      </c>
    </row>
    <row r="221" spans="1:17" x14ac:dyDescent="0.3">
      <c r="A221" t="s">
        <v>255</v>
      </c>
      <c r="B221" t="s">
        <v>42</v>
      </c>
      <c r="C221" t="s">
        <v>43</v>
      </c>
      <c r="D221" t="s">
        <v>27</v>
      </c>
      <c r="E221" t="s">
        <v>21</v>
      </c>
      <c r="F221" t="s">
        <v>44</v>
      </c>
      <c r="G221">
        <v>57.34</v>
      </c>
      <c r="H221">
        <v>3</v>
      </c>
      <c r="I221">
        <v>8.6010000000000009</v>
      </c>
      <c r="J221">
        <v>180.62100000000001</v>
      </c>
      <c r="K221" s="1">
        <v>43534</v>
      </c>
      <c r="L221" s="2">
        <v>0.7909722222222223</v>
      </c>
      <c r="M221" t="s">
        <v>33</v>
      </c>
      <c r="N221">
        <v>172.02</v>
      </c>
      <c r="O221">
        <v>4.7619047620000003</v>
      </c>
      <c r="P221">
        <v>8.6010000000000009</v>
      </c>
      <c r="Q221">
        <v>7.9</v>
      </c>
    </row>
    <row r="222" spans="1:17" x14ac:dyDescent="0.3">
      <c r="A222" t="s">
        <v>256</v>
      </c>
      <c r="B222" t="s">
        <v>42</v>
      </c>
      <c r="C222" t="s">
        <v>43</v>
      </c>
      <c r="D222" t="s">
        <v>27</v>
      </c>
      <c r="E222" t="s">
        <v>31</v>
      </c>
      <c r="F222" t="s">
        <v>28</v>
      </c>
      <c r="G222">
        <v>45.35</v>
      </c>
      <c r="H222">
        <v>6</v>
      </c>
      <c r="I222">
        <v>13.605</v>
      </c>
      <c r="J222">
        <v>285.70499999999998</v>
      </c>
      <c r="K222" s="1">
        <v>43496</v>
      </c>
      <c r="L222" s="2">
        <v>0.57222222222222219</v>
      </c>
      <c r="M222" t="s">
        <v>23</v>
      </c>
      <c r="N222">
        <v>272.10000000000002</v>
      </c>
      <c r="O222">
        <v>4.7619047620000003</v>
      </c>
      <c r="P222">
        <v>13.605</v>
      </c>
      <c r="Q222">
        <v>6.1</v>
      </c>
    </row>
    <row r="223" spans="1:17" x14ac:dyDescent="0.3">
      <c r="A223" t="s">
        <v>257</v>
      </c>
      <c r="B223" t="s">
        <v>42</v>
      </c>
      <c r="C223" t="s">
        <v>43</v>
      </c>
      <c r="D223" t="s">
        <v>27</v>
      </c>
      <c r="E223" t="s">
        <v>31</v>
      </c>
      <c r="F223" t="s">
        <v>44</v>
      </c>
      <c r="G223">
        <v>62.08</v>
      </c>
      <c r="H223">
        <v>7</v>
      </c>
      <c r="I223">
        <v>21.728000000000002</v>
      </c>
      <c r="J223">
        <v>456.28800000000001</v>
      </c>
      <c r="K223" s="1">
        <v>43530</v>
      </c>
      <c r="L223" s="2">
        <v>0.57361111111111118</v>
      </c>
      <c r="M223" t="s">
        <v>23</v>
      </c>
      <c r="N223">
        <v>434.56</v>
      </c>
      <c r="O223">
        <v>4.7619047620000003</v>
      </c>
      <c r="P223">
        <v>21.728000000000002</v>
      </c>
      <c r="Q223">
        <v>5.4</v>
      </c>
    </row>
    <row r="224" spans="1:17" x14ac:dyDescent="0.3">
      <c r="A224" t="s">
        <v>258</v>
      </c>
      <c r="B224" t="s">
        <v>25</v>
      </c>
      <c r="C224" t="s">
        <v>26</v>
      </c>
      <c r="D224" t="s">
        <v>27</v>
      </c>
      <c r="E224" t="s">
        <v>31</v>
      </c>
      <c r="F224" t="s">
        <v>28</v>
      </c>
      <c r="G224">
        <v>11.81</v>
      </c>
      <c r="H224">
        <v>5</v>
      </c>
      <c r="I224">
        <v>2.9525000000000001</v>
      </c>
      <c r="J224">
        <v>62.002499999999998</v>
      </c>
      <c r="K224" s="1">
        <v>43513</v>
      </c>
      <c r="L224" s="2">
        <v>0.75416666666666676</v>
      </c>
      <c r="M224" t="s">
        <v>29</v>
      </c>
      <c r="N224">
        <v>59.05</v>
      </c>
      <c r="O224">
        <v>4.7619047620000003</v>
      </c>
      <c r="P224">
        <v>2.9525000000000001</v>
      </c>
      <c r="Q224">
        <v>9.4</v>
      </c>
    </row>
    <row r="225" spans="1:17" x14ac:dyDescent="0.3">
      <c r="A225" t="s">
        <v>259</v>
      </c>
      <c r="B225" t="s">
        <v>25</v>
      </c>
      <c r="C225" t="s">
        <v>26</v>
      </c>
      <c r="D225" t="s">
        <v>20</v>
      </c>
      <c r="E225" t="s">
        <v>21</v>
      </c>
      <c r="F225" t="s">
        <v>46</v>
      </c>
      <c r="G225">
        <v>12.54</v>
      </c>
      <c r="H225">
        <v>1</v>
      </c>
      <c r="I225">
        <v>0.627</v>
      </c>
      <c r="J225">
        <v>13.167</v>
      </c>
      <c r="K225" s="1">
        <v>43517</v>
      </c>
      <c r="L225" s="2">
        <v>0.52638888888888891</v>
      </c>
      <c r="M225" t="s">
        <v>29</v>
      </c>
      <c r="N225">
        <v>12.54</v>
      </c>
      <c r="O225">
        <v>4.7619047620000003</v>
      </c>
      <c r="P225">
        <v>0.627</v>
      </c>
      <c r="Q225">
        <v>8.1999999999999993</v>
      </c>
    </row>
    <row r="226" spans="1:17" x14ac:dyDescent="0.3">
      <c r="A226" t="s">
        <v>260</v>
      </c>
      <c r="B226" t="s">
        <v>18</v>
      </c>
      <c r="C226" t="s">
        <v>19</v>
      </c>
      <c r="D226" t="s">
        <v>27</v>
      </c>
      <c r="E226" t="s">
        <v>31</v>
      </c>
      <c r="F226" t="s">
        <v>44</v>
      </c>
      <c r="G226">
        <v>43.25</v>
      </c>
      <c r="H226">
        <v>2</v>
      </c>
      <c r="I226">
        <v>4.3250000000000002</v>
      </c>
      <c r="J226">
        <v>90.825000000000003</v>
      </c>
      <c r="K226" s="1">
        <v>43544</v>
      </c>
      <c r="L226" s="2">
        <v>0.66388888888888886</v>
      </c>
      <c r="M226" t="s">
        <v>29</v>
      </c>
      <c r="N226">
        <v>86.5</v>
      </c>
      <c r="O226">
        <v>4.7619047620000003</v>
      </c>
      <c r="P226">
        <v>4.3250000000000002</v>
      </c>
      <c r="Q226">
        <v>6.2</v>
      </c>
    </row>
    <row r="227" spans="1:17" x14ac:dyDescent="0.3">
      <c r="A227" t="s">
        <v>261</v>
      </c>
      <c r="B227" t="s">
        <v>25</v>
      </c>
      <c r="C227" t="s">
        <v>26</v>
      </c>
      <c r="D227" t="s">
        <v>20</v>
      </c>
      <c r="E227" t="s">
        <v>21</v>
      </c>
      <c r="F227" t="s">
        <v>36</v>
      </c>
      <c r="G227">
        <v>87.16</v>
      </c>
      <c r="H227">
        <v>2</v>
      </c>
      <c r="I227">
        <v>8.7159999999999993</v>
      </c>
      <c r="J227">
        <v>183.036</v>
      </c>
      <c r="K227" s="1">
        <v>43476</v>
      </c>
      <c r="L227" s="2">
        <v>0.60347222222222219</v>
      </c>
      <c r="M227" t="s">
        <v>33</v>
      </c>
      <c r="N227">
        <v>174.32</v>
      </c>
      <c r="O227">
        <v>4.7619047620000003</v>
      </c>
      <c r="P227">
        <v>8.7159999999999993</v>
      </c>
      <c r="Q227">
        <v>9.6999999999999993</v>
      </c>
    </row>
    <row r="228" spans="1:17" x14ac:dyDescent="0.3">
      <c r="A228" t="s">
        <v>262</v>
      </c>
      <c r="B228" t="s">
        <v>42</v>
      </c>
      <c r="C228" t="s">
        <v>43</v>
      </c>
      <c r="D228" t="s">
        <v>20</v>
      </c>
      <c r="E228" t="s">
        <v>31</v>
      </c>
      <c r="F228" t="s">
        <v>22</v>
      </c>
      <c r="G228">
        <v>69.37</v>
      </c>
      <c r="H228">
        <v>9</v>
      </c>
      <c r="I228">
        <v>31.2165</v>
      </c>
      <c r="J228">
        <v>655.54650000000004</v>
      </c>
      <c r="K228" s="1">
        <v>43491</v>
      </c>
      <c r="L228" s="2">
        <v>0.80138888888888893</v>
      </c>
      <c r="M228" t="s">
        <v>23</v>
      </c>
      <c r="N228">
        <v>624.33000000000004</v>
      </c>
      <c r="O228">
        <v>4.7619047620000003</v>
      </c>
      <c r="P228">
        <v>31.2165</v>
      </c>
      <c r="Q228">
        <v>4</v>
      </c>
    </row>
    <row r="229" spans="1:17" x14ac:dyDescent="0.3">
      <c r="A229" t="s">
        <v>263</v>
      </c>
      <c r="B229" t="s">
        <v>25</v>
      </c>
      <c r="C229" t="s">
        <v>26</v>
      </c>
      <c r="D229" t="s">
        <v>20</v>
      </c>
      <c r="E229" t="s">
        <v>31</v>
      </c>
      <c r="F229" t="s">
        <v>28</v>
      </c>
      <c r="G229">
        <v>37.06</v>
      </c>
      <c r="H229">
        <v>4</v>
      </c>
      <c r="I229">
        <v>7.4119999999999999</v>
      </c>
      <c r="J229">
        <v>155.65199999999999</v>
      </c>
      <c r="K229" s="1">
        <v>43496</v>
      </c>
      <c r="L229" s="2">
        <v>0.68333333333333324</v>
      </c>
      <c r="M229" t="s">
        <v>23</v>
      </c>
      <c r="N229">
        <v>148.24</v>
      </c>
      <c r="O229">
        <v>4.7619047620000003</v>
      </c>
      <c r="P229">
        <v>7.4119999999999999</v>
      </c>
      <c r="Q229">
        <v>9.6999999999999993</v>
      </c>
    </row>
    <row r="230" spans="1:17" x14ac:dyDescent="0.3">
      <c r="A230" t="s">
        <v>264</v>
      </c>
      <c r="B230" t="s">
        <v>42</v>
      </c>
      <c r="C230" t="s">
        <v>43</v>
      </c>
      <c r="D230" t="s">
        <v>20</v>
      </c>
      <c r="E230" t="s">
        <v>21</v>
      </c>
      <c r="F230" t="s">
        <v>28</v>
      </c>
      <c r="G230">
        <v>90.7</v>
      </c>
      <c r="H230">
        <v>6</v>
      </c>
      <c r="I230">
        <v>27.21</v>
      </c>
      <c r="J230">
        <v>571.41</v>
      </c>
      <c r="K230" s="1">
        <v>43522</v>
      </c>
      <c r="L230" s="2">
        <v>0.45277777777777778</v>
      </c>
      <c r="M230" t="s">
        <v>29</v>
      </c>
      <c r="N230">
        <v>544.20000000000005</v>
      </c>
      <c r="O230">
        <v>4.7619047620000003</v>
      </c>
      <c r="P230">
        <v>27.21</v>
      </c>
      <c r="Q230">
        <v>5.3</v>
      </c>
    </row>
    <row r="231" spans="1:17" x14ac:dyDescent="0.3">
      <c r="A231" t="s">
        <v>265</v>
      </c>
      <c r="B231" t="s">
        <v>18</v>
      </c>
      <c r="C231" t="s">
        <v>19</v>
      </c>
      <c r="D231" t="s">
        <v>27</v>
      </c>
      <c r="E231" t="s">
        <v>21</v>
      </c>
      <c r="F231" t="s">
        <v>32</v>
      </c>
      <c r="G231">
        <v>63.42</v>
      </c>
      <c r="H231">
        <v>8</v>
      </c>
      <c r="I231">
        <v>25.367999999999999</v>
      </c>
      <c r="J231">
        <v>532.72799999999995</v>
      </c>
      <c r="K231" s="1">
        <v>43535</v>
      </c>
      <c r="L231" s="2">
        <v>0.53819444444444442</v>
      </c>
      <c r="M231" t="s">
        <v>23</v>
      </c>
      <c r="N231">
        <v>507.36</v>
      </c>
      <c r="O231">
        <v>4.7619047620000003</v>
      </c>
      <c r="P231">
        <v>25.367999999999999</v>
      </c>
      <c r="Q231">
        <v>7.4</v>
      </c>
    </row>
    <row r="232" spans="1:17" x14ac:dyDescent="0.3">
      <c r="A232" t="s">
        <v>266</v>
      </c>
      <c r="B232" t="s">
        <v>42</v>
      </c>
      <c r="C232" t="s">
        <v>43</v>
      </c>
      <c r="D232" t="s">
        <v>27</v>
      </c>
      <c r="E232" t="s">
        <v>21</v>
      </c>
      <c r="F232" t="s">
        <v>46</v>
      </c>
      <c r="G232">
        <v>81.37</v>
      </c>
      <c r="H232">
        <v>2</v>
      </c>
      <c r="I232">
        <v>8.1370000000000005</v>
      </c>
      <c r="J232">
        <v>170.87700000000001</v>
      </c>
      <c r="K232" s="1">
        <v>43491</v>
      </c>
      <c r="L232" s="2">
        <v>0.81111111111111101</v>
      </c>
      <c r="M232" t="s">
        <v>29</v>
      </c>
      <c r="N232">
        <v>162.74</v>
      </c>
      <c r="O232">
        <v>4.7619047620000003</v>
      </c>
      <c r="P232">
        <v>8.1370000000000005</v>
      </c>
      <c r="Q232">
        <v>6.5</v>
      </c>
    </row>
    <row r="233" spans="1:17" x14ac:dyDescent="0.3">
      <c r="A233" t="s">
        <v>267</v>
      </c>
      <c r="B233" t="s">
        <v>42</v>
      </c>
      <c r="C233" t="s">
        <v>43</v>
      </c>
      <c r="D233" t="s">
        <v>20</v>
      </c>
      <c r="E233" t="s">
        <v>21</v>
      </c>
      <c r="F233" t="s">
        <v>28</v>
      </c>
      <c r="G233">
        <v>10.59</v>
      </c>
      <c r="H233">
        <v>3</v>
      </c>
      <c r="I233">
        <v>1.5885</v>
      </c>
      <c r="J233">
        <v>33.358499999999999</v>
      </c>
      <c r="K233" s="1">
        <v>43536</v>
      </c>
      <c r="L233" s="2">
        <v>0.57777777777777783</v>
      </c>
      <c r="M233" t="s">
        <v>33</v>
      </c>
      <c r="N233">
        <v>31.77</v>
      </c>
      <c r="O233">
        <v>4.7619047620000003</v>
      </c>
      <c r="P233">
        <v>1.5885</v>
      </c>
      <c r="Q233">
        <v>8.6999999999999993</v>
      </c>
    </row>
    <row r="234" spans="1:17" x14ac:dyDescent="0.3">
      <c r="A234" t="s">
        <v>268</v>
      </c>
      <c r="B234" t="s">
        <v>42</v>
      </c>
      <c r="C234" t="s">
        <v>43</v>
      </c>
      <c r="D234" t="s">
        <v>27</v>
      </c>
      <c r="E234" t="s">
        <v>21</v>
      </c>
      <c r="F234" t="s">
        <v>22</v>
      </c>
      <c r="G234">
        <v>84.09</v>
      </c>
      <c r="H234">
        <v>9</v>
      </c>
      <c r="I234">
        <v>37.840499999999999</v>
      </c>
      <c r="J234">
        <v>794.65049999999997</v>
      </c>
      <c r="K234" s="1">
        <v>43507</v>
      </c>
      <c r="L234" s="2">
        <v>0.45416666666666666</v>
      </c>
      <c r="M234" t="s">
        <v>29</v>
      </c>
      <c r="N234">
        <v>756.81</v>
      </c>
      <c r="O234">
        <v>4.7619047620000003</v>
      </c>
      <c r="P234">
        <v>37.840499999999999</v>
      </c>
      <c r="Q234">
        <v>8</v>
      </c>
    </row>
    <row r="235" spans="1:17" x14ac:dyDescent="0.3">
      <c r="A235" t="s">
        <v>269</v>
      </c>
      <c r="B235" t="s">
        <v>42</v>
      </c>
      <c r="C235" t="s">
        <v>43</v>
      </c>
      <c r="D235" t="s">
        <v>20</v>
      </c>
      <c r="E235" t="s">
        <v>31</v>
      </c>
      <c r="F235" t="s">
        <v>46</v>
      </c>
      <c r="G235">
        <v>73.819999999999993</v>
      </c>
      <c r="H235">
        <v>4</v>
      </c>
      <c r="I235">
        <v>14.763999999999999</v>
      </c>
      <c r="J235">
        <v>310.04399999999998</v>
      </c>
      <c r="K235" s="1">
        <v>43517</v>
      </c>
      <c r="L235" s="2">
        <v>0.7715277777777777</v>
      </c>
      <c r="M235" t="s">
        <v>29</v>
      </c>
      <c r="N235">
        <v>295.27999999999997</v>
      </c>
      <c r="O235">
        <v>4.7619047620000003</v>
      </c>
      <c r="P235">
        <v>14.763999999999999</v>
      </c>
      <c r="Q235">
        <v>6.7</v>
      </c>
    </row>
    <row r="236" spans="1:17" x14ac:dyDescent="0.3">
      <c r="A236" t="s">
        <v>270</v>
      </c>
      <c r="B236" t="s">
        <v>18</v>
      </c>
      <c r="C236" t="s">
        <v>19</v>
      </c>
      <c r="D236" t="s">
        <v>20</v>
      </c>
      <c r="E236" t="s">
        <v>31</v>
      </c>
      <c r="F236" t="s">
        <v>22</v>
      </c>
      <c r="G236">
        <v>51.94</v>
      </c>
      <c r="H236">
        <v>10</v>
      </c>
      <c r="I236">
        <v>25.97</v>
      </c>
      <c r="J236">
        <v>545.37</v>
      </c>
      <c r="K236" s="1">
        <v>43533</v>
      </c>
      <c r="L236" s="2">
        <v>0.76666666666666661</v>
      </c>
      <c r="M236" t="s">
        <v>23</v>
      </c>
      <c r="N236">
        <v>519.4</v>
      </c>
      <c r="O236">
        <v>4.7619047620000003</v>
      </c>
      <c r="P236">
        <v>25.97</v>
      </c>
      <c r="Q236">
        <v>6.5</v>
      </c>
    </row>
    <row r="237" spans="1:17" x14ac:dyDescent="0.3">
      <c r="A237" t="s">
        <v>271</v>
      </c>
      <c r="B237" t="s">
        <v>18</v>
      </c>
      <c r="C237" t="s">
        <v>19</v>
      </c>
      <c r="D237" t="s">
        <v>27</v>
      </c>
      <c r="E237" t="s">
        <v>21</v>
      </c>
      <c r="F237" t="s">
        <v>36</v>
      </c>
      <c r="G237">
        <v>93.14</v>
      </c>
      <c r="H237">
        <v>2</v>
      </c>
      <c r="I237">
        <v>9.3140000000000001</v>
      </c>
      <c r="J237">
        <v>195.59399999999999</v>
      </c>
      <c r="K237" s="1">
        <v>43485</v>
      </c>
      <c r="L237" s="2">
        <v>0.75624999999999998</v>
      </c>
      <c r="M237" t="s">
        <v>23</v>
      </c>
      <c r="N237">
        <v>186.28</v>
      </c>
      <c r="O237">
        <v>4.7619047620000003</v>
      </c>
      <c r="P237">
        <v>9.3140000000000001</v>
      </c>
      <c r="Q237">
        <v>4.0999999999999996</v>
      </c>
    </row>
    <row r="238" spans="1:17" x14ac:dyDescent="0.3">
      <c r="A238" t="s">
        <v>272</v>
      </c>
      <c r="B238" t="s">
        <v>25</v>
      </c>
      <c r="C238" t="s">
        <v>26</v>
      </c>
      <c r="D238" t="s">
        <v>27</v>
      </c>
      <c r="E238" t="s">
        <v>31</v>
      </c>
      <c r="F238" t="s">
        <v>22</v>
      </c>
      <c r="G238">
        <v>17.41</v>
      </c>
      <c r="H238">
        <v>5</v>
      </c>
      <c r="I238">
        <v>4.3525</v>
      </c>
      <c r="J238">
        <v>91.402500000000003</v>
      </c>
      <c r="K238" s="1">
        <v>43493</v>
      </c>
      <c r="L238" s="2">
        <v>0.63611111111111118</v>
      </c>
      <c r="M238" t="s">
        <v>33</v>
      </c>
      <c r="N238">
        <v>87.05</v>
      </c>
      <c r="O238">
        <v>4.7619047620000003</v>
      </c>
      <c r="P238">
        <v>4.3525</v>
      </c>
      <c r="Q238">
        <v>4.9000000000000004</v>
      </c>
    </row>
    <row r="239" spans="1:17" x14ac:dyDescent="0.3">
      <c r="A239" t="s">
        <v>273</v>
      </c>
      <c r="B239" t="s">
        <v>25</v>
      </c>
      <c r="C239" t="s">
        <v>26</v>
      </c>
      <c r="D239" t="s">
        <v>20</v>
      </c>
      <c r="E239" t="s">
        <v>21</v>
      </c>
      <c r="F239" t="s">
        <v>46</v>
      </c>
      <c r="G239">
        <v>44.22</v>
      </c>
      <c r="H239">
        <v>5</v>
      </c>
      <c r="I239">
        <v>11.055</v>
      </c>
      <c r="J239">
        <v>232.155</v>
      </c>
      <c r="K239" s="1">
        <v>43529</v>
      </c>
      <c r="L239" s="2">
        <v>0.71319444444444446</v>
      </c>
      <c r="M239" t="s">
        <v>33</v>
      </c>
      <c r="N239">
        <v>221.1</v>
      </c>
      <c r="O239">
        <v>4.7619047620000003</v>
      </c>
      <c r="P239">
        <v>11.055</v>
      </c>
      <c r="Q239">
        <v>8.6</v>
      </c>
    </row>
    <row r="240" spans="1:17" x14ac:dyDescent="0.3">
      <c r="A240" t="s">
        <v>274</v>
      </c>
      <c r="B240" t="s">
        <v>42</v>
      </c>
      <c r="C240" t="s">
        <v>43</v>
      </c>
      <c r="D240" t="s">
        <v>20</v>
      </c>
      <c r="E240" t="s">
        <v>21</v>
      </c>
      <c r="F240" t="s">
        <v>28</v>
      </c>
      <c r="G240">
        <v>13.22</v>
      </c>
      <c r="H240">
        <v>5</v>
      </c>
      <c r="I240">
        <v>3.3050000000000002</v>
      </c>
      <c r="J240">
        <v>69.405000000000001</v>
      </c>
      <c r="K240" s="1">
        <v>43526</v>
      </c>
      <c r="L240" s="2">
        <v>0.80972222222222223</v>
      </c>
      <c r="M240" t="s">
        <v>29</v>
      </c>
      <c r="N240">
        <v>66.099999999999994</v>
      </c>
      <c r="O240">
        <v>4.7619047620000003</v>
      </c>
      <c r="P240">
        <v>3.3050000000000002</v>
      </c>
      <c r="Q240">
        <v>4.3</v>
      </c>
    </row>
    <row r="241" spans="1:17" x14ac:dyDescent="0.3">
      <c r="A241" t="s">
        <v>275</v>
      </c>
      <c r="B241" t="s">
        <v>18</v>
      </c>
      <c r="C241" t="s">
        <v>19</v>
      </c>
      <c r="D241" t="s">
        <v>27</v>
      </c>
      <c r="E241" t="s">
        <v>31</v>
      </c>
      <c r="F241" t="s">
        <v>46</v>
      </c>
      <c r="G241">
        <v>89.69</v>
      </c>
      <c r="H241">
        <v>1</v>
      </c>
      <c r="I241">
        <v>4.4844999999999997</v>
      </c>
      <c r="J241">
        <v>94.174499999999995</v>
      </c>
      <c r="K241" s="1">
        <v>43476</v>
      </c>
      <c r="L241" s="2">
        <v>0.47222222222222227</v>
      </c>
      <c r="M241" t="s">
        <v>23</v>
      </c>
      <c r="N241">
        <v>89.69</v>
      </c>
      <c r="O241">
        <v>4.7619047620000003</v>
      </c>
      <c r="P241">
        <v>4.4844999999999997</v>
      </c>
      <c r="Q241">
        <v>4.9000000000000004</v>
      </c>
    </row>
    <row r="242" spans="1:17" x14ac:dyDescent="0.3">
      <c r="A242" t="s">
        <v>276</v>
      </c>
      <c r="B242" t="s">
        <v>18</v>
      </c>
      <c r="C242" t="s">
        <v>19</v>
      </c>
      <c r="D242" t="s">
        <v>27</v>
      </c>
      <c r="E242" t="s">
        <v>31</v>
      </c>
      <c r="F242" t="s">
        <v>44</v>
      </c>
      <c r="G242">
        <v>24.94</v>
      </c>
      <c r="H242">
        <v>9</v>
      </c>
      <c r="I242">
        <v>11.223000000000001</v>
      </c>
      <c r="J242">
        <v>235.68299999999999</v>
      </c>
      <c r="K242" s="1">
        <v>43476</v>
      </c>
      <c r="L242" s="2">
        <v>0.7006944444444444</v>
      </c>
      <c r="M242" t="s">
        <v>33</v>
      </c>
      <c r="N242">
        <v>224.46</v>
      </c>
      <c r="O242">
        <v>4.7619047620000003</v>
      </c>
      <c r="P242">
        <v>11.223000000000001</v>
      </c>
      <c r="Q242">
        <v>5.6</v>
      </c>
    </row>
    <row r="243" spans="1:17" x14ac:dyDescent="0.3">
      <c r="A243" t="s">
        <v>277</v>
      </c>
      <c r="B243" t="s">
        <v>18</v>
      </c>
      <c r="C243" t="s">
        <v>19</v>
      </c>
      <c r="D243" t="s">
        <v>27</v>
      </c>
      <c r="E243" t="s">
        <v>31</v>
      </c>
      <c r="F243" t="s">
        <v>22</v>
      </c>
      <c r="G243">
        <v>59.77</v>
      </c>
      <c r="H243">
        <v>2</v>
      </c>
      <c r="I243">
        <v>5.9770000000000003</v>
      </c>
      <c r="J243">
        <v>125.517</v>
      </c>
      <c r="K243" s="1">
        <v>43535</v>
      </c>
      <c r="L243" s="2">
        <v>0.50069444444444444</v>
      </c>
      <c r="M243" t="s">
        <v>33</v>
      </c>
      <c r="N243">
        <v>119.54</v>
      </c>
      <c r="O243">
        <v>4.7619047620000003</v>
      </c>
      <c r="P243">
        <v>5.9770000000000003</v>
      </c>
      <c r="Q243">
        <v>5.8</v>
      </c>
    </row>
    <row r="244" spans="1:17" x14ac:dyDescent="0.3">
      <c r="A244" t="s">
        <v>278</v>
      </c>
      <c r="B244" t="s">
        <v>25</v>
      </c>
      <c r="C244" t="s">
        <v>26</v>
      </c>
      <c r="D244" t="s">
        <v>20</v>
      </c>
      <c r="E244" t="s">
        <v>31</v>
      </c>
      <c r="F244" t="s">
        <v>46</v>
      </c>
      <c r="G244">
        <v>93.2</v>
      </c>
      <c r="H244">
        <v>2</v>
      </c>
      <c r="I244">
        <v>9.32</v>
      </c>
      <c r="J244">
        <v>195.72</v>
      </c>
      <c r="K244" s="1">
        <v>43524</v>
      </c>
      <c r="L244" s="2">
        <v>0.77569444444444446</v>
      </c>
      <c r="M244" t="s">
        <v>33</v>
      </c>
      <c r="N244">
        <v>186.4</v>
      </c>
      <c r="O244">
        <v>4.7619047620000003</v>
      </c>
      <c r="P244">
        <v>9.32</v>
      </c>
      <c r="Q244">
        <v>6</v>
      </c>
    </row>
    <row r="245" spans="1:17" x14ac:dyDescent="0.3">
      <c r="A245" t="s">
        <v>279</v>
      </c>
      <c r="B245" t="s">
        <v>18</v>
      </c>
      <c r="C245" t="s">
        <v>19</v>
      </c>
      <c r="D245" t="s">
        <v>20</v>
      </c>
      <c r="E245" t="s">
        <v>31</v>
      </c>
      <c r="F245" t="s">
        <v>32</v>
      </c>
      <c r="G245">
        <v>62.65</v>
      </c>
      <c r="H245">
        <v>4</v>
      </c>
      <c r="I245">
        <v>12.53</v>
      </c>
      <c r="J245">
        <v>263.13</v>
      </c>
      <c r="K245" s="1">
        <v>43470</v>
      </c>
      <c r="L245" s="2">
        <v>0.47569444444444442</v>
      </c>
      <c r="M245" t="s">
        <v>29</v>
      </c>
      <c r="N245">
        <v>250.6</v>
      </c>
      <c r="O245">
        <v>4.7619047620000003</v>
      </c>
      <c r="P245">
        <v>12.53</v>
      </c>
      <c r="Q245">
        <v>4.2</v>
      </c>
    </row>
    <row r="246" spans="1:17" x14ac:dyDescent="0.3">
      <c r="A246" t="s">
        <v>280</v>
      </c>
      <c r="B246" t="s">
        <v>42</v>
      </c>
      <c r="C246" t="s">
        <v>43</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x14ac:dyDescent="0.3">
      <c r="A247" t="s">
        <v>281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3">
      <c r="A248" t="s">
        <v>282</v>
      </c>
      <c r="B248" t="s">
        <v>42</v>
      </c>
      <c r="C248" t="s">
        <v>43</v>
      </c>
      <c r="D248" t="s">
        <v>20</v>
      </c>
      <c r="E248" t="s">
        <v>21</v>
      </c>
      <c r="F248" t="s">
        <v>28</v>
      </c>
      <c r="G248">
        <v>81.400000000000006</v>
      </c>
      <c r="H248">
        <v>3</v>
      </c>
      <c r="I248">
        <v>12.21</v>
      </c>
      <c r="J248">
        <v>256.41000000000003</v>
      </c>
      <c r="K248" s="1">
        <v>43505</v>
      </c>
      <c r="L248" s="2">
        <v>0.82152777777777775</v>
      </c>
      <c r="M248" t="s">
        <v>29</v>
      </c>
      <c r="N248">
        <v>244.2</v>
      </c>
      <c r="O248">
        <v>4.7619047620000003</v>
      </c>
      <c r="P248">
        <v>12.21</v>
      </c>
      <c r="Q248">
        <v>4.8</v>
      </c>
    </row>
    <row r="249" spans="1:17" x14ac:dyDescent="0.3">
      <c r="A249" t="s">
        <v>283</v>
      </c>
      <c r="B249" t="s">
        <v>18</v>
      </c>
      <c r="C249" t="s">
        <v>19</v>
      </c>
      <c r="D249" t="s">
        <v>20</v>
      </c>
      <c r="E249" t="s">
        <v>31</v>
      </c>
      <c r="F249" t="s">
        <v>46</v>
      </c>
      <c r="G249">
        <v>17.940000000000001</v>
      </c>
      <c r="H249">
        <v>5</v>
      </c>
      <c r="I249">
        <v>4.4850000000000003</v>
      </c>
      <c r="J249">
        <v>94.185000000000002</v>
      </c>
      <c r="K249" s="1">
        <v>43488</v>
      </c>
      <c r="L249" s="2">
        <v>0.58611111111111114</v>
      </c>
      <c r="M249" t="s">
        <v>23</v>
      </c>
      <c r="N249">
        <v>89.7</v>
      </c>
      <c r="O249">
        <v>4.7619047620000003</v>
      </c>
      <c r="P249">
        <v>4.4850000000000003</v>
      </c>
      <c r="Q249">
        <v>6.8</v>
      </c>
    </row>
    <row r="250" spans="1:17" x14ac:dyDescent="0.3">
      <c r="A250" t="s">
        <v>284</v>
      </c>
      <c r="B250" t="s">
        <v>18</v>
      </c>
      <c r="C250" t="s">
        <v>19</v>
      </c>
      <c r="D250" t="s">
        <v>20</v>
      </c>
      <c r="E250" t="s">
        <v>31</v>
      </c>
      <c r="F250" t="s">
        <v>28</v>
      </c>
      <c r="G250">
        <v>77.72</v>
      </c>
      <c r="H250">
        <v>4</v>
      </c>
      <c r="I250">
        <v>15.544</v>
      </c>
      <c r="J250">
        <v>326.42399999999998</v>
      </c>
      <c r="K250" s="1">
        <v>43472</v>
      </c>
      <c r="L250" s="2">
        <v>0.6743055555555556</v>
      </c>
      <c r="M250" t="s">
        <v>33</v>
      </c>
      <c r="N250">
        <v>310.88</v>
      </c>
      <c r="O250">
        <v>4.7619047620000003</v>
      </c>
      <c r="P250">
        <v>15.544</v>
      </c>
      <c r="Q250">
        <v>8.8000000000000007</v>
      </c>
    </row>
    <row r="251" spans="1:17" x14ac:dyDescent="0.3">
      <c r="A251" t="s">
        <v>285</v>
      </c>
      <c r="B251" t="s">
        <v>42</v>
      </c>
      <c r="C251" t="s">
        <v>43</v>
      </c>
      <c r="D251" t="s">
        <v>27</v>
      </c>
      <c r="E251" t="s">
        <v>31</v>
      </c>
      <c r="F251" t="s">
        <v>44</v>
      </c>
      <c r="G251">
        <v>73.06</v>
      </c>
      <c r="H251">
        <v>7</v>
      </c>
      <c r="I251">
        <v>25.571000000000002</v>
      </c>
      <c r="J251">
        <v>536.99099999999999</v>
      </c>
      <c r="K251" s="1">
        <v>43479</v>
      </c>
      <c r="L251" s="2">
        <v>0.79583333333333339</v>
      </c>
      <c r="M251" t="s">
        <v>33</v>
      </c>
      <c r="N251">
        <v>511.42</v>
      </c>
      <c r="O251">
        <v>4.7619047620000003</v>
      </c>
      <c r="P251">
        <v>25.571000000000002</v>
      </c>
      <c r="Q251">
        <v>4.2</v>
      </c>
    </row>
    <row r="252" spans="1:17" x14ac:dyDescent="0.3">
      <c r="A252" t="s">
        <v>286</v>
      </c>
      <c r="B252" t="s">
        <v>42</v>
      </c>
      <c r="C252" t="s">
        <v>43</v>
      </c>
      <c r="D252" t="s">
        <v>20</v>
      </c>
      <c r="E252" t="s">
        <v>31</v>
      </c>
      <c r="F252" t="s">
        <v>44</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3">
      <c r="A253" t="s">
        <v>287</v>
      </c>
      <c r="B253" t="s">
        <v>25</v>
      </c>
      <c r="C253" t="s">
        <v>26</v>
      </c>
      <c r="D253" t="s">
        <v>20</v>
      </c>
      <c r="E253" t="s">
        <v>31</v>
      </c>
      <c r="F253" t="s">
        <v>46</v>
      </c>
      <c r="G253">
        <v>35.19</v>
      </c>
      <c r="H253">
        <v>10</v>
      </c>
      <c r="I253">
        <v>17.594999999999999</v>
      </c>
      <c r="J253">
        <v>369.495</v>
      </c>
      <c r="K253" s="1">
        <v>43541</v>
      </c>
      <c r="L253" s="2">
        <v>0.79583333333333339</v>
      </c>
      <c r="M253" t="s">
        <v>33</v>
      </c>
      <c r="N253">
        <v>351.9</v>
      </c>
      <c r="O253">
        <v>4.7619047620000003</v>
      </c>
      <c r="P253">
        <v>17.594999999999999</v>
      </c>
      <c r="Q253">
        <v>8.4</v>
      </c>
    </row>
    <row r="254" spans="1:17" x14ac:dyDescent="0.3">
      <c r="A254" t="s">
        <v>288</v>
      </c>
      <c r="B254" t="s">
        <v>25</v>
      </c>
      <c r="C254" t="s">
        <v>26</v>
      </c>
      <c r="D254" t="s">
        <v>27</v>
      </c>
      <c r="E254" t="s">
        <v>21</v>
      </c>
      <c r="F254" t="s">
        <v>36</v>
      </c>
      <c r="G254">
        <v>14.39</v>
      </c>
      <c r="H254">
        <v>2</v>
      </c>
      <c r="I254">
        <v>1.4390000000000001</v>
      </c>
      <c r="J254">
        <v>30.219000000000001</v>
      </c>
      <c r="K254" s="1">
        <v>43526</v>
      </c>
      <c r="L254" s="2">
        <v>0.8222222222222223</v>
      </c>
      <c r="M254" t="s">
        <v>33</v>
      </c>
      <c r="N254">
        <v>28.78</v>
      </c>
      <c r="O254">
        <v>4.7619047620000003</v>
      </c>
      <c r="P254">
        <v>1.4390000000000001</v>
      </c>
      <c r="Q254">
        <v>7.2</v>
      </c>
    </row>
    <row r="255" spans="1:17" x14ac:dyDescent="0.3">
      <c r="A255" t="s">
        <v>289</v>
      </c>
      <c r="B255" t="s">
        <v>18</v>
      </c>
      <c r="C255" t="s">
        <v>19</v>
      </c>
      <c r="D255" t="s">
        <v>27</v>
      </c>
      <c r="E255" t="s">
        <v>31</v>
      </c>
      <c r="F255" t="s">
        <v>32</v>
      </c>
      <c r="G255">
        <v>23.75</v>
      </c>
      <c r="H255">
        <v>4</v>
      </c>
      <c r="I255">
        <v>4.75</v>
      </c>
      <c r="J255">
        <v>99.75</v>
      </c>
      <c r="K255" s="1">
        <v>43540</v>
      </c>
      <c r="L255" s="2">
        <v>0.47361111111111115</v>
      </c>
      <c r="M255" t="s">
        <v>29</v>
      </c>
      <c r="N255">
        <v>95</v>
      </c>
      <c r="O255">
        <v>4.7619047620000003</v>
      </c>
      <c r="P255">
        <v>4.75</v>
      </c>
      <c r="Q255">
        <v>5.2</v>
      </c>
    </row>
    <row r="256" spans="1:17" x14ac:dyDescent="0.3">
      <c r="A256" t="s">
        <v>290</v>
      </c>
      <c r="B256" t="s">
        <v>18</v>
      </c>
      <c r="C256" t="s">
        <v>19</v>
      </c>
      <c r="D256" t="s">
        <v>20</v>
      </c>
      <c r="E256" t="s">
        <v>31</v>
      </c>
      <c r="F256" t="s">
        <v>32</v>
      </c>
      <c r="G256">
        <v>58.9</v>
      </c>
      <c r="H256">
        <v>8</v>
      </c>
      <c r="I256">
        <v>23.56</v>
      </c>
      <c r="J256">
        <v>494.76</v>
      </c>
      <c r="K256" s="1">
        <v>43471</v>
      </c>
      <c r="L256" s="2">
        <v>0.47430555555555554</v>
      </c>
      <c r="M256" t="s">
        <v>29</v>
      </c>
      <c r="N256">
        <v>471.2</v>
      </c>
      <c r="O256">
        <v>4.7619047620000003</v>
      </c>
      <c r="P256">
        <v>23.56</v>
      </c>
      <c r="Q256">
        <v>8.9</v>
      </c>
    </row>
    <row r="257" spans="1:17" x14ac:dyDescent="0.3">
      <c r="A257" t="s">
        <v>291</v>
      </c>
      <c r="B257" t="s">
        <v>42</v>
      </c>
      <c r="C257" t="s">
        <v>43</v>
      </c>
      <c r="D257" t="s">
        <v>20</v>
      </c>
      <c r="E257" t="s">
        <v>31</v>
      </c>
      <c r="F257" t="s">
        <v>46</v>
      </c>
      <c r="G257">
        <v>32.619999999999997</v>
      </c>
      <c r="H257">
        <v>4</v>
      </c>
      <c r="I257">
        <v>6.524</v>
      </c>
      <c r="J257">
        <v>137.00399999999999</v>
      </c>
      <c r="K257" s="1">
        <v>43494</v>
      </c>
      <c r="L257" s="2">
        <v>0.59166666666666667</v>
      </c>
      <c r="M257" t="s">
        <v>29</v>
      </c>
      <c r="N257">
        <v>130.47999999999999</v>
      </c>
      <c r="O257">
        <v>4.7619047620000003</v>
      </c>
      <c r="P257">
        <v>6.524</v>
      </c>
      <c r="Q257">
        <v>9</v>
      </c>
    </row>
    <row r="258" spans="1:17" x14ac:dyDescent="0.3">
      <c r="A258" t="s">
        <v>292</v>
      </c>
      <c r="B258" t="s">
        <v>18</v>
      </c>
      <c r="C258" t="s">
        <v>19</v>
      </c>
      <c r="D258" t="s">
        <v>20</v>
      </c>
      <c r="E258" t="s">
        <v>31</v>
      </c>
      <c r="F258" t="s">
        <v>28</v>
      </c>
      <c r="G258">
        <v>66.349999999999994</v>
      </c>
      <c r="H258">
        <v>1</v>
      </c>
      <c r="I258">
        <v>3.3174999999999999</v>
      </c>
      <c r="J258">
        <v>69.667500000000004</v>
      </c>
      <c r="K258" s="1">
        <v>43496</v>
      </c>
      <c r="L258" s="2">
        <v>0.44861111111111113</v>
      </c>
      <c r="M258" t="s">
        <v>33</v>
      </c>
      <c r="N258">
        <v>66.349999999999994</v>
      </c>
      <c r="O258">
        <v>4.7619047620000003</v>
      </c>
      <c r="P258">
        <v>3.3174999999999999</v>
      </c>
      <c r="Q258">
        <v>9.6999999999999993</v>
      </c>
    </row>
    <row r="259" spans="1:17" x14ac:dyDescent="0.3">
      <c r="A259" t="s">
        <v>293</v>
      </c>
      <c r="B259" t="s">
        <v>18</v>
      </c>
      <c r="C259" t="s">
        <v>19</v>
      </c>
      <c r="D259" t="s">
        <v>20</v>
      </c>
      <c r="E259" t="s">
        <v>31</v>
      </c>
      <c r="F259" t="s">
        <v>32</v>
      </c>
      <c r="G259">
        <v>25.91</v>
      </c>
      <c r="H259">
        <v>6</v>
      </c>
      <c r="I259">
        <v>7.7729999999999997</v>
      </c>
      <c r="J259">
        <v>163.233</v>
      </c>
      <c r="K259" s="1">
        <v>43501</v>
      </c>
      <c r="L259" s="2">
        <v>0.42777777777777781</v>
      </c>
      <c r="M259" t="s">
        <v>23</v>
      </c>
      <c r="N259">
        <v>155.46</v>
      </c>
      <c r="O259">
        <v>4.7619047620000003</v>
      </c>
      <c r="P259">
        <v>7.7729999999999997</v>
      </c>
      <c r="Q259">
        <v>8.6999999999999993</v>
      </c>
    </row>
    <row r="260" spans="1:17" x14ac:dyDescent="0.3">
      <c r="A260" t="s">
        <v>294</v>
      </c>
      <c r="B260" t="s">
        <v>18</v>
      </c>
      <c r="C260" t="s">
        <v>19</v>
      </c>
      <c r="D260" t="s">
        <v>20</v>
      </c>
      <c r="E260" t="s">
        <v>31</v>
      </c>
      <c r="F260" t="s">
        <v>28</v>
      </c>
      <c r="G260">
        <v>32.25</v>
      </c>
      <c r="H260">
        <v>4</v>
      </c>
      <c r="I260">
        <v>6.45</v>
      </c>
      <c r="J260">
        <v>135.44999999999999</v>
      </c>
      <c r="K260" s="1">
        <v>43509</v>
      </c>
      <c r="L260" s="2">
        <v>0.52638888888888891</v>
      </c>
      <c r="M260" t="s">
        <v>23</v>
      </c>
      <c r="N260">
        <v>129</v>
      </c>
      <c r="O260">
        <v>4.7619047620000003</v>
      </c>
      <c r="P260">
        <v>6.45</v>
      </c>
      <c r="Q260">
        <v>6.5</v>
      </c>
    </row>
    <row r="261" spans="1:17" x14ac:dyDescent="0.3">
      <c r="A261" t="s">
        <v>295</v>
      </c>
      <c r="B261" t="s">
        <v>25</v>
      </c>
      <c r="C261" t="s">
        <v>26</v>
      </c>
      <c r="D261" t="s">
        <v>20</v>
      </c>
      <c r="E261" t="s">
        <v>31</v>
      </c>
      <c r="F261" t="s">
        <v>28</v>
      </c>
      <c r="G261">
        <v>65.94</v>
      </c>
      <c r="H261">
        <v>4</v>
      </c>
      <c r="I261">
        <v>13.188000000000001</v>
      </c>
      <c r="J261">
        <v>276.94799999999998</v>
      </c>
      <c r="K261" s="1">
        <v>43503</v>
      </c>
      <c r="L261" s="2">
        <v>0.54513888888888895</v>
      </c>
      <c r="M261" t="s">
        <v>33</v>
      </c>
      <c r="N261">
        <v>263.76</v>
      </c>
      <c r="O261">
        <v>4.7619047620000003</v>
      </c>
      <c r="P261">
        <v>13.188000000000001</v>
      </c>
      <c r="Q261">
        <v>6.9</v>
      </c>
    </row>
    <row r="262" spans="1:17" x14ac:dyDescent="0.3">
      <c r="A262" t="s">
        <v>296</v>
      </c>
      <c r="B262" t="s">
        <v>18</v>
      </c>
      <c r="C262" t="s">
        <v>19</v>
      </c>
      <c r="D262" t="s">
        <v>27</v>
      </c>
      <c r="E262" t="s">
        <v>21</v>
      </c>
      <c r="F262" t="s">
        <v>28</v>
      </c>
      <c r="G262">
        <v>75.06</v>
      </c>
      <c r="H262">
        <v>9</v>
      </c>
      <c r="I262">
        <v>33.777000000000001</v>
      </c>
      <c r="J262">
        <v>709.31700000000001</v>
      </c>
      <c r="K262" s="1">
        <v>43543</v>
      </c>
      <c r="L262" s="2">
        <v>0.55902777777777779</v>
      </c>
      <c r="M262" t="s">
        <v>23</v>
      </c>
      <c r="N262">
        <v>675.54</v>
      </c>
      <c r="O262">
        <v>4.7619047620000003</v>
      </c>
      <c r="P262">
        <v>33.777000000000001</v>
      </c>
      <c r="Q262">
        <v>6.2</v>
      </c>
    </row>
    <row r="263" spans="1:17" x14ac:dyDescent="0.3">
      <c r="A263" t="s">
        <v>297</v>
      </c>
      <c r="B263" t="s">
        <v>25</v>
      </c>
      <c r="C263" t="s">
        <v>26</v>
      </c>
      <c r="D263" t="s">
        <v>27</v>
      </c>
      <c r="E263" t="s">
        <v>21</v>
      </c>
      <c r="F263" t="s">
        <v>46</v>
      </c>
      <c r="G263">
        <v>16.45</v>
      </c>
      <c r="H263">
        <v>4</v>
      </c>
      <c r="I263">
        <v>3.29</v>
      </c>
      <c r="J263">
        <v>69.09</v>
      </c>
      <c r="K263" s="1">
        <v>43531</v>
      </c>
      <c r="L263" s="2">
        <v>0.62013888888888891</v>
      </c>
      <c r="M263" t="s">
        <v>23</v>
      </c>
      <c r="N263">
        <v>65.8</v>
      </c>
      <c r="O263">
        <v>4.7619047620000003</v>
      </c>
      <c r="P263">
        <v>3.29</v>
      </c>
      <c r="Q263">
        <v>5.6</v>
      </c>
    </row>
    <row r="264" spans="1:17" x14ac:dyDescent="0.3">
      <c r="A264" t="s">
        <v>298</v>
      </c>
      <c r="B264" t="s">
        <v>42</v>
      </c>
      <c r="C264" t="s">
        <v>43</v>
      </c>
      <c r="D264" t="s">
        <v>20</v>
      </c>
      <c r="E264" t="s">
        <v>21</v>
      </c>
      <c r="F264" t="s">
        <v>46</v>
      </c>
      <c r="G264">
        <v>38.299999999999997</v>
      </c>
      <c r="H264">
        <v>4</v>
      </c>
      <c r="I264">
        <v>7.66</v>
      </c>
      <c r="J264">
        <v>160.86000000000001</v>
      </c>
      <c r="K264" s="1">
        <v>43537</v>
      </c>
      <c r="L264" s="2">
        <v>0.80694444444444446</v>
      </c>
      <c r="M264" t="s">
        <v>29</v>
      </c>
      <c r="N264">
        <v>153.19999999999999</v>
      </c>
      <c r="O264">
        <v>4.7619047620000003</v>
      </c>
      <c r="P264">
        <v>7.66</v>
      </c>
      <c r="Q264">
        <v>5.7</v>
      </c>
    </row>
    <row r="265" spans="1:17" x14ac:dyDescent="0.3">
      <c r="A265" t="s">
        <v>299</v>
      </c>
      <c r="B265" t="s">
        <v>18</v>
      </c>
      <c r="C265" t="s">
        <v>19</v>
      </c>
      <c r="D265" t="s">
        <v>20</v>
      </c>
      <c r="E265" t="s">
        <v>21</v>
      </c>
      <c r="F265" t="s">
        <v>36</v>
      </c>
      <c r="G265">
        <v>22.24</v>
      </c>
      <c r="H265">
        <v>10</v>
      </c>
      <c r="I265">
        <v>11.12</v>
      </c>
      <c r="J265">
        <v>233.52</v>
      </c>
      <c r="K265" s="1">
        <v>43505</v>
      </c>
      <c r="L265" s="2">
        <v>0.45833333333333331</v>
      </c>
      <c r="M265" t="s">
        <v>29</v>
      </c>
      <c r="N265">
        <v>222.4</v>
      </c>
      <c r="O265">
        <v>4.7619047620000003</v>
      </c>
      <c r="P265">
        <v>11.12</v>
      </c>
      <c r="Q265">
        <v>4.2</v>
      </c>
    </row>
    <row r="266" spans="1:17" x14ac:dyDescent="0.3">
      <c r="A266" t="s">
        <v>300</v>
      </c>
      <c r="B266" t="s">
        <v>42</v>
      </c>
      <c r="C266" t="s">
        <v>43</v>
      </c>
      <c r="D266" t="s">
        <v>27</v>
      </c>
      <c r="E266" t="s">
        <v>31</v>
      </c>
      <c r="F266" t="s">
        <v>36</v>
      </c>
      <c r="G266">
        <v>54.45</v>
      </c>
      <c r="H266">
        <v>1</v>
      </c>
      <c r="I266">
        <v>2.7225000000000001</v>
      </c>
      <c r="J266">
        <v>57.172499999999999</v>
      </c>
      <c r="K266" s="1">
        <v>43522</v>
      </c>
      <c r="L266" s="2">
        <v>0.80833333333333324</v>
      </c>
      <c r="M266" t="s">
        <v>23</v>
      </c>
      <c r="N266">
        <v>54.45</v>
      </c>
      <c r="O266">
        <v>4.7619047620000003</v>
      </c>
      <c r="P266">
        <v>2.7225000000000001</v>
      </c>
      <c r="Q266">
        <v>7.9</v>
      </c>
    </row>
    <row r="267" spans="1:17" x14ac:dyDescent="0.3">
      <c r="A267" t="s">
        <v>301</v>
      </c>
      <c r="B267" t="s">
        <v>18</v>
      </c>
      <c r="C267" t="s">
        <v>19</v>
      </c>
      <c r="D267" t="s">
        <v>20</v>
      </c>
      <c r="E267" t="s">
        <v>21</v>
      </c>
      <c r="F267" t="s">
        <v>36</v>
      </c>
      <c r="G267">
        <v>98.4</v>
      </c>
      <c r="H267">
        <v>7</v>
      </c>
      <c r="I267">
        <v>34.44</v>
      </c>
      <c r="J267">
        <v>723.24</v>
      </c>
      <c r="K267" s="1">
        <v>43536</v>
      </c>
      <c r="L267" s="2">
        <v>0.52986111111111112</v>
      </c>
      <c r="M267" t="s">
        <v>33</v>
      </c>
      <c r="N267">
        <v>688.8</v>
      </c>
      <c r="O267">
        <v>4.7619047620000003</v>
      </c>
      <c r="P267">
        <v>34.44</v>
      </c>
      <c r="Q267">
        <v>8.6999999999999993</v>
      </c>
    </row>
    <row r="268" spans="1:17" x14ac:dyDescent="0.3">
      <c r="A268" t="s">
        <v>302</v>
      </c>
      <c r="B268" t="s">
        <v>25</v>
      </c>
      <c r="C268" t="s">
        <v>26</v>
      </c>
      <c r="D268" t="s">
        <v>27</v>
      </c>
      <c r="E268" t="s">
        <v>31</v>
      </c>
      <c r="F268" t="s">
        <v>32</v>
      </c>
      <c r="G268">
        <v>35.47</v>
      </c>
      <c r="H268">
        <v>4</v>
      </c>
      <c r="I268">
        <v>7.0940000000000003</v>
      </c>
      <c r="J268">
        <v>148.97399999999999</v>
      </c>
      <c r="K268" s="1">
        <v>43538</v>
      </c>
      <c r="L268" s="2">
        <v>0.72361111111111109</v>
      </c>
      <c r="M268" t="s">
        <v>33</v>
      </c>
      <c r="N268">
        <v>141.88</v>
      </c>
      <c r="O268">
        <v>4.7619047620000003</v>
      </c>
      <c r="P268">
        <v>7.0940000000000003</v>
      </c>
      <c r="Q268">
        <v>6.9</v>
      </c>
    </row>
    <row r="269" spans="1:17" x14ac:dyDescent="0.3">
      <c r="A269" t="s">
        <v>303</v>
      </c>
      <c r="B269" t="s">
        <v>42</v>
      </c>
      <c r="C269" t="s">
        <v>43</v>
      </c>
      <c r="D269" t="s">
        <v>20</v>
      </c>
      <c r="E269" t="s">
        <v>21</v>
      </c>
      <c r="F269" t="s">
        <v>44</v>
      </c>
      <c r="G269">
        <v>74.599999999999994</v>
      </c>
      <c r="H269">
        <v>10</v>
      </c>
      <c r="I269">
        <v>37.299999999999997</v>
      </c>
      <c r="J269">
        <v>783.3</v>
      </c>
      <c r="K269" s="1">
        <v>43473</v>
      </c>
      <c r="L269" s="2">
        <v>0.87152777777777779</v>
      </c>
      <c r="M269" t="s">
        <v>29</v>
      </c>
      <c r="N269">
        <v>746</v>
      </c>
      <c r="O269">
        <v>4.7619047620000003</v>
      </c>
      <c r="P269">
        <v>37.299999999999997</v>
      </c>
      <c r="Q269">
        <v>9.5</v>
      </c>
    </row>
    <row r="270" spans="1:17" x14ac:dyDescent="0.3">
      <c r="A270" t="s">
        <v>304</v>
      </c>
      <c r="B270" t="s">
        <v>18</v>
      </c>
      <c r="C270" t="s">
        <v>19</v>
      </c>
      <c r="D270" t="s">
        <v>20</v>
      </c>
      <c r="E270" t="s">
        <v>31</v>
      </c>
      <c r="F270" t="s">
        <v>32</v>
      </c>
      <c r="G270">
        <v>70.739999999999995</v>
      </c>
      <c r="H270">
        <v>4</v>
      </c>
      <c r="I270">
        <v>14.148</v>
      </c>
      <c r="J270">
        <v>297.108</v>
      </c>
      <c r="K270" s="1">
        <v>43470</v>
      </c>
      <c r="L270" s="2">
        <v>0.67013888888888884</v>
      </c>
      <c r="M270" t="s">
        <v>33</v>
      </c>
      <c r="N270">
        <v>282.95999999999998</v>
      </c>
      <c r="O270">
        <v>4.7619047620000003</v>
      </c>
      <c r="P270">
        <v>14.148</v>
      </c>
      <c r="Q270">
        <v>4.4000000000000004</v>
      </c>
    </row>
    <row r="271" spans="1:17" x14ac:dyDescent="0.3">
      <c r="A271" t="s">
        <v>305</v>
      </c>
      <c r="B271" t="s">
        <v>18</v>
      </c>
      <c r="C271" t="s">
        <v>19</v>
      </c>
      <c r="D271" t="s">
        <v>20</v>
      </c>
      <c r="E271" t="s">
        <v>21</v>
      </c>
      <c r="F271" t="s">
        <v>32</v>
      </c>
      <c r="G271">
        <v>35.54</v>
      </c>
      <c r="H271">
        <v>10</v>
      </c>
      <c r="I271">
        <v>17.77</v>
      </c>
      <c r="J271">
        <v>373.17</v>
      </c>
      <c r="K271" s="1">
        <v>43469</v>
      </c>
      <c r="L271" s="2">
        <v>0.56527777777777777</v>
      </c>
      <c r="M271" t="s">
        <v>23</v>
      </c>
      <c r="N271">
        <v>355.4</v>
      </c>
      <c r="O271">
        <v>4.7619047620000003</v>
      </c>
      <c r="P271">
        <v>17.77</v>
      </c>
      <c r="Q271">
        <v>7</v>
      </c>
    </row>
    <row r="272" spans="1:17" x14ac:dyDescent="0.3">
      <c r="A272" t="s">
        <v>306</v>
      </c>
      <c r="B272" t="s">
        <v>42</v>
      </c>
      <c r="C272" t="s">
        <v>43</v>
      </c>
      <c r="D272" t="s">
        <v>27</v>
      </c>
      <c r="E272" t="s">
        <v>21</v>
      </c>
      <c r="F272" t="s">
        <v>36</v>
      </c>
      <c r="G272">
        <v>67.430000000000007</v>
      </c>
      <c r="H272">
        <v>5</v>
      </c>
      <c r="I272">
        <v>16.857500000000002</v>
      </c>
      <c r="J272">
        <v>354.00749999999999</v>
      </c>
      <c r="K272" s="1">
        <v>43530</v>
      </c>
      <c r="L272" s="2">
        <v>0.75902777777777775</v>
      </c>
      <c r="M272" t="s">
        <v>23</v>
      </c>
      <c r="N272">
        <v>337.15</v>
      </c>
      <c r="O272">
        <v>4.7619047620000003</v>
      </c>
      <c r="P272">
        <v>16.857500000000002</v>
      </c>
      <c r="Q272">
        <v>6.3</v>
      </c>
    </row>
    <row r="273" spans="1:17" x14ac:dyDescent="0.3">
      <c r="A273" t="s">
        <v>307</v>
      </c>
      <c r="B273" t="s">
        <v>25</v>
      </c>
      <c r="C273" t="s">
        <v>26</v>
      </c>
      <c r="D273" t="s">
        <v>20</v>
      </c>
      <c r="E273" t="s">
        <v>21</v>
      </c>
      <c r="F273" t="s">
        <v>22</v>
      </c>
      <c r="G273">
        <v>21.12</v>
      </c>
      <c r="H273">
        <v>2</v>
      </c>
      <c r="I273">
        <v>2.1120000000000001</v>
      </c>
      <c r="J273">
        <v>44.351999999999997</v>
      </c>
      <c r="K273" s="1">
        <v>43468</v>
      </c>
      <c r="L273" s="2">
        <v>0.80347222222222225</v>
      </c>
      <c r="M273" t="s">
        <v>29</v>
      </c>
      <c r="N273">
        <v>42.24</v>
      </c>
      <c r="O273">
        <v>4.7619047620000003</v>
      </c>
      <c r="P273">
        <v>2.1120000000000001</v>
      </c>
      <c r="Q273">
        <v>9.6999999999999993</v>
      </c>
    </row>
    <row r="274" spans="1:17" x14ac:dyDescent="0.3">
      <c r="A274" t="s">
        <v>308</v>
      </c>
      <c r="B274" t="s">
        <v>18</v>
      </c>
      <c r="C274" t="s">
        <v>19</v>
      </c>
      <c r="D274" t="s">
        <v>20</v>
      </c>
      <c r="E274" t="s">
        <v>21</v>
      </c>
      <c r="F274" t="s">
        <v>32</v>
      </c>
      <c r="G274">
        <v>21.54</v>
      </c>
      <c r="H274">
        <v>9</v>
      </c>
      <c r="I274">
        <v>9.6929999999999996</v>
      </c>
      <c r="J274">
        <v>203.553</v>
      </c>
      <c r="K274" s="1">
        <v>43472</v>
      </c>
      <c r="L274" s="2">
        <v>0.48888888888888887</v>
      </c>
      <c r="M274" t="s">
        <v>33</v>
      </c>
      <c r="N274">
        <v>193.86</v>
      </c>
      <c r="O274">
        <v>4.7619047620000003</v>
      </c>
      <c r="P274">
        <v>9.6929999999999996</v>
      </c>
      <c r="Q274">
        <v>8.8000000000000007</v>
      </c>
    </row>
    <row r="275" spans="1:17" x14ac:dyDescent="0.3">
      <c r="A275" t="s">
        <v>309</v>
      </c>
      <c r="B275" t="s">
        <v>18</v>
      </c>
      <c r="C275" t="s">
        <v>19</v>
      </c>
      <c r="D275" t="s">
        <v>27</v>
      </c>
      <c r="E275" t="s">
        <v>21</v>
      </c>
      <c r="F275" t="s">
        <v>32</v>
      </c>
      <c r="G275">
        <v>12.03</v>
      </c>
      <c r="H275">
        <v>2</v>
      </c>
      <c r="I275">
        <v>1.2030000000000001</v>
      </c>
      <c r="J275">
        <v>25.263000000000002</v>
      </c>
      <c r="K275" s="1">
        <v>43492</v>
      </c>
      <c r="L275" s="2">
        <v>0.66041666666666665</v>
      </c>
      <c r="M275" t="s">
        <v>29</v>
      </c>
      <c r="N275">
        <v>24.06</v>
      </c>
      <c r="O275">
        <v>4.7619047620000003</v>
      </c>
      <c r="P275">
        <v>1.2030000000000001</v>
      </c>
      <c r="Q275">
        <v>5.0999999999999996</v>
      </c>
    </row>
    <row r="276" spans="1:17" x14ac:dyDescent="0.3">
      <c r="A276" t="s">
        <v>310</v>
      </c>
      <c r="B276" t="s">
        <v>42</v>
      </c>
      <c r="C276" t="s">
        <v>43</v>
      </c>
      <c r="D276" t="s">
        <v>27</v>
      </c>
      <c r="E276" t="s">
        <v>21</v>
      </c>
      <c r="F276" t="s">
        <v>22</v>
      </c>
      <c r="G276">
        <v>99.71</v>
      </c>
      <c r="H276">
        <v>6</v>
      </c>
      <c r="I276">
        <v>29.913</v>
      </c>
      <c r="J276">
        <v>628.173</v>
      </c>
      <c r="K276" s="1">
        <v>43522</v>
      </c>
      <c r="L276" s="2">
        <v>0.70277777777777783</v>
      </c>
      <c r="M276" t="s">
        <v>23</v>
      </c>
      <c r="N276">
        <v>598.26</v>
      </c>
      <c r="O276">
        <v>4.7619047620000003</v>
      </c>
      <c r="P276">
        <v>29.913</v>
      </c>
      <c r="Q276">
        <v>7.9</v>
      </c>
    </row>
    <row r="277" spans="1:17" x14ac:dyDescent="0.3">
      <c r="A277" t="s">
        <v>311</v>
      </c>
      <c r="B277" t="s">
        <v>42</v>
      </c>
      <c r="C277" t="s">
        <v>43</v>
      </c>
      <c r="D277" t="s">
        <v>27</v>
      </c>
      <c r="E277" t="s">
        <v>31</v>
      </c>
      <c r="F277" t="s">
        <v>46</v>
      </c>
      <c r="G277">
        <v>47.97</v>
      </c>
      <c r="H277">
        <v>7</v>
      </c>
      <c r="I277">
        <v>16.7895</v>
      </c>
      <c r="J277">
        <v>352.5795</v>
      </c>
      <c r="K277" s="1">
        <v>43472</v>
      </c>
      <c r="L277" s="2">
        <v>0.86944444444444446</v>
      </c>
      <c r="M277" t="s">
        <v>29</v>
      </c>
      <c r="N277">
        <v>335.79</v>
      </c>
      <c r="O277">
        <v>4.7619047620000003</v>
      </c>
      <c r="P277">
        <v>16.7895</v>
      </c>
      <c r="Q277">
        <v>6.2</v>
      </c>
    </row>
    <row r="278" spans="1:17" x14ac:dyDescent="0.3">
      <c r="A278" t="s">
        <v>312</v>
      </c>
      <c r="B278" t="s">
        <v>25</v>
      </c>
      <c r="C278" t="s">
        <v>26</v>
      </c>
      <c r="D278" t="s">
        <v>20</v>
      </c>
      <c r="E278" t="s">
        <v>21</v>
      </c>
      <c r="F278" t="s">
        <v>32</v>
      </c>
      <c r="G278">
        <v>21.82</v>
      </c>
      <c r="H278">
        <v>10</v>
      </c>
      <c r="I278">
        <v>10.91</v>
      </c>
      <c r="J278">
        <v>229.11</v>
      </c>
      <c r="K278" s="1">
        <v>43472</v>
      </c>
      <c r="L278" s="2">
        <v>0.73333333333333339</v>
      </c>
      <c r="M278" t="s">
        <v>29</v>
      </c>
      <c r="N278">
        <v>218.2</v>
      </c>
      <c r="O278">
        <v>4.7619047620000003</v>
      </c>
      <c r="P278">
        <v>10.91</v>
      </c>
      <c r="Q278">
        <v>7.1</v>
      </c>
    </row>
    <row r="279" spans="1:17" x14ac:dyDescent="0.3">
      <c r="A279" t="s">
        <v>313</v>
      </c>
      <c r="B279" t="s">
        <v>25</v>
      </c>
      <c r="C279" t="s">
        <v>26</v>
      </c>
      <c r="D279" t="s">
        <v>27</v>
      </c>
      <c r="E279" t="s">
        <v>21</v>
      </c>
      <c r="F279" t="s">
        <v>46</v>
      </c>
      <c r="G279">
        <v>95.42</v>
      </c>
      <c r="H279">
        <v>4</v>
      </c>
      <c r="I279">
        <v>19.084</v>
      </c>
      <c r="J279">
        <v>400.76400000000001</v>
      </c>
      <c r="K279" s="1">
        <v>43498</v>
      </c>
      <c r="L279" s="2">
        <v>0.55763888888888891</v>
      </c>
      <c r="M279" t="s">
        <v>23</v>
      </c>
      <c r="N279">
        <v>381.68</v>
      </c>
      <c r="O279">
        <v>4.7619047620000003</v>
      </c>
      <c r="P279">
        <v>19.084</v>
      </c>
      <c r="Q279">
        <v>6.4</v>
      </c>
    </row>
    <row r="280" spans="1:17" x14ac:dyDescent="0.3">
      <c r="A280" t="s">
        <v>314</v>
      </c>
      <c r="B280" t="s">
        <v>25</v>
      </c>
      <c r="C280" t="s">
        <v>26</v>
      </c>
      <c r="D280" t="s">
        <v>20</v>
      </c>
      <c r="E280" t="s">
        <v>31</v>
      </c>
      <c r="F280" t="s">
        <v>46</v>
      </c>
      <c r="G280">
        <v>70.989999999999995</v>
      </c>
      <c r="H280">
        <v>10</v>
      </c>
      <c r="I280">
        <v>35.494999999999997</v>
      </c>
      <c r="J280">
        <v>745.39499999999998</v>
      </c>
      <c r="K280" s="1">
        <v>43544</v>
      </c>
      <c r="L280" s="2">
        <v>0.68611111111111101</v>
      </c>
      <c r="M280" t="s">
        <v>29</v>
      </c>
      <c r="N280">
        <v>709.9</v>
      </c>
      <c r="O280">
        <v>4.7619047620000003</v>
      </c>
      <c r="P280">
        <v>35.494999999999997</v>
      </c>
      <c r="Q280">
        <v>5.7</v>
      </c>
    </row>
    <row r="281" spans="1:17" x14ac:dyDescent="0.3">
      <c r="A281" t="s">
        <v>315</v>
      </c>
      <c r="B281" t="s">
        <v>18</v>
      </c>
      <c r="C281" t="s">
        <v>19</v>
      </c>
      <c r="D281" t="s">
        <v>20</v>
      </c>
      <c r="E281" t="s">
        <v>31</v>
      </c>
      <c r="F281" t="s">
        <v>36</v>
      </c>
      <c r="G281">
        <v>44.02</v>
      </c>
      <c r="H281">
        <v>10</v>
      </c>
      <c r="I281">
        <v>22.01</v>
      </c>
      <c r="J281">
        <v>462.21</v>
      </c>
      <c r="K281" s="1">
        <v>43544</v>
      </c>
      <c r="L281" s="2">
        <v>0.83124999999999993</v>
      </c>
      <c r="M281" t="s">
        <v>33</v>
      </c>
      <c r="N281">
        <v>440.2</v>
      </c>
      <c r="O281">
        <v>4.7619047620000003</v>
      </c>
      <c r="P281">
        <v>22.01</v>
      </c>
      <c r="Q281">
        <v>9.6</v>
      </c>
    </row>
    <row r="282" spans="1:17" x14ac:dyDescent="0.3">
      <c r="A282" t="s">
        <v>316</v>
      </c>
      <c r="B282" t="s">
        <v>18</v>
      </c>
      <c r="C282" t="s">
        <v>19</v>
      </c>
      <c r="D282" t="s">
        <v>27</v>
      </c>
      <c r="E282" t="s">
        <v>21</v>
      </c>
      <c r="F282" t="s">
        <v>32</v>
      </c>
      <c r="G282">
        <v>69.959999999999994</v>
      </c>
      <c r="H282">
        <v>8</v>
      </c>
      <c r="I282">
        <v>27.984000000000002</v>
      </c>
      <c r="J282">
        <v>587.66399999999999</v>
      </c>
      <c r="K282" s="1">
        <v>43511</v>
      </c>
      <c r="L282" s="2">
        <v>0.7090277777777777</v>
      </c>
      <c r="M282" t="s">
        <v>33</v>
      </c>
      <c r="N282">
        <v>559.67999999999995</v>
      </c>
      <c r="O282">
        <v>4.7619047620000003</v>
      </c>
      <c r="P282">
        <v>27.984000000000002</v>
      </c>
      <c r="Q282">
        <v>6.4</v>
      </c>
    </row>
    <row r="283" spans="1:17" x14ac:dyDescent="0.3">
      <c r="A283" t="s">
        <v>317</v>
      </c>
      <c r="B283" t="s">
        <v>25</v>
      </c>
      <c r="C283" t="s">
        <v>26</v>
      </c>
      <c r="D283" t="s">
        <v>27</v>
      </c>
      <c r="E283" t="s">
        <v>31</v>
      </c>
      <c r="F283" t="s">
        <v>32</v>
      </c>
      <c r="G283">
        <v>37</v>
      </c>
      <c r="H283">
        <v>1</v>
      </c>
      <c r="I283">
        <v>1.85</v>
      </c>
      <c r="J283">
        <v>38.85</v>
      </c>
      <c r="K283" s="1">
        <v>43530</v>
      </c>
      <c r="L283" s="2">
        <v>0.56180555555555556</v>
      </c>
      <c r="M283" t="s">
        <v>33</v>
      </c>
      <c r="N283">
        <v>37</v>
      </c>
      <c r="O283">
        <v>4.7619047620000003</v>
      </c>
      <c r="P283">
        <v>1.85</v>
      </c>
      <c r="Q283">
        <v>7.9</v>
      </c>
    </row>
    <row r="284" spans="1:17" x14ac:dyDescent="0.3">
      <c r="A284" t="s">
        <v>318</v>
      </c>
      <c r="B284" t="s">
        <v>18</v>
      </c>
      <c r="C284" t="s">
        <v>19</v>
      </c>
      <c r="D284" t="s">
        <v>27</v>
      </c>
      <c r="E284" t="s">
        <v>21</v>
      </c>
      <c r="F284" t="s">
        <v>36</v>
      </c>
      <c r="G284">
        <v>15.34</v>
      </c>
      <c r="H284">
        <v>1</v>
      </c>
      <c r="I284">
        <v>0.76700000000000002</v>
      </c>
      <c r="J284">
        <v>16.106999999999999</v>
      </c>
      <c r="K284" s="1">
        <v>43471</v>
      </c>
      <c r="L284" s="2">
        <v>0.46458333333333335</v>
      </c>
      <c r="M284" t="s">
        <v>29</v>
      </c>
      <c r="N284">
        <v>15.34</v>
      </c>
      <c r="O284">
        <v>4.7619047620000003</v>
      </c>
      <c r="P284">
        <v>0.76700000000000002</v>
      </c>
      <c r="Q284">
        <v>6.5</v>
      </c>
    </row>
    <row r="285" spans="1:17" x14ac:dyDescent="0.3">
      <c r="A285" t="s">
        <v>319</v>
      </c>
      <c r="B285" t="s">
        <v>18</v>
      </c>
      <c r="C285" t="s">
        <v>19</v>
      </c>
      <c r="D285" t="s">
        <v>20</v>
      </c>
      <c r="E285" t="s">
        <v>31</v>
      </c>
      <c r="F285" t="s">
        <v>22</v>
      </c>
      <c r="G285">
        <v>99.83</v>
      </c>
      <c r="H285">
        <v>6</v>
      </c>
      <c r="I285">
        <v>29.949000000000002</v>
      </c>
      <c r="J285">
        <v>628.92899999999997</v>
      </c>
      <c r="K285" s="1">
        <v>43528</v>
      </c>
      <c r="L285" s="2">
        <v>0.62638888888888888</v>
      </c>
      <c r="M285" t="s">
        <v>23</v>
      </c>
      <c r="N285">
        <v>598.98</v>
      </c>
      <c r="O285">
        <v>4.7619047620000003</v>
      </c>
      <c r="P285">
        <v>29.949000000000002</v>
      </c>
      <c r="Q285">
        <v>8.5</v>
      </c>
    </row>
    <row r="286" spans="1:17" x14ac:dyDescent="0.3">
      <c r="A286" t="s">
        <v>320</v>
      </c>
      <c r="B286" t="s">
        <v>18</v>
      </c>
      <c r="C286" t="s">
        <v>19</v>
      </c>
      <c r="D286" t="s">
        <v>20</v>
      </c>
      <c r="E286" t="s">
        <v>21</v>
      </c>
      <c r="F286" t="s">
        <v>22</v>
      </c>
      <c r="G286">
        <v>47.67</v>
      </c>
      <c r="H286">
        <v>4</v>
      </c>
      <c r="I286">
        <v>9.5340000000000007</v>
      </c>
      <c r="J286">
        <v>200.214</v>
      </c>
      <c r="K286" s="1">
        <v>43536</v>
      </c>
      <c r="L286" s="2">
        <v>0.59791666666666665</v>
      </c>
      <c r="M286" t="s">
        <v>29</v>
      </c>
      <c r="N286">
        <v>190.68</v>
      </c>
      <c r="O286">
        <v>4.7619047620000003</v>
      </c>
      <c r="P286">
        <v>9.5340000000000007</v>
      </c>
      <c r="Q286">
        <v>9.1</v>
      </c>
    </row>
    <row r="287" spans="1:17" x14ac:dyDescent="0.3">
      <c r="A287" t="s">
        <v>321</v>
      </c>
      <c r="B287" t="s">
        <v>42</v>
      </c>
      <c r="C287" t="s">
        <v>43</v>
      </c>
      <c r="D287" t="s">
        <v>27</v>
      </c>
      <c r="E287" t="s">
        <v>31</v>
      </c>
      <c r="F287" t="s">
        <v>22</v>
      </c>
      <c r="G287">
        <v>66.680000000000007</v>
      </c>
      <c r="H287">
        <v>5</v>
      </c>
      <c r="I287">
        <v>16.670000000000002</v>
      </c>
      <c r="J287">
        <v>350.07</v>
      </c>
      <c r="K287" s="1">
        <v>43516</v>
      </c>
      <c r="L287" s="2">
        <v>0.75069444444444444</v>
      </c>
      <c r="M287" t="s">
        <v>29</v>
      </c>
      <c r="N287">
        <v>333.4</v>
      </c>
      <c r="O287">
        <v>4.7619047620000003</v>
      </c>
      <c r="P287">
        <v>16.670000000000002</v>
      </c>
      <c r="Q287">
        <v>7.6</v>
      </c>
    </row>
    <row r="288" spans="1:17" x14ac:dyDescent="0.3">
      <c r="A288" t="s">
        <v>322</v>
      </c>
      <c r="B288" t="s">
        <v>25</v>
      </c>
      <c r="C288" t="s">
        <v>26</v>
      </c>
      <c r="D288" t="s">
        <v>20</v>
      </c>
      <c r="E288" t="s">
        <v>31</v>
      </c>
      <c r="F288" t="s">
        <v>32</v>
      </c>
      <c r="G288">
        <v>74.86</v>
      </c>
      <c r="H288">
        <v>1</v>
      </c>
      <c r="I288">
        <v>3.7429999999999999</v>
      </c>
      <c r="J288">
        <v>78.602999999999994</v>
      </c>
      <c r="K288" s="1">
        <v>43548</v>
      </c>
      <c r="L288" s="2">
        <v>0.61736111111111114</v>
      </c>
      <c r="M288" t="s">
        <v>29</v>
      </c>
      <c r="N288">
        <v>74.86</v>
      </c>
      <c r="O288">
        <v>4.7619047620000003</v>
      </c>
      <c r="P288">
        <v>3.7429999999999999</v>
      </c>
      <c r="Q288">
        <v>6.9</v>
      </c>
    </row>
    <row r="289" spans="1:17" x14ac:dyDescent="0.3">
      <c r="A289" t="s">
        <v>323</v>
      </c>
      <c r="B289" t="s">
        <v>25</v>
      </c>
      <c r="C289" t="s">
        <v>26</v>
      </c>
      <c r="D289" t="s">
        <v>27</v>
      </c>
      <c r="E289" t="s">
        <v>21</v>
      </c>
      <c r="F289" t="s">
        <v>36</v>
      </c>
      <c r="G289">
        <v>23.75</v>
      </c>
      <c r="H289">
        <v>9</v>
      </c>
      <c r="I289">
        <v>10.6875</v>
      </c>
      <c r="J289">
        <v>224.4375</v>
      </c>
      <c r="K289" s="1">
        <v>43496</v>
      </c>
      <c r="L289" s="2">
        <v>0.50138888888888888</v>
      </c>
      <c r="M289" t="s">
        <v>29</v>
      </c>
      <c r="N289">
        <v>213.75</v>
      </c>
      <c r="O289">
        <v>4.7619047620000003</v>
      </c>
      <c r="P289">
        <v>10.6875</v>
      </c>
      <c r="Q289">
        <v>9.5</v>
      </c>
    </row>
    <row r="290" spans="1:17" x14ac:dyDescent="0.3">
      <c r="A290" t="s">
        <v>324</v>
      </c>
      <c r="B290" t="s">
        <v>42</v>
      </c>
      <c r="C290" t="s">
        <v>43</v>
      </c>
      <c r="D290" t="s">
        <v>27</v>
      </c>
      <c r="E290" t="s">
        <v>21</v>
      </c>
      <c r="F290" t="s">
        <v>44</v>
      </c>
      <c r="G290">
        <v>48.51</v>
      </c>
      <c r="H290">
        <v>7</v>
      </c>
      <c r="I290">
        <v>16.9785</v>
      </c>
      <c r="J290">
        <v>356.54849999999999</v>
      </c>
      <c r="K290" s="1">
        <v>43490</v>
      </c>
      <c r="L290" s="2">
        <v>0.5625</v>
      </c>
      <c r="M290" t="s">
        <v>33</v>
      </c>
      <c r="N290">
        <v>339.57</v>
      </c>
      <c r="O290">
        <v>4.7619047620000003</v>
      </c>
      <c r="P290">
        <v>16.9785</v>
      </c>
      <c r="Q290">
        <v>5.2</v>
      </c>
    </row>
    <row r="291" spans="1:17" x14ac:dyDescent="0.3">
      <c r="A291" t="s">
        <v>325</v>
      </c>
      <c r="B291" t="s">
        <v>18</v>
      </c>
      <c r="C291" t="s">
        <v>19</v>
      </c>
      <c r="D291" t="s">
        <v>20</v>
      </c>
      <c r="E291" t="s">
        <v>21</v>
      </c>
      <c r="F291" t="s">
        <v>32</v>
      </c>
      <c r="G291">
        <v>94.88</v>
      </c>
      <c r="H291">
        <v>7</v>
      </c>
      <c r="I291">
        <v>33.207999999999998</v>
      </c>
      <c r="J291">
        <v>697.36800000000005</v>
      </c>
      <c r="K291" s="1">
        <v>43499</v>
      </c>
      <c r="L291" s="2">
        <v>0.60972222222222217</v>
      </c>
      <c r="M291" t="s">
        <v>29</v>
      </c>
      <c r="N291">
        <v>664.16</v>
      </c>
      <c r="O291">
        <v>4.7619047620000003</v>
      </c>
      <c r="P291">
        <v>33.207999999999998</v>
      </c>
      <c r="Q291">
        <v>4.2</v>
      </c>
    </row>
    <row r="292" spans="1:17" x14ac:dyDescent="0.3">
      <c r="A292" t="s">
        <v>326</v>
      </c>
      <c r="B292" t="s">
        <v>42</v>
      </c>
      <c r="C292" t="s">
        <v>43</v>
      </c>
      <c r="D292" t="s">
        <v>20</v>
      </c>
      <c r="E292" t="s">
        <v>31</v>
      </c>
      <c r="F292" t="s">
        <v>28</v>
      </c>
      <c r="G292">
        <v>40.299999999999997</v>
      </c>
      <c r="H292">
        <v>10</v>
      </c>
      <c r="I292">
        <v>20.149999999999999</v>
      </c>
      <c r="J292">
        <v>423.15</v>
      </c>
      <c r="K292" s="1">
        <v>43489</v>
      </c>
      <c r="L292" s="2">
        <v>0.73402777777777783</v>
      </c>
      <c r="M292" t="s">
        <v>33</v>
      </c>
      <c r="N292">
        <v>403</v>
      </c>
      <c r="O292">
        <v>4.7619047620000003</v>
      </c>
      <c r="P292">
        <v>20.149999999999999</v>
      </c>
      <c r="Q292">
        <v>7</v>
      </c>
    </row>
    <row r="293" spans="1:17" x14ac:dyDescent="0.3">
      <c r="A293" t="s">
        <v>327</v>
      </c>
      <c r="B293" t="s">
        <v>25</v>
      </c>
      <c r="C293" t="s">
        <v>26</v>
      </c>
      <c r="D293" t="s">
        <v>27</v>
      </c>
      <c r="E293" t="s">
        <v>31</v>
      </c>
      <c r="F293" t="s">
        <v>28</v>
      </c>
      <c r="G293">
        <v>27.85</v>
      </c>
      <c r="H293">
        <v>7</v>
      </c>
      <c r="I293">
        <v>9.7475000000000005</v>
      </c>
      <c r="J293">
        <v>204.69749999999999</v>
      </c>
      <c r="K293" s="1">
        <v>43538</v>
      </c>
      <c r="L293" s="2">
        <v>0.72222222222222221</v>
      </c>
      <c r="M293" t="s">
        <v>23</v>
      </c>
      <c r="N293">
        <v>194.95</v>
      </c>
      <c r="O293">
        <v>4.7619047620000003</v>
      </c>
      <c r="P293">
        <v>9.7475000000000005</v>
      </c>
      <c r="Q293">
        <v>6</v>
      </c>
    </row>
    <row r="294" spans="1:17" x14ac:dyDescent="0.3">
      <c r="A294" t="s">
        <v>328</v>
      </c>
      <c r="B294" t="s">
        <v>18</v>
      </c>
      <c r="C294" t="s">
        <v>19</v>
      </c>
      <c r="D294" t="s">
        <v>20</v>
      </c>
      <c r="E294" t="s">
        <v>21</v>
      </c>
      <c r="F294" t="s">
        <v>28</v>
      </c>
      <c r="G294">
        <v>62.48</v>
      </c>
      <c r="H294">
        <v>1</v>
      </c>
      <c r="I294">
        <v>3.1240000000000001</v>
      </c>
      <c r="J294">
        <v>65.603999999999999</v>
      </c>
      <c r="K294" s="1">
        <v>43514</v>
      </c>
      <c r="L294" s="2">
        <v>0.8534722222222223</v>
      </c>
      <c r="M294" t="s">
        <v>29</v>
      </c>
      <c r="N294">
        <v>62.48</v>
      </c>
      <c r="O294">
        <v>4.7619047620000003</v>
      </c>
      <c r="P294">
        <v>3.1240000000000001</v>
      </c>
      <c r="Q294">
        <v>4.7</v>
      </c>
    </row>
    <row r="295" spans="1:17" x14ac:dyDescent="0.3">
      <c r="A295" t="s">
        <v>329</v>
      </c>
      <c r="B295" t="s">
        <v>18</v>
      </c>
      <c r="C295" t="s">
        <v>19</v>
      </c>
      <c r="D295" t="s">
        <v>20</v>
      </c>
      <c r="E295" t="s">
        <v>21</v>
      </c>
      <c r="F295" t="s">
        <v>44</v>
      </c>
      <c r="G295">
        <v>36.36</v>
      </c>
      <c r="H295">
        <v>2</v>
      </c>
      <c r="I295">
        <v>3.6360000000000001</v>
      </c>
      <c r="J295">
        <v>76.355999999999995</v>
      </c>
      <c r="K295" s="1">
        <v>43486</v>
      </c>
      <c r="L295" s="2">
        <v>0.41666666666666669</v>
      </c>
      <c r="M295" t="s">
        <v>29</v>
      </c>
      <c r="N295">
        <v>72.72</v>
      </c>
      <c r="O295">
        <v>4.7619047620000003</v>
      </c>
      <c r="P295">
        <v>3.6360000000000001</v>
      </c>
      <c r="Q295">
        <v>7.1</v>
      </c>
    </row>
    <row r="296" spans="1:17" x14ac:dyDescent="0.3">
      <c r="A296" t="s">
        <v>330</v>
      </c>
      <c r="B296" t="s">
        <v>42</v>
      </c>
      <c r="C296" t="s">
        <v>43</v>
      </c>
      <c r="D296" t="s">
        <v>27</v>
      </c>
      <c r="E296" t="s">
        <v>31</v>
      </c>
      <c r="F296" t="s">
        <v>22</v>
      </c>
      <c r="G296">
        <v>18.11</v>
      </c>
      <c r="H296">
        <v>10</v>
      </c>
      <c r="I296">
        <v>9.0549999999999997</v>
      </c>
      <c r="J296">
        <v>190.155</v>
      </c>
      <c r="K296" s="1">
        <v>43537</v>
      </c>
      <c r="L296" s="2">
        <v>0.49027777777777781</v>
      </c>
      <c r="M296" t="s">
        <v>23</v>
      </c>
      <c r="N296">
        <v>181.1</v>
      </c>
      <c r="O296">
        <v>4.7619047620000003</v>
      </c>
      <c r="P296">
        <v>9.0549999999999997</v>
      </c>
      <c r="Q296">
        <v>5.9</v>
      </c>
    </row>
    <row r="297" spans="1:17" x14ac:dyDescent="0.3">
      <c r="A297" t="s">
        <v>331</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3">
      <c r="A298" t="s">
        <v>332</v>
      </c>
      <c r="B298" t="s">
        <v>25</v>
      </c>
      <c r="C298" t="s">
        <v>26</v>
      </c>
      <c r="D298" t="s">
        <v>27</v>
      </c>
      <c r="E298" t="s">
        <v>31</v>
      </c>
      <c r="F298" t="s">
        <v>28</v>
      </c>
      <c r="G298">
        <v>28.84</v>
      </c>
      <c r="H298">
        <v>4</v>
      </c>
      <c r="I298">
        <v>5.7679999999999998</v>
      </c>
      <c r="J298">
        <v>121.128</v>
      </c>
      <c r="K298" s="1">
        <v>43553</v>
      </c>
      <c r="L298" s="2">
        <v>0.61388888888888882</v>
      </c>
      <c r="M298" t="s">
        <v>29</v>
      </c>
      <c r="N298">
        <v>115.36</v>
      </c>
      <c r="O298">
        <v>4.7619047620000003</v>
      </c>
      <c r="P298">
        <v>5.7679999999999998</v>
      </c>
      <c r="Q298">
        <v>6.4</v>
      </c>
    </row>
    <row r="299" spans="1:17" x14ac:dyDescent="0.3">
      <c r="A299" t="s">
        <v>333</v>
      </c>
      <c r="B299" t="s">
        <v>18</v>
      </c>
      <c r="C299" t="s">
        <v>19</v>
      </c>
      <c r="D299" t="s">
        <v>20</v>
      </c>
      <c r="E299" t="s">
        <v>31</v>
      </c>
      <c r="F299" t="s">
        <v>32</v>
      </c>
      <c r="G299">
        <v>78.38</v>
      </c>
      <c r="H299">
        <v>6</v>
      </c>
      <c r="I299">
        <v>23.513999999999999</v>
      </c>
      <c r="J299">
        <v>493.79399999999998</v>
      </c>
      <c r="K299" s="1">
        <v>43475</v>
      </c>
      <c r="L299" s="2">
        <v>0.59444444444444444</v>
      </c>
      <c r="M299" t="s">
        <v>23</v>
      </c>
      <c r="N299">
        <v>470.28</v>
      </c>
      <c r="O299">
        <v>4.7619047620000003</v>
      </c>
      <c r="P299">
        <v>23.513999999999999</v>
      </c>
      <c r="Q299">
        <v>5.8</v>
      </c>
    </row>
    <row r="300" spans="1:17" x14ac:dyDescent="0.3">
      <c r="A300" t="s">
        <v>334</v>
      </c>
      <c r="B300" t="s">
        <v>18</v>
      </c>
      <c r="C300" t="s">
        <v>19</v>
      </c>
      <c r="D300" t="s">
        <v>20</v>
      </c>
      <c r="E300" t="s">
        <v>31</v>
      </c>
      <c r="F300" t="s">
        <v>32</v>
      </c>
      <c r="G300">
        <v>60.01</v>
      </c>
      <c r="H300">
        <v>4</v>
      </c>
      <c r="I300">
        <v>12.002000000000001</v>
      </c>
      <c r="J300">
        <v>252.042</v>
      </c>
      <c r="K300" s="1">
        <v>43490</v>
      </c>
      <c r="L300" s="2">
        <v>0.66249999999999998</v>
      </c>
      <c r="M300" t="s">
        <v>29</v>
      </c>
      <c r="N300">
        <v>240.04</v>
      </c>
      <c r="O300">
        <v>4.7619047620000003</v>
      </c>
      <c r="P300">
        <v>12.002000000000001</v>
      </c>
      <c r="Q300">
        <v>4.5</v>
      </c>
    </row>
    <row r="301" spans="1:17" x14ac:dyDescent="0.3">
      <c r="A301" t="s">
        <v>335</v>
      </c>
      <c r="B301" t="s">
        <v>25</v>
      </c>
      <c r="C301" t="s">
        <v>26</v>
      </c>
      <c r="D301" t="s">
        <v>20</v>
      </c>
      <c r="E301" t="s">
        <v>21</v>
      </c>
      <c r="F301" t="s">
        <v>32</v>
      </c>
      <c r="G301">
        <v>88.61</v>
      </c>
      <c r="H301">
        <v>1</v>
      </c>
      <c r="I301">
        <v>4.4305000000000003</v>
      </c>
      <c r="J301">
        <v>93.040499999999994</v>
      </c>
      <c r="K301" s="1">
        <v>43484</v>
      </c>
      <c r="L301" s="2">
        <v>0.43124999999999997</v>
      </c>
      <c r="M301" t="s">
        <v>29</v>
      </c>
      <c r="N301">
        <v>88.61</v>
      </c>
      <c r="O301">
        <v>4.7619047620000003</v>
      </c>
      <c r="P301">
        <v>4.4305000000000003</v>
      </c>
      <c r="Q301">
        <v>7.7</v>
      </c>
    </row>
    <row r="302" spans="1:17" x14ac:dyDescent="0.3">
      <c r="A302" t="s">
        <v>336</v>
      </c>
      <c r="B302" t="s">
        <v>25</v>
      </c>
      <c r="C302" t="s">
        <v>26</v>
      </c>
      <c r="D302" t="s">
        <v>27</v>
      </c>
      <c r="E302" t="s">
        <v>31</v>
      </c>
      <c r="F302" t="s">
        <v>46</v>
      </c>
      <c r="G302">
        <v>99.82</v>
      </c>
      <c r="H302">
        <v>2</v>
      </c>
      <c r="I302">
        <v>9.9819999999999993</v>
      </c>
      <c r="J302">
        <v>209.62200000000001</v>
      </c>
      <c r="K302" s="1">
        <v>43467</v>
      </c>
      <c r="L302" s="2">
        <v>0.75624999999999998</v>
      </c>
      <c r="M302" t="s">
        <v>33</v>
      </c>
      <c r="N302">
        <v>199.64</v>
      </c>
      <c r="O302">
        <v>4.7619047620000003</v>
      </c>
      <c r="P302">
        <v>9.9819999999999993</v>
      </c>
      <c r="Q302">
        <v>6.7</v>
      </c>
    </row>
    <row r="303" spans="1:17" x14ac:dyDescent="0.3">
      <c r="A303" t="s">
        <v>337</v>
      </c>
      <c r="B303" t="s">
        <v>42</v>
      </c>
      <c r="C303" t="s">
        <v>43</v>
      </c>
      <c r="D303" t="s">
        <v>20</v>
      </c>
      <c r="E303" t="s">
        <v>31</v>
      </c>
      <c r="F303" t="s">
        <v>22</v>
      </c>
      <c r="G303">
        <v>39.01</v>
      </c>
      <c r="H303">
        <v>1</v>
      </c>
      <c r="I303">
        <v>1.9504999999999999</v>
      </c>
      <c r="J303">
        <v>40.960500000000003</v>
      </c>
      <c r="K303" s="1">
        <v>43536</v>
      </c>
      <c r="L303" s="2">
        <v>0.69861111111111107</v>
      </c>
      <c r="M303" t="s">
        <v>33</v>
      </c>
      <c r="N303">
        <v>39.01</v>
      </c>
      <c r="O303">
        <v>4.7619047620000003</v>
      </c>
      <c r="P303">
        <v>1.9504999999999999</v>
      </c>
      <c r="Q303">
        <v>4.7</v>
      </c>
    </row>
    <row r="304" spans="1:17" x14ac:dyDescent="0.3">
      <c r="A304" t="s">
        <v>338</v>
      </c>
      <c r="B304" t="s">
        <v>25</v>
      </c>
      <c r="C304" t="s">
        <v>26</v>
      </c>
      <c r="D304" t="s">
        <v>27</v>
      </c>
      <c r="E304" t="s">
        <v>31</v>
      </c>
      <c r="F304" t="s">
        <v>44</v>
      </c>
      <c r="G304">
        <v>48.61</v>
      </c>
      <c r="H304">
        <v>1</v>
      </c>
      <c r="I304">
        <v>2.4304999999999999</v>
      </c>
      <c r="J304">
        <v>51.040500000000002</v>
      </c>
      <c r="K304" s="1">
        <v>43521</v>
      </c>
      <c r="L304" s="2">
        <v>0.64652777777777781</v>
      </c>
      <c r="M304" t="s">
        <v>29</v>
      </c>
      <c r="N304">
        <v>48.61</v>
      </c>
      <c r="O304">
        <v>4.7619047620000003</v>
      </c>
      <c r="P304">
        <v>2.4304999999999999</v>
      </c>
      <c r="Q304">
        <v>4.4000000000000004</v>
      </c>
    </row>
    <row r="305" spans="1:17" x14ac:dyDescent="0.3">
      <c r="A305" t="s">
        <v>339</v>
      </c>
      <c r="B305" t="s">
        <v>18</v>
      </c>
      <c r="C305" t="s">
        <v>19</v>
      </c>
      <c r="D305" t="s">
        <v>27</v>
      </c>
      <c r="E305" t="s">
        <v>21</v>
      </c>
      <c r="F305" t="s">
        <v>28</v>
      </c>
      <c r="G305">
        <v>51.19</v>
      </c>
      <c r="H305">
        <v>4</v>
      </c>
      <c r="I305">
        <v>10.238</v>
      </c>
      <c r="J305">
        <v>214.99799999999999</v>
      </c>
      <c r="K305" s="1">
        <v>43542</v>
      </c>
      <c r="L305" s="2">
        <v>0.71875</v>
      </c>
      <c r="M305" t="s">
        <v>33</v>
      </c>
      <c r="N305">
        <v>204.76</v>
      </c>
      <c r="O305">
        <v>4.7619047620000003</v>
      </c>
      <c r="P305">
        <v>10.238</v>
      </c>
      <c r="Q305">
        <v>4.7</v>
      </c>
    </row>
    <row r="306" spans="1:17" x14ac:dyDescent="0.3">
      <c r="A306" t="s">
        <v>340</v>
      </c>
      <c r="B306" t="s">
        <v>42</v>
      </c>
      <c r="C306" t="s">
        <v>43</v>
      </c>
      <c r="D306" t="s">
        <v>27</v>
      </c>
      <c r="E306" t="s">
        <v>21</v>
      </c>
      <c r="F306" t="s">
        <v>28</v>
      </c>
      <c r="G306">
        <v>14.96</v>
      </c>
      <c r="H306">
        <v>8</v>
      </c>
      <c r="I306">
        <v>5.984</v>
      </c>
      <c r="J306">
        <v>125.664</v>
      </c>
      <c r="K306" s="1">
        <v>43519</v>
      </c>
      <c r="L306" s="2">
        <v>0.52013888888888882</v>
      </c>
      <c r="M306" t="s">
        <v>29</v>
      </c>
      <c r="N306">
        <v>119.68</v>
      </c>
      <c r="O306">
        <v>4.7619047620000003</v>
      </c>
      <c r="P306">
        <v>5.984</v>
      </c>
      <c r="Q306">
        <v>8.6</v>
      </c>
    </row>
    <row r="307" spans="1:17" x14ac:dyDescent="0.3">
      <c r="A307" t="s">
        <v>341</v>
      </c>
      <c r="B307" t="s">
        <v>18</v>
      </c>
      <c r="C307" t="s">
        <v>19</v>
      </c>
      <c r="D307" t="s">
        <v>20</v>
      </c>
      <c r="E307" t="s">
        <v>31</v>
      </c>
      <c r="F307" t="s">
        <v>28</v>
      </c>
      <c r="G307">
        <v>72.2</v>
      </c>
      <c r="H307">
        <v>7</v>
      </c>
      <c r="I307">
        <v>25.27</v>
      </c>
      <c r="J307">
        <v>530.66999999999996</v>
      </c>
      <c r="K307" s="1">
        <v>43550</v>
      </c>
      <c r="L307" s="2">
        <v>0.84305555555555556</v>
      </c>
      <c r="M307" t="s">
        <v>23</v>
      </c>
      <c r="N307">
        <v>505.4</v>
      </c>
      <c r="O307">
        <v>4.7619047620000003</v>
      </c>
      <c r="P307">
        <v>25.27</v>
      </c>
      <c r="Q307">
        <v>4.3</v>
      </c>
    </row>
    <row r="308" spans="1:17" x14ac:dyDescent="0.3">
      <c r="A308" t="s">
        <v>342</v>
      </c>
      <c r="B308" t="s">
        <v>18</v>
      </c>
      <c r="C308" t="s">
        <v>19</v>
      </c>
      <c r="D308" t="s">
        <v>27</v>
      </c>
      <c r="E308" t="s">
        <v>21</v>
      </c>
      <c r="F308" t="s">
        <v>36</v>
      </c>
      <c r="G308">
        <v>40.229999999999997</v>
      </c>
      <c r="H308">
        <v>7</v>
      </c>
      <c r="I308">
        <v>14.080500000000001</v>
      </c>
      <c r="J308">
        <v>295.69049999999999</v>
      </c>
      <c r="K308" s="1">
        <v>43554</v>
      </c>
      <c r="L308" s="2">
        <v>0.55694444444444446</v>
      </c>
      <c r="M308" t="s">
        <v>29</v>
      </c>
      <c r="N308">
        <v>281.61</v>
      </c>
      <c r="O308">
        <v>4.7619047620000003</v>
      </c>
      <c r="P308">
        <v>14.080500000000001</v>
      </c>
      <c r="Q308">
        <v>9.6</v>
      </c>
    </row>
    <row r="309" spans="1:17" x14ac:dyDescent="0.3">
      <c r="A309" t="s">
        <v>343</v>
      </c>
      <c r="B309" t="s">
        <v>18</v>
      </c>
      <c r="C309" t="s">
        <v>19</v>
      </c>
      <c r="D309" t="s">
        <v>20</v>
      </c>
      <c r="E309" t="s">
        <v>21</v>
      </c>
      <c r="F309" t="s">
        <v>32</v>
      </c>
      <c r="G309">
        <v>88.79</v>
      </c>
      <c r="H309">
        <v>8</v>
      </c>
      <c r="I309">
        <v>35.515999999999998</v>
      </c>
      <c r="J309">
        <v>745.83600000000001</v>
      </c>
      <c r="K309" s="1">
        <v>43513</v>
      </c>
      <c r="L309" s="2">
        <v>0.71458333333333324</v>
      </c>
      <c r="M309" t="s">
        <v>29</v>
      </c>
      <c r="N309">
        <v>710.32</v>
      </c>
      <c r="O309">
        <v>4.7619047620000003</v>
      </c>
      <c r="P309">
        <v>35.515999999999998</v>
      </c>
      <c r="Q309">
        <v>4.0999999999999996</v>
      </c>
    </row>
    <row r="310" spans="1:17" x14ac:dyDescent="0.3">
      <c r="A310" t="s">
        <v>344</v>
      </c>
      <c r="B310" t="s">
        <v>18</v>
      </c>
      <c r="C310" t="s">
        <v>19</v>
      </c>
      <c r="D310" t="s">
        <v>20</v>
      </c>
      <c r="E310" t="s">
        <v>21</v>
      </c>
      <c r="F310" t="s">
        <v>28</v>
      </c>
      <c r="G310">
        <v>26.48</v>
      </c>
      <c r="H310">
        <v>3</v>
      </c>
      <c r="I310">
        <v>3.972</v>
      </c>
      <c r="J310">
        <v>83.412000000000006</v>
      </c>
      <c r="K310" s="1">
        <v>43545</v>
      </c>
      <c r="L310" s="2">
        <v>0.44444444444444442</v>
      </c>
      <c r="M310" t="s">
        <v>23</v>
      </c>
      <c r="N310">
        <v>79.44</v>
      </c>
      <c r="O310">
        <v>4.7619047620000003</v>
      </c>
      <c r="P310">
        <v>3.972</v>
      </c>
      <c r="Q310">
        <v>4.7</v>
      </c>
    </row>
    <row r="311" spans="1:17" x14ac:dyDescent="0.3">
      <c r="A311" t="s">
        <v>345</v>
      </c>
      <c r="B311" t="s">
        <v>18</v>
      </c>
      <c r="C311" t="s">
        <v>19</v>
      </c>
      <c r="D311" t="s">
        <v>27</v>
      </c>
      <c r="E311" t="s">
        <v>21</v>
      </c>
      <c r="F311" t="s">
        <v>46</v>
      </c>
      <c r="G311">
        <v>81.91</v>
      </c>
      <c r="H311">
        <v>2</v>
      </c>
      <c r="I311">
        <v>8.1910000000000007</v>
      </c>
      <c r="J311">
        <v>172.011</v>
      </c>
      <c r="K311" s="1">
        <v>43529</v>
      </c>
      <c r="L311" s="2">
        <v>0.73819444444444438</v>
      </c>
      <c r="M311" t="s">
        <v>29</v>
      </c>
      <c r="N311">
        <v>163.82</v>
      </c>
      <c r="O311">
        <v>4.7619047620000003</v>
      </c>
      <c r="P311">
        <v>8.1910000000000007</v>
      </c>
      <c r="Q311">
        <v>7.8</v>
      </c>
    </row>
    <row r="312" spans="1:17" x14ac:dyDescent="0.3">
      <c r="A312" t="s">
        <v>346</v>
      </c>
      <c r="B312" t="s">
        <v>42</v>
      </c>
      <c r="C312" t="s">
        <v>43</v>
      </c>
      <c r="D312" t="s">
        <v>20</v>
      </c>
      <c r="E312" t="s">
        <v>31</v>
      </c>
      <c r="F312" t="s">
        <v>36</v>
      </c>
      <c r="G312">
        <v>79.930000000000007</v>
      </c>
      <c r="H312">
        <v>6</v>
      </c>
      <c r="I312">
        <v>23.978999999999999</v>
      </c>
      <c r="J312">
        <v>503.55900000000003</v>
      </c>
      <c r="K312" s="1">
        <v>43496</v>
      </c>
      <c r="L312" s="2">
        <v>0.58611111111111114</v>
      </c>
      <c r="M312" t="s">
        <v>29</v>
      </c>
      <c r="N312">
        <v>479.58</v>
      </c>
      <c r="O312">
        <v>4.7619047620000003</v>
      </c>
      <c r="P312">
        <v>23.978999999999999</v>
      </c>
      <c r="Q312">
        <v>5.5</v>
      </c>
    </row>
    <row r="313" spans="1:17" x14ac:dyDescent="0.3">
      <c r="A313" t="s">
        <v>347</v>
      </c>
      <c r="B313" t="s">
        <v>25</v>
      </c>
      <c r="C313" t="s">
        <v>26</v>
      </c>
      <c r="D313" t="s">
        <v>20</v>
      </c>
      <c r="E313" t="s">
        <v>31</v>
      </c>
      <c r="F313" t="s">
        <v>46</v>
      </c>
      <c r="G313">
        <v>69.33</v>
      </c>
      <c r="H313">
        <v>2</v>
      </c>
      <c r="I313">
        <v>6.9329999999999998</v>
      </c>
      <c r="J313">
        <v>145.59299999999999</v>
      </c>
      <c r="K313" s="1">
        <v>43501</v>
      </c>
      <c r="L313" s="2">
        <v>0.79513888888888884</v>
      </c>
      <c r="M313" t="s">
        <v>23</v>
      </c>
      <c r="N313">
        <v>138.66</v>
      </c>
      <c r="O313">
        <v>4.7619047620000003</v>
      </c>
      <c r="P313">
        <v>6.9329999999999998</v>
      </c>
      <c r="Q313">
        <v>9.6999999999999993</v>
      </c>
    </row>
    <row r="314" spans="1:17" x14ac:dyDescent="0.3">
      <c r="A314" t="s">
        <v>348</v>
      </c>
      <c r="B314" t="s">
        <v>18</v>
      </c>
      <c r="C314" t="s">
        <v>19</v>
      </c>
      <c r="D314" t="s">
        <v>20</v>
      </c>
      <c r="E314" t="s">
        <v>21</v>
      </c>
      <c r="F314" t="s">
        <v>44</v>
      </c>
      <c r="G314">
        <v>14.23</v>
      </c>
      <c r="H314">
        <v>5</v>
      </c>
      <c r="I314">
        <v>3.5575000000000001</v>
      </c>
      <c r="J314">
        <v>74.707499999999996</v>
      </c>
      <c r="K314" s="1">
        <v>43497</v>
      </c>
      <c r="L314" s="2">
        <v>0.42222222222222222</v>
      </c>
      <c r="M314" t="s">
        <v>33</v>
      </c>
      <c r="N314">
        <v>71.150000000000006</v>
      </c>
      <c r="O314">
        <v>4.7619047620000003</v>
      </c>
      <c r="P314">
        <v>3.5575000000000001</v>
      </c>
      <c r="Q314">
        <v>4.4000000000000004</v>
      </c>
    </row>
    <row r="315" spans="1:17" x14ac:dyDescent="0.3">
      <c r="A315" t="s">
        <v>349</v>
      </c>
      <c r="B315" t="s">
        <v>18</v>
      </c>
      <c r="C315" t="s">
        <v>19</v>
      </c>
      <c r="D315" t="s">
        <v>20</v>
      </c>
      <c r="E315" t="s">
        <v>21</v>
      </c>
      <c r="F315" t="s">
        <v>22</v>
      </c>
      <c r="G315">
        <v>15.55</v>
      </c>
      <c r="H315">
        <v>9</v>
      </c>
      <c r="I315">
        <v>6.9974999999999996</v>
      </c>
      <c r="J315">
        <v>146.94749999999999</v>
      </c>
      <c r="K315" s="1">
        <v>43531</v>
      </c>
      <c r="L315" s="2">
        <v>0.54999999999999993</v>
      </c>
      <c r="M315" t="s">
        <v>29</v>
      </c>
      <c r="N315">
        <v>139.94999999999999</v>
      </c>
      <c r="O315">
        <v>4.7619047620000003</v>
      </c>
      <c r="P315">
        <v>6.9974999999999996</v>
      </c>
      <c r="Q315">
        <v>5</v>
      </c>
    </row>
    <row r="316" spans="1:17" x14ac:dyDescent="0.3">
      <c r="A316" t="s">
        <v>350</v>
      </c>
      <c r="B316" t="s">
        <v>25</v>
      </c>
      <c r="C316" t="s">
        <v>26</v>
      </c>
      <c r="D316" t="s">
        <v>20</v>
      </c>
      <c r="E316" t="s">
        <v>21</v>
      </c>
      <c r="F316" t="s">
        <v>28</v>
      </c>
      <c r="G316">
        <v>78.13</v>
      </c>
      <c r="H316">
        <v>10</v>
      </c>
      <c r="I316">
        <v>39.064999999999998</v>
      </c>
      <c r="J316">
        <v>820.36500000000001</v>
      </c>
      <c r="K316" s="1">
        <v>43506</v>
      </c>
      <c r="L316" s="2">
        <v>0.86875000000000002</v>
      </c>
      <c r="M316" t="s">
        <v>29</v>
      </c>
      <c r="N316">
        <v>781.3</v>
      </c>
      <c r="O316">
        <v>4.7619047620000003</v>
      </c>
      <c r="P316">
        <v>39.064999999999998</v>
      </c>
      <c r="Q316">
        <v>4.4000000000000004</v>
      </c>
    </row>
    <row r="317" spans="1:17" x14ac:dyDescent="0.3">
      <c r="A317" t="s">
        <v>351</v>
      </c>
      <c r="B317" t="s">
        <v>25</v>
      </c>
      <c r="C317" t="s">
        <v>26</v>
      </c>
      <c r="D317" t="s">
        <v>20</v>
      </c>
      <c r="E317" t="s">
        <v>31</v>
      </c>
      <c r="F317" t="s">
        <v>44</v>
      </c>
      <c r="G317">
        <v>99.37</v>
      </c>
      <c r="H317">
        <v>2</v>
      </c>
      <c r="I317">
        <v>9.9369999999999994</v>
      </c>
      <c r="J317">
        <v>208.67699999999999</v>
      </c>
      <c r="K317" s="1">
        <v>43510</v>
      </c>
      <c r="L317" s="2">
        <v>0.7284722222222223</v>
      </c>
      <c r="M317" t="s">
        <v>29</v>
      </c>
      <c r="N317">
        <v>198.74</v>
      </c>
      <c r="O317">
        <v>4.7619047620000003</v>
      </c>
      <c r="P317">
        <v>9.9369999999999994</v>
      </c>
      <c r="Q317">
        <v>5.2</v>
      </c>
    </row>
    <row r="318" spans="1:17" x14ac:dyDescent="0.3">
      <c r="A318" t="s">
        <v>352</v>
      </c>
      <c r="B318" t="s">
        <v>25</v>
      </c>
      <c r="C318" t="s">
        <v>26</v>
      </c>
      <c r="D318" t="s">
        <v>20</v>
      </c>
      <c r="E318" t="s">
        <v>21</v>
      </c>
      <c r="F318" t="s">
        <v>44</v>
      </c>
      <c r="G318">
        <v>21.08</v>
      </c>
      <c r="H318">
        <v>3</v>
      </c>
      <c r="I318">
        <v>3.1619999999999999</v>
      </c>
      <c r="J318">
        <v>66.402000000000001</v>
      </c>
      <c r="K318" s="1">
        <v>43505</v>
      </c>
      <c r="L318" s="2">
        <v>0.43402777777777773</v>
      </c>
      <c r="M318" t="s">
        <v>29</v>
      </c>
      <c r="N318">
        <v>63.24</v>
      </c>
      <c r="O318">
        <v>4.7619047620000003</v>
      </c>
      <c r="P318">
        <v>3.1619999999999999</v>
      </c>
      <c r="Q318">
        <v>7.3</v>
      </c>
    </row>
    <row r="319" spans="1:17" x14ac:dyDescent="0.3">
      <c r="A319" t="s">
        <v>353</v>
      </c>
      <c r="B319" t="s">
        <v>25</v>
      </c>
      <c r="C319" t="s">
        <v>26</v>
      </c>
      <c r="D319" t="s">
        <v>20</v>
      </c>
      <c r="E319" t="s">
        <v>31</v>
      </c>
      <c r="F319" t="s">
        <v>28</v>
      </c>
      <c r="G319">
        <v>74.790000000000006</v>
      </c>
      <c r="H319">
        <v>5</v>
      </c>
      <c r="I319">
        <v>18.697500000000002</v>
      </c>
      <c r="J319">
        <v>392.64749999999998</v>
      </c>
      <c r="K319" s="1">
        <v>43475</v>
      </c>
      <c r="L319" s="2">
        <v>0.48194444444444445</v>
      </c>
      <c r="M319" t="s">
        <v>29</v>
      </c>
      <c r="N319">
        <v>373.95</v>
      </c>
      <c r="O319">
        <v>4.7619047620000003</v>
      </c>
      <c r="P319">
        <v>18.697500000000002</v>
      </c>
      <c r="Q319">
        <v>4.9000000000000004</v>
      </c>
    </row>
    <row r="320" spans="1:17" x14ac:dyDescent="0.3">
      <c r="A320" t="s">
        <v>354</v>
      </c>
      <c r="B320" t="s">
        <v>25</v>
      </c>
      <c r="C320" t="s">
        <v>26</v>
      </c>
      <c r="D320" t="s">
        <v>20</v>
      </c>
      <c r="E320" t="s">
        <v>21</v>
      </c>
      <c r="F320" t="s">
        <v>22</v>
      </c>
      <c r="G320">
        <v>29.67</v>
      </c>
      <c r="H320">
        <v>7</v>
      </c>
      <c r="I320">
        <v>10.384499999999999</v>
      </c>
      <c r="J320">
        <v>218.0745</v>
      </c>
      <c r="K320" s="1">
        <v>43535</v>
      </c>
      <c r="L320" s="2">
        <v>0.79027777777777775</v>
      </c>
      <c r="M320" t="s">
        <v>33</v>
      </c>
      <c r="N320">
        <v>207.69</v>
      </c>
      <c r="O320">
        <v>4.7619047620000003</v>
      </c>
      <c r="P320">
        <v>10.384499999999999</v>
      </c>
      <c r="Q320">
        <v>8.1</v>
      </c>
    </row>
    <row r="321" spans="1:17" x14ac:dyDescent="0.3">
      <c r="A321" t="s">
        <v>355</v>
      </c>
      <c r="B321" t="s">
        <v>25</v>
      </c>
      <c r="C321" t="s">
        <v>26</v>
      </c>
      <c r="D321" t="s">
        <v>20</v>
      </c>
      <c r="E321" t="s">
        <v>31</v>
      </c>
      <c r="F321" t="s">
        <v>22</v>
      </c>
      <c r="G321">
        <v>44.07</v>
      </c>
      <c r="H321">
        <v>4</v>
      </c>
      <c r="I321">
        <v>8.8140000000000001</v>
      </c>
      <c r="J321">
        <v>185.09399999999999</v>
      </c>
      <c r="K321" s="1">
        <v>43514</v>
      </c>
      <c r="L321" s="2">
        <v>0.68611111111111101</v>
      </c>
      <c r="M321" t="s">
        <v>23</v>
      </c>
      <c r="N321">
        <v>176.28</v>
      </c>
      <c r="O321">
        <v>4.7619047620000003</v>
      </c>
      <c r="P321">
        <v>8.8140000000000001</v>
      </c>
      <c r="Q321">
        <v>8.4</v>
      </c>
    </row>
    <row r="322" spans="1:17" x14ac:dyDescent="0.3">
      <c r="A322" t="s">
        <v>356</v>
      </c>
      <c r="B322" t="s">
        <v>25</v>
      </c>
      <c r="C322" t="s">
        <v>26</v>
      </c>
      <c r="D322" t="s">
        <v>27</v>
      </c>
      <c r="E322" t="s">
        <v>21</v>
      </c>
      <c r="F322" t="s">
        <v>44</v>
      </c>
      <c r="G322">
        <v>22.93</v>
      </c>
      <c r="H322">
        <v>9</v>
      </c>
      <c r="I322">
        <v>10.3185</v>
      </c>
      <c r="J322">
        <v>216.6885</v>
      </c>
      <c r="K322" s="1">
        <v>43522</v>
      </c>
      <c r="L322" s="2">
        <v>0.85138888888888886</v>
      </c>
      <c r="M322" t="s">
        <v>29</v>
      </c>
      <c r="N322">
        <v>206.37</v>
      </c>
      <c r="O322">
        <v>4.7619047620000003</v>
      </c>
      <c r="P322">
        <v>10.3185</v>
      </c>
      <c r="Q322">
        <v>5.5</v>
      </c>
    </row>
    <row r="323" spans="1:17" x14ac:dyDescent="0.3">
      <c r="A323" t="s">
        <v>357</v>
      </c>
      <c r="B323" t="s">
        <v>25</v>
      </c>
      <c r="C323" t="s">
        <v>26</v>
      </c>
      <c r="D323" t="s">
        <v>27</v>
      </c>
      <c r="E323" t="s">
        <v>21</v>
      </c>
      <c r="F323" t="s">
        <v>22</v>
      </c>
      <c r="G323">
        <v>39.42</v>
      </c>
      <c r="H323">
        <v>1</v>
      </c>
      <c r="I323">
        <v>1.9710000000000001</v>
      </c>
      <c r="J323">
        <v>41.390999999999998</v>
      </c>
      <c r="K323" s="1">
        <v>43483</v>
      </c>
      <c r="L323" s="2">
        <v>0.63055555555555554</v>
      </c>
      <c r="M323" t="s">
        <v>29</v>
      </c>
      <c r="N323">
        <v>39.42</v>
      </c>
      <c r="O323">
        <v>4.7619047620000003</v>
      </c>
      <c r="P323">
        <v>1.9710000000000001</v>
      </c>
      <c r="Q323">
        <v>8.4</v>
      </c>
    </row>
    <row r="324" spans="1:17" x14ac:dyDescent="0.3">
      <c r="A324" t="s">
        <v>358</v>
      </c>
      <c r="B324" t="s">
        <v>18</v>
      </c>
      <c r="C324" t="s">
        <v>19</v>
      </c>
      <c r="D324" t="s">
        <v>27</v>
      </c>
      <c r="E324" t="s">
        <v>31</v>
      </c>
      <c r="F324" t="s">
        <v>22</v>
      </c>
      <c r="G324">
        <v>15.26</v>
      </c>
      <c r="H324">
        <v>6</v>
      </c>
      <c r="I324">
        <v>4.5780000000000003</v>
      </c>
      <c r="J324">
        <v>96.138000000000005</v>
      </c>
      <c r="K324" s="1">
        <v>43511</v>
      </c>
      <c r="L324" s="2">
        <v>0.75208333333333333</v>
      </c>
      <c r="M324" t="s">
        <v>23</v>
      </c>
      <c r="N324">
        <v>91.56</v>
      </c>
      <c r="O324">
        <v>4.7619047620000003</v>
      </c>
      <c r="P324">
        <v>4.5780000000000003</v>
      </c>
      <c r="Q324">
        <v>9.8000000000000007</v>
      </c>
    </row>
    <row r="325" spans="1:17" x14ac:dyDescent="0.3">
      <c r="A325" t="s">
        <v>359</v>
      </c>
      <c r="B325" t="s">
        <v>18</v>
      </c>
      <c r="C325" t="s">
        <v>19</v>
      </c>
      <c r="D325" t="s">
        <v>27</v>
      </c>
      <c r="E325" t="s">
        <v>21</v>
      </c>
      <c r="F325" t="s">
        <v>46</v>
      </c>
      <c r="G325">
        <v>61.77</v>
      </c>
      <c r="H325">
        <v>5</v>
      </c>
      <c r="I325">
        <v>15.442500000000001</v>
      </c>
      <c r="J325">
        <v>324.29250000000002</v>
      </c>
      <c r="K325" s="1">
        <v>43532</v>
      </c>
      <c r="L325" s="2">
        <v>0.55625000000000002</v>
      </c>
      <c r="M325" t="s">
        <v>29</v>
      </c>
      <c r="N325">
        <v>308.85000000000002</v>
      </c>
      <c r="O325">
        <v>4.7619047620000003</v>
      </c>
      <c r="P325">
        <v>15.442500000000001</v>
      </c>
      <c r="Q325">
        <v>6.7</v>
      </c>
    </row>
    <row r="326" spans="1:17" x14ac:dyDescent="0.3">
      <c r="A326" t="s">
        <v>360</v>
      </c>
      <c r="B326" t="s">
        <v>18</v>
      </c>
      <c r="C326" t="s">
        <v>19</v>
      </c>
      <c r="D326" t="s">
        <v>27</v>
      </c>
      <c r="E326" t="s">
        <v>31</v>
      </c>
      <c r="F326" t="s">
        <v>32</v>
      </c>
      <c r="G326">
        <v>21.52</v>
      </c>
      <c r="H326">
        <v>6</v>
      </c>
      <c r="I326">
        <v>6.4560000000000004</v>
      </c>
      <c r="J326">
        <v>135.57599999999999</v>
      </c>
      <c r="K326" s="1">
        <v>43482</v>
      </c>
      <c r="L326" s="2">
        <v>0.53333333333333333</v>
      </c>
      <c r="M326" t="s">
        <v>33</v>
      </c>
      <c r="N326">
        <v>129.12</v>
      </c>
      <c r="O326">
        <v>4.7619047620000003</v>
      </c>
      <c r="P326">
        <v>6.4560000000000004</v>
      </c>
      <c r="Q326">
        <v>9.4</v>
      </c>
    </row>
    <row r="327" spans="1:17" x14ac:dyDescent="0.3">
      <c r="A327" t="s">
        <v>361</v>
      </c>
      <c r="B327" t="s">
        <v>42</v>
      </c>
      <c r="C327" t="s">
        <v>43</v>
      </c>
      <c r="D327" t="s">
        <v>27</v>
      </c>
      <c r="E327" t="s">
        <v>31</v>
      </c>
      <c r="F327" t="s">
        <v>36</v>
      </c>
      <c r="G327">
        <v>97.74</v>
      </c>
      <c r="H327">
        <v>4</v>
      </c>
      <c r="I327">
        <v>19.547999999999998</v>
      </c>
      <c r="J327">
        <v>410.50799999999998</v>
      </c>
      <c r="K327" s="1">
        <v>43536</v>
      </c>
      <c r="L327" s="2">
        <v>0.82847222222222217</v>
      </c>
      <c r="M327" t="s">
        <v>23</v>
      </c>
      <c r="N327">
        <v>390.96</v>
      </c>
      <c r="O327">
        <v>4.7619047620000003</v>
      </c>
      <c r="P327">
        <v>19.547999999999998</v>
      </c>
      <c r="Q327">
        <v>6.4</v>
      </c>
    </row>
    <row r="328" spans="1:17" x14ac:dyDescent="0.3">
      <c r="A328" t="s">
        <v>362</v>
      </c>
      <c r="B328" t="s">
        <v>18</v>
      </c>
      <c r="C328" t="s">
        <v>19</v>
      </c>
      <c r="D328" t="s">
        <v>20</v>
      </c>
      <c r="E328" t="s">
        <v>31</v>
      </c>
      <c r="F328" t="s">
        <v>44</v>
      </c>
      <c r="G328">
        <v>99.78</v>
      </c>
      <c r="H328">
        <v>5</v>
      </c>
      <c r="I328">
        <v>24.945</v>
      </c>
      <c r="J328">
        <v>523.84500000000003</v>
      </c>
      <c r="K328" s="1">
        <v>43533</v>
      </c>
      <c r="L328" s="2">
        <v>0.79791666666666661</v>
      </c>
      <c r="M328" t="s">
        <v>29</v>
      </c>
      <c r="N328">
        <v>498.9</v>
      </c>
      <c r="O328">
        <v>4.7619047620000003</v>
      </c>
      <c r="P328">
        <v>24.945</v>
      </c>
      <c r="Q328">
        <v>5.4</v>
      </c>
    </row>
    <row r="329" spans="1:17" x14ac:dyDescent="0.3">
      <c r="A329" t="s">
        <v>363</v>
      </c>
      <c r="B329" t="s">
        <v>25</v>
      </c>
      <c r="C329" t="s">
        <v>26</v>
      </c>
      <c r="D329" t="s">
        <v>20</v>
      </c>
      <c r="E329" t="s">
        <v>31</v>
      </c>
      <c r="F329" t="s">
        <v>44</v>
      </c>
      <c r="G329">
        <v>94.26</v>
      </c>
      <c r="H329">
        <v>4</v>
      </c>
      <c r="I329">
        <v>18.852</v>
      </c>
      <c r="J329">
        <v>395.892</v>
      </c>
      <c r="K329" s="1">
        <v>43536</v>
      </c>
      <c r="L329" s="2">
        <v>0.6875</v>
      </c>
      <c r="M329" t="s">
        <v>29</v>
      </c>
      <c r="N329">
        <v>377.04</v>
      </c>
      <c r="O329">
        <v>4.7619047620000003</v>
      </c>
      <c r="P329">
        <v>18.852</v>
      </c>
      <c r="Q329">
        <v>8.6</v>
      </c>
    </row>
    <row r="330" spans="1:17" x14ac:dyDescent="0.3">
      <c r="A330" t="s">
        <v>364</v>
      </c>
      <c r="B330" t="s">
        <v>42</v>
      </c>
      <c r="C330" t="s">
        <v>43</v>
      </c>
      <c r="D330" t="s">
        <v>20</v>
      </c>
      <c r="E330" t="s">
        <v>31</v>
      </c>
      <c r="F330" t="s">
        <v>22</v>
      </c>
      <c r="G330">
        <v>51.13</v>
      </c>
      <c r="H330">
        <v>4</v>
      </c>
      <c r="I330">
        <v>10.226000000000001</v>
      </c>
      <c r="J330">
        <v>214.74600000000001</v>
      </c>
      <c r="K330" s="1">
        <v>43490</v>
      </c>
      <c r="L330" s="2">
        <v>0.42430555555555555</v>
      </c>
      <c r="M330" t="s">
        <v>33</v>
      </c>
      <c r="N330">
        <v>204.52</v>
      </c>
      <c r="O330">
        <v>4.7619047620000003</v>
      </c>
      <c r="P330">
        <v>10.226000000000001</v>
      </c>
      <c r="Q330">
        <v>4</v>
      </c>
    </row>
    <row r="331" spans="1:17" x14ac:dyDescent="0.3">
      <c r="A331" t="s">
        <v>365</v>
      </c>
      <c r="B331" t="s">
        <v>18</v>
      </c>
      <c r="C331" t="s">
        <v>19</v>
      </c>
      <c r="D331" t="s">
        <v>20</v>
      </c>
      <c r="E331" t="s">
        <v>31</v>
      </c>
      <c r="F331" t="s">
        <v>28</v>
      </c>
      <c r="G331">
        <v>36.36</v>
      </c>
      <c r="H331">
        <v>4</v>
      </c>
      <c r="I331">
        <v>7.2720000000000002</v>
      </c>
      <c r="J331">
        <v>152.71199999999999</v>
      </c>
      <c r="K331" s="1">
        <v>43549</v>
      </c>
      <c r="L331" s="2">
        <v>0.54652777777777783</v>
      </c>
      <c r="M331" t="s">
        <v>29</v>
      </c>
      <c r="N331">
        <v>145.44</v>
      </c>
      <c r="O331">
        <v>4.7619047620000003</v>
      </c>
      <c r="P331">
        <v>7.2720000000000002</v>
      </c>
      <c r="Q331">
        <v>7.6</v>
      </c>
    </row>
    <row r="332" spans="1:17" x14ac:dyDescent="0.3">
      <c r="A332" t="s">
        <v>366</v>
      </c>
      <c r="B332" t="s">
        <v>42</v>
      </c>
      <c r="C332" t="s">
        <v>43</v>
      </c>
      <c r="D332" t="s">
        <v>27</v>
      </c>
      <c r="E332" t="s">
        <v>31</v>
      </c>
      <c r="F332" t="s">
        <v>32</v>
      </c>
      <c r="G332">
        <v>22.02</v>
      </c>
      <c r="H332">
        <v>9</v>
      </c>
      <c r="I332">
        <v>9.9090000000000007</v>
      </c>
      <c r="J332">
        <v>208.089</v>
      </c>
      <c r="K332" s="1">
        <v>43503</v>
      </c>
      <c r="L332" s="2">
        <v>0.78333333333333333</v>
      </c>
      <c r="M332" t="s">
        <v>29</v>
      </c>
      <c r="N332">
        <v>198.18</v>
      </c>
      <c r="O332">
        <v>4.7619047620000003</v>
      </c>
      <c r="P332">
        <v>9.9090000000000007</v>
      </c>
      <c r="Q332">
        <v>6.8</v>
      </c>
    </row>
    <row r="333" spans="1:17" x14ac:dyDescent="0.3">
      <c r="A333" t="s">
        <v>367</v>
      </c>
      <c r="B333" t="s">
        <v>18</v>
      </c>
      <c r="C333" t="s">
        <v>19</v>
      </c>
      <c r="D333" t="s">
        <v>27</v>
      </c>
      <c r="E333" t="s">
        <v>31</v>
      </c>
      <c r="F333" t="s">
        <v>44</v>
      </c>
      <c r="G333">
        <v>32.9</v>
      </c>
      <c r="H333">
        <v>3</v>
      </c>
      <c r="I333">
        <v>4.9349999999999996</v>
      </c>
      <c r="J333">
        <v>103.63500000000001</v>
      </c>
      <c r="K333" s="1">
        <v>43513</v>
      </c>
      <c r="L333" s="2">
        <v>0.7270833333333333</v>
      </c>
      <c r="M333" t="s">
        <v>33</v>
      </c>
      <c r="N333">
        <v>98.7</v>
      </c>
      <c r="O333">
        <v>4.7619047620000003</v>
      </c>
      <c r="P333">
        <v>4.9349999999999996</v>
      </c>
      <c r="Q333">
        <v>9.1</v>
      </c>
    </row>
    <row r="334" spans="1:17" x14ac:dyDescent="0.3">
      <c r="A334" t="s">
        <v>368</v>
      </c>
      <c r="B334" t="s">
        <v>18</v>
      </c>
      <c r="C334" t="s">
        <v>19</v>
      </c>
      <c r="D334" t="s">
        <v>27</v>
      </c>
      <c r="E334" t="s">
        <v>31</v>
      </c>
      <c r="F334" t="s">
        <v>46</v>
      </c>
      <c r="G334">
        <v>77.02</v>
      </c>
      <c r="H334">
        <v>5</v>
      </c>
      <c r="I334">
        <v>19.254999999999999</v>
      </c>
      <c r="J334">
        <v>404.35500000000002</v>
      </c>
      <c r="K334" s="1">
        <v>43499</v>
      </c>
      <c r="L334" s="2">
        <v>0.66597222222222219</v>
      </c>
      <c r="M334" t="s">
        <v>29</v>
      </c>
      <c r="N334">
        <v>385.1</v>
      </c>
      <c r="O334">
        <v>4.7619047620000003</v>
      </c>
      <c r="P334">
        <v>19.254999999999999</v>
      </c>
      <c r="Q334">
        <v>5.5</v>
      </c>
    </row>
    <row r="335" spans="1:17" x14ac:dyDescent="0.3">
      <c r="A335" t="s">
        <v>369</v>
      </c>
      <c r="B335" t="s">
        <v>18</v>
      </c>
      <c r="C335" t="s">
        <v>19</v>
      </c>
      <c r="D335" t="s">
        <v>20</v>
      </c>
      <c r="E335" t="s">
        <v>31</v>
      </c>
      <c r="F335" t="s">
        <v>44</v>
      </c>
      <c r="G335">
        <v>23.48</v>
      </c>
      <c r="H335">
        <v>2</v>
      </c>
      <c r="I335">
        <v>2.3479999999999999</v>
      </c>
      <c r="J335">
        <v>49.308</v>
      </c>
      <c r="K335" s="1">
        <v>43538</v>
      </c>
      <c r="L335" s="2">
        <v>0.47291666666666665</v>
      </c>
      <c r="M335" t="s">
        <v>33</v>
      </c>
      <c r="N335">
        <v>46.96</v>
      </c>
      <c r="O335">
        <v>4.7619047620000003</v>
      </c>
      <c r="P335">
        <v>2.3479999999999999</v>
      </c>
      <c r="Q335">
        <v>7.9</v>
      </c>
    </row>
    <row r="336" spans="1:17" x14ac:dyDescent="0.3">
      <c r="A336" t="s">
        <v>370</v>
      </c>
      <c r="B336" t="s">
        <v>25</v>
      </c>
      <c r="C336" t="s">
        <v>26</v>
      </c>
      <c r="D336" t="s">
        <v>20</v>
      </c>
      <c r="E336" t="s">
        <v>31</v>
      </c>
      <c r="F336" t="s">
        <v>36</v>
      </c>
      <c r="G336">
        <v>14.7</v>
      </c>
      <c r="H336">
        <v>5</v>
      </c>
      <c r="I336">
        <v>3.6749999999999998</v>
      </c>
      <c r="J336">
        <v>77.174999999999997</v>
      </c>
      <c r="K336" s="1">
        <v>43548</v>
      </c>
      <c r="L336" s="2">
        <v>0.57500000000000007</v>
      </c>
      <c r="M336" t="s">
        <v>23</v>
      </c>
      <c r="N336">
        <v>73.5</v>
      </c>
      <c r="O336">
        <v>4.7619047620000003</v>
      </c>
      <c r="P336">
        <v>3.6749999999999998</v>
      </c>
      <c r="Q336">
        <v>8.5</v>
      </c>
    </row>
    <row r="337" spans="1:17" x14ac:dyDescent="0.3">
      <c r="A337" t="s">
        <v>371</v>
      </c>
      <c r="B337" t="s">
        <v>18</v>
      </c>
      <c r="C337" t="s">
        <v>19</v>
      </c>
      <c r="D337" t="s">
        <v>20</v>
      </c>
      <c r="E337" t="s">
        <v>21</v>
      </c>
      <c r="F337" t="s">
        <v>28</v>
      </c>
      <c r="G337">
        <v>28.45</v>
      </c>
      <c r="H337">
        <v>5</v>
      </c>
      <c r="I337">
        <v>7.1124999999999998</v>
      </c>
      <c r="J337">
        <v>149.36250000000001</v>
      </c>
      <c r="K337" s="1">
        <v>43545</v>
      </c>
      <c r="L337" s="2">
        <v>0.4284722222222222</v>
      </c>
      <c r="M337" t="s">
        <v>33</v>
      </c>
      <c r="N337">
        <v>142.25</v>
      </c>
      <c r="O337">
        <v>4.7619047620000003</v>
      </c>
      <c r="P337">
        <v>7.1124999999999998</v>
      </c>
      <c r="Q337">
        <v>9.1</v>
      </c>
    </row>
    <row r="338" spans="1:17" x14ac:dyDescent="0.3">
      <c r="A338" t="s">
        <v>372</v>
      </c>
      <c r="B338" t="s">
        <v>18</v>
      </c>
      <c r="C338" t="s">
        <v>19</v>
      </c>
      <c r="D338" t="s">
        <v>27</v>
      </c>
      <c r="E338" t="s">
        <v>31</v>
      </c>
      <c r="F338" t="s">
        <v>46</v>
      </c>
      <c r="G338">
        <v>76.400000000000006</v>
      </c>
      <c r="H338">
        <v>9</v>
      </c>
      <c r="I338">
        <v>34.380000000000003</v>
      </c>
      <c r="J338">
        <v>721.98</v>
      </c>
      <c r="K338" s="1">
        <v>43543</v>
      </c>
      <c r="L338" s="2">
        <v>0.65902777777777777</v>
      </c>
      <c r="M338" t="s">
        <v>23</v>
      </c>
      <c r="N338">
        <v>687.6</v>
      </c>
      <c r="O338">
        <v>4.7619047620000003</v>
      </c>
      <c r="P338">
        <v>34.380000000000003</v>
      </c>
      <c r="Q338">
        <v>7.5</v>
      </c>
    </row>
    <row r="339" spans="1:17" x14ac:dyDescent="0.3">
      <c r="A339" t="s">
        <v>373</v>
      </c>
      <c r="B339" t="s">
        <v>42</v>
      </c>
      <c r="C339" t="s">
        <v>43</v>
      </c>
      <c r="D339" t="s">
        <v>27</v>
      </c>
      <c r="E339" t="s">
        <v>21</v>
      </c>
      <c r="F339" t="s">
        <v>36</v>
      </c>
      <c r="G339">
        <v>57.95</v>
      </c>
      <c r="H339">
        <v>6</v>
      </c>
      <c r="I339">
        <v>17.385000000000002</v>
      </c>
      <c r="J339">
        <v>365.08499999999998</v>
      </c>
      <c r="K339" s="1">
        <v>43520</v>
      </c>
      <c r="L339" s="2">
        <v>0.54305555555555551</v>
      </c>
      <c r="M339" t="s">
        <v>29</v>
      </c>
      <c r="N339">
        <v>347.7</v>
      </c>
      <c r="O339">
        <v>4.7619047620000003</v>
      </c>
      <c r="P339">
        <v>17.385000000000002</v>
      </c>
      <c r="Q339">
        <v>5.2</v>
      </c>
    </row>
    <row r="340" spans="1:17" x14ac:dyDescent="0.3">
      <c r="A340" t="s">
        <v>374</v>
      </c>
      <c r="B340" t="s">
        <v>25</v>
      </c>
      <c r="C340" t="s">
        <v>26</v>
      </c>
      <c r="D340" t="s">
        <v>27</v>
      </c>
      <c r="E340" t="s">
        <v>21</v>
      </c>
      <c r="F340" t="s">
        <v>28</v>
      </c>
      <c r="G340">
        <v>47.65</v>
      </c>
      <c r="H340">
        <v>3</v>
      </c>
      <c r="I340">
        <v>7.1475</v>
      </c>
      <c r="J340">
        <v>150.0975</v>
      </c>
      <c r="K340" s="1">
        <v>43552</v>
      </c>
      <c r="L340" s="2">
        <v>0.54027777777777775</v>
      </c>
      <c r="M340" t="s">
        <v>33</v>
      </c>
      <c r="N340">
        <v>142.94999999999999</v>
      </c>
      <c r="O340">
        <v>4.7619047620000003</v>
      </c>
      <c r="P340">
        <v>7.1475</v>
      </c>
      <c r="Q340">
        <v>9.5</v>
      </c>
    </row>
    <row r="341" spans="1:17" x14ac:dyDescent="0.3">
      <c r="A341" t="s">
        <v>375</v>
      </c>
      <c r="B341" t="s">
        <v>42</v>
      </c>
      <c r="C341" t="s">
        <v>43</v>
      </c>
      <c r="D341" t="s">
        <v>20</v>
      </c>
      <c r="E341" t="s">
        <v>21</v>
      </c>
      <c r="F341" t="s">
        <v>44</v>
      </c>
      <c r="G341">
        <v>42.82</v>
      </c>
      <c r="H341">
        <v>9</v>
      </c>
      <c r="I341">
        <v>19.268999999999998</v>
      </c>
      <c r="J341">
        <v>404.649</v>
      </c>
      <c r="K341" s="1">
        <v>43501</v>
      </c>
      <c r="L341" s="2">
        <v>0.6430555555555556</v>
      </c>
      <c r="M341" t="s">
        <v>33</v>
      </c>
      <c r="N341">
        <v>385.38</v>
      </c>
      <c r="O341">
        <v>4.7619047620000003</v>
      </c>
      <c r="P341">
        <v>19.268999999999998</v>
      </c>
      <c r="Q341">
        <v>8.9</v>
      </c>
    </row>
    <row r="342" spans="1:17" x14ac:dyDescent="0.3">
      <c r="A342" t="s">
        <v>376</v>
      </c>
      <c r="B342" t="s">
        <v>42</v>
      </c>
      <c r="C342" t="s">
        <v>43</v>
      </c>
      <c r="D342" t="s">
        <v>20</v>
      </c>
      <c r="E342" t="s">
        <v>31</v>
      </c>
      <c r="F342" t="s">
        <v>28</v>
      </c>
      <c r="G342">
        <v>48.09</v>
      </c>
      <c r="H342">
        <v>3</v>
      </c>
      <c r="I342">
        <v>7.2134999999999998</v>
      </c>
      <c r="J342">
        <v>151.48349999999999</v>
      </c>
      <c r="K342" s="1">
        <v>43506</v>
      </c>
      <c r="L342" s="2">
        <v>0.76597222222222217</v>
      </c>
      <c r="M342" t="s">
        <v>33</v>
      </c>
      <c r="N342">
        <v>144.27000000000001</v>
      </c>
      <c r="O342">
        <v>4.7619047620000003</v>
      </c>
      <c r="P342">
        <v>7.2134999999999998</v>
      </c>
      <c r="Q342">
        <v>7.8</v>
      </c>
    </row>
    <row r="343" spans="1:17" x14ac:dyDescent="0.3">
      <c r="A343" t="s">
        <v>377</v>
      </c>
      <c r="B343" t="s">
        <v>42</v>
      </c>
      <c r="C343" t="s">
        <v>43</v>
      </c>
      <c r="D343" t="s">
        <v>20</v>
      </c>
      <c r="E343" t="s">
        <v>21</v>
      </c>
      <c r="F343" t="s">
        <v>22</v>
      </c>
      <c r="G343">
        <v>55.97</v>
      </c>
      <c r="H343">
        <v>7</v>
      </c>
      <c r="I343">
        <v>19.589500000000001</v>
      </c>
      <c r="J343">
        <v>411.37950000000001</v>
      </c>
      <c r="K343" s="1">
        <v>43529</v>
      </c>
      <c r="L343" s="2">
        <v>0.79583333333333339</v>
      </c>
      <c r="M343" t="s">
        <v>23</v>
      </c>
      <c r="N343">
        <v>391.79</v>
      </c>
      <c r="O343">
        <v>4.7619047620000003</v>
      </c>
      <c r="P343">
        <v>19.589500000000001</v>
      </c>
      <c r="Q343">
        <v>8.9</v>
      </c>
    </row>
    <row r="344" spans="1:17" x14ac:dyDescent="0.3">
      <c r="A344" t="s">
        <v>378</v>
      </c>
      <c r="B344" t="s">
        <v>42</v>
      </c>
      <c r="C344" t="s">
        <v>43</v>
      </c>
      <c r="D344" t="s">
        <v>20</v>
      </c>
      <c r="E344" t="s">
        <v>21</v>
      </c>
      <c r="F344" t="s">
        <v>22</v>
      </c>
      <c r="G344">
        <v>76.900000000000006</v>
      </c>
      <c r="H344">
        <v>7</v>
      </c>
      <c r="I344">
        <v>26.914999999999999</v>
      </c>
      <c r="J344">
        <v>565.21500000000003</v>
      </c>
      <c r="K344" s="1">
        <v>43511</v>
      </c>
      <c r="L344" s="2">
        <v>0.84791666666666676</v>
      </c>
      <c r="M344" t="s">
        <v>29</v>
      </c>
      <c r="N344">
        <v>538.29999999999995</v>
      </c>
      <c r="O344">
        <v>4.7619047620000003</v>
      </c>
      <c r="P344">
        <v>26.914999999999999</v>
      </c>
      <c r="Q344">
        <v>7.7</v>
      </c>
    </row>
    <row r="345" spans="1:17" x14ac:dyDescent="0.3">
      <c r="A345" t="s">
        <v>379</v>
      </c>
      <c r="B345" t="s">
        <v>25</v>
      </c>
      <c r="C345" t="s">
        <v>26</v>
      </c>
      <c r="D345" t="s">
        <v>27</v>
      </c>
      <c r="E345" t="s">
        <v>21</v>
      </c>
      <c r="F345" t="s">
        <v>44</v>
      </c>
      <c r="G345">
        <v>97.03</v>
      </c>
      <c r="H345">
        <v>5</v>
      </c>
      <c r="I345">
        <v>24.2575</v>
      </c>
      <c r="J345">
        <v>509.40750000000003</v>
      </c>
      <c r="K345" s="1">
        <v>43495</v>
      </c>
      <c r="L345" s="2">
        <v>0.68333333333333324</v>
      </c>
      <c r="M345" t="s">
        <v>23</v>
      </c>
      <c r="N345">
        <v>485.15</v>
      </c>
      <c r="O345">
        <v>4.7619047620000003</v>
      </c>
      <c r="P345">
        <v>24.2575</v>
      </c>
      <c r="Q345">
        <v>9.3000000000000007</v>
      </c>
    </row>
    <row r="346" spans="1:17" x14ac:dyDescent="0.3">
      <c r="A346" t="s">
        <v>380</v>
      </c>
      <c r="B346" t="s">
        <v>18</v>
      </c>
      <c r="C346" t="s">
        <v>19</v>
      </c>
      <c r="D346" t="s">
        <v>27</v>
      </c>
      <c r="E346" t="s">
        <v>31</v>
      </c>
      <c r="F346" t="s">
        <v>36</v>
      </c>
      <c r="G346">
        <v>44.65</v>
      </c>
      <c r="H346">
        <v>3</v>
      </c>
      <c r="I346">
        <v>6.6974999999999998</v>
      </c>
      <c r="J346">
        <v>140.64750000000001</v>
      </c>
      <c r="K346" s="1">
        <v>43510</v>
      </c>
      <c r="L346" s="2">
        <v>0.62777777777777777</v>
      </c>
      <c r="M346" t="s">
        <v>29</v>
      </c>
      <c r="N346">
        <v>133.94999999999999</v>
      </c>
      <c r="O346">
        <v>4.7619047620000003</v>
      </c>
      <c r="P346">
        <v>6.6974999999999998</v>
      </c>
      <c r="Q346">
        <v>6.2</v>
      </c>
    </row>
    <row r="347" spans="1:17" x14ac:dyDescent="0.3">
      <c r="A347" t="s">
        <v>381</v>
      </c>
      <c r="B347" t="s">
        <v>18</v>
      </c>
      <c r="C347" t="s">
        <v>19</v>
      </c>
      <c r="D347" t="s">
        <v>27</v>
      </c>
      <c r="E347" t="s">
        <v>21</v>
      </c>
      <c r="F347" t="s">
        <v>46</v>
      </c>
      <c r="G347">
        <v>77.930000000000007</v>
      </c>
      <c r="H347">
        <v>9</v>
      </c>
      <c r="I347">
        <v>35.0685</v>
      </c>
      <c r="J347">
        <v>736.43849999999998</v>
      </c>
      <c r="K347" s="1">
        <v>43523</v>
      </c>
      <c r="L347" s="2">
        <v>0.67361111111111116</v>
      </c>
      <c r="M347" t="s">
        <v>23</v>
      </c>
      <c r="N347">
        <v>701.37</v>
      </c>
      <c r="O347">
        <v>4.7619047620000003</v>
      </c>
      <c r="P347">
        <v>35.0685</v>
      </c>
      <c r="Q347">
        <v>7.6</v>
      </c>
    </row>
    <row r="348" spans="1:17" x14ac:dyDescent="0.3">
      <c r="A348" t="s">
        <v>382</v>
      </c>
      <c r="B348" t="s">
        <v>18</v>
      </c>
      <c r="C348" t="s">
        <v>19</v>
      </c>
      <c r="D348" t="s">
        <v>20</v>
      </c>
      <c r="E348" t="s">
        <v>31</v>
      </c>
      <c r="F348" t="s">
        <v>28</v>
      </c>
      <c r="G348">
        <v>71.95</v>
      </c>
      <c r="H348">
        <v>1</v>
      </c>
      <c r="I348">
        <v>3.5975000000000001</v>
      </c>
      <c r="J348">
        <v>75.547499999999999</v>
      </c>
      <c r="K348" s="1">
        <v>43500</v>
      </c>
      <c r="L348" s="2">
        <v>0.50972222222222219</v>
      </c>
      <c r="M348" t="s">
        <v>29</v>
      </c>
      <c r="N348">
        <v>71.95</v>
      </c>
      <c r="O348">
        <v>4.7619047620000003</v>
      </c>
      <c r="P348">
        <v>3.5975000000000001</v>
      </c>
      <c r="Q348">
        <v>7.3</v>
      </c>
    </row>
    <row r="349" spans="1:17" x14ac:dyDescent="0.3">
      <c r="A349" t="s">
        <v>383</v>
      </c>
      <c r="B349" t="s">
        <v>25</v>
      </c>
      <c r="C349" t="s">
        <v>26</v>
      </c>
      <c r="D349" t="s">
        <v>20</v>
      </c>
      <c r="E349" t="s">
        <v>21</v>
      </c>
      <c r="F349" t="s">
        <v>32</v>
      </c>
      <c r="G349">
        <v>89.25</v>
      </c>
      <c r="H349">
        <v>8</v>
      </c>
      <c r="I349">
        <v>35.700000000000003</v>
      </c>
      <c r="J349">
        <v>749.7</v>
      </c>
      <c r="K349" s="1">
        <v>43485</v>
      </c>
      <c r="L349" s="2">
        <v>0.42569444444444443</v>
      </c>
      <c r="M349" t="s">
        <v>29</v>
      </c>
      <c r="N349">
        <v>714</v>
      </c>
      <c r="O349">
        <v>4.7619047620000003</v>
      </c>
      <c r="P349">
        <v>35.700000000000003</v>
      </c>
      <c r="Q349">
        <v>4.7</v>
      </c>
    </row>
    <row r="350" spans="1:17" x14ac:dyDescent="0.3">
      <c r="A350" t="s">
        <v>384</v>
      </c>
      <c r="B350" t="s">
        <v>18</v>
      </c>
      <c r="C350" t="s">
        <v>19</v>
      </c>
      <c r="D350" t="s">
        <v>27</v>
      </c>
      <c r="E350" t="s">
        <v>31</v>
      </c>
      <c r="F350" t="s">
        <v>28</v>
      </c>
      <c r="G350">
        <v>26.02</v>
      </c>
      <c r="H350">
        <v>7</v>
      </c>
      <c r="I350">
        <v>9.1069999999999993</v>
      </c>
      <c r="J350">
        <v>191.24700000000001</v>
      </c>
      <c r="K350" s="1">
        <v>43552</v>
      </c>
      <c r="L350" s="2">
        <v>0.73472222222222217</v>
      </c>
      <c r="M350" t="s">
        <v>29</v>
      </c>
      <c r="N350">
        <v>182.14</v>
      </c>
      <c r="O350">
        <v>4.7619047620000003</v>
      </c>
      <c r="P350">
        <v>9.1069999999999993</v>
      </c>
      <c r="Q350">
        <v>5.0999999999999996</v>
      </c>
    </row>
    <row r="351" spans="1:17" x14ac:dyDescent="0.3">
      <c r="A351" t="s">
        <v>385</v>
      </c>
      <c r="B351" t="s">
        <v>42</v>
      </c>
      <c r="C351" t="s">
        <v>43</v>
      </c>
      <c r="D351" t="s">
        <v>27</v>
      </c>
      <c r="E351" t="s">
        <v>21</v>
      </c>
      <c r="F351" t="s">
        <v>22</v>
      </c>
      <c r="G351">
        <v>13.5</v>
      </c>
      <c r="H351">
        <v>10</v>
      </c>
      <c r="I351">
        <v>6.75</v>
      </c>
      <c r="J351">
        <v>141.75</v>
      </c>
      <c r="K351" s="1">
        <v>43523</v>
      </c>
      <c r="L351" s="2">
        <v>0.46249999999999997</v>
      </c>
      <c r="M351" t="s">
        <v>33</v>
      </c>
      <c r="N351">
        <v>135</v>
      </c>
      <c r="O351">
        <v>4.7619047620000003</v>
      </c>
      <c r="P351">
        <v>6.75</v>
      </c>
      <c r="Q351">
        <v>4.8</v>
      </c>
    </row>
    <row r="352" spans="1:17" x14ac:dyDescent="0.3">
      <c r="A352" t="s">
        <v>386</v>
      </c>
      <c r="B352" t="s">
        <v>25</v>
      </c>
      <c r="C352" t="s">
        <v>26</v>
      </c>
      <c r="D352" t="s">
        <v>20</v>
      </c>
      <c r="E352" t="s">
        <v>21</v>
      </c>
      <c r="F352" t="s">
        <v>46</v>
      </c>
      <c r="G352">
        <v>99.3</v>
      </c>
      <c r="H352">
        <v>10</v>
      </c>
      <c r="I352">
        <v>49.65</v>
      </c>
      <c r="J352">
        <v>1042.6500000000001</v>
      </c>
      <c r="K352" s="1">
        <v>43511</v>
      </c>
      <c r="L352" s="2">
        <v>0.62013888888888891</v>
      </c>
      <c r="M352" t="s">
        <v>33</v>
      </c>
      <c r="N352">
        <v>993</v>
      </c>
      <c r="O352">
        <v>4.7619047620000003</v>
      </c>
      <c r="P352">
        <v>49.65</v>
      </c>
      <c r="Q352">
        <v>6.6</v>
      </c>
    </row>
    <row r="353" spans="1:17" x14ac:dyDescent="0.3">
      <c r="A353" t="s">
        <v>387</v>
      </c>
      <c r="B353" t="s">
        <v>18</v>
      </c>
      <c r="C353" t="s">
        <v>19</v>
      </c>
      <c r="D353" t="s">
        <v>27</v>
      </c>
      <c r="E353" t="s">
        <v>31</v>
      </c>
      <c r="F353" t="s">
        <v>28</v>
      </c>
      <c r="G353">
        <v>51.69</v>
      </c>
      <c r="H353">
        <v>7</v>
      </c>
      <c r="I353">
        <v>18.0915</v>
      </c>
      <c r="J353">
        <v>379.92149999999998</v>
      </c>
      <c r="K353" s="1">
        <v>43491</v>
      </c>
      <c r="L353" s="2">
        <v>0.76527777777777783</v>
      </c>
      <c r="M353" t="s">
        <v>29</v>
      </c>
      <c r="N353">
        <v>361.83</v>
      </c>
      <c r="O353">
        <v>4.7619047620000003</v>
      </c>
      <c r="P353">
        <v>18.0915</v>
      </c>
      <c r="Q353">
        <v>5.5</v>
      </c>
    </row>
    <row r="354" spans="1:17" x14ac:dyDescent="0.3">
      <c r="A354" t="s">
        <v>388</v>
      </c>
      <c r="B354" t="s">
        <v>42</v>
      </c>
      <c r="C354" t="s">
        <v>43</v>
      </c>
      <c r="D354" t="s">
        <v>20</v>
      </c>
      <c r="E354" t="s">
        <v>21</v>
      </c>
      <c r="F354" t="s">
        <v>46</v>
      </c>
      <c r="G354">
        <v>54.73</v>
      </c>
      <c r="H354">
        <v>7</v>
      </c>
      <c r="I354">
        <v>19.1555</v>
      </c>
      <c r="J354">
        <v>402.26549999999997</v>
      </c>
      <c r="K354" s="1">
        <v>43538</v>
      </c>
      <c r="L354" s="2">
        <v>0.79305555555555562</v>
      </c>
      <c r="M354" t="s">
        <v>33</v>
      </c>
      <c r="N354">
        <v>383.11</v>
      </c>
      <c r="O354">
        <v>4.7619047620000003</v>
      </c>
      <c r="P354">
        <v>19.1555</v>
      </c>
      <c r="Q354">
        <v>8.5</v>
      </c>
    </row>
    <row r="355" spans="1:17" x14ac:dyDescent="0.3">
      <c r="A355" t="s">
        <v>389</v>
      </c>
      <c r="B355" t="s">
        <v>42</v>
      </c>
      <c r="C355" t="s">
        <v>43</v>
      </c>
      <c r="D355" t="s">
        <v>20</v>
      </c>
      <c r="E355" t="s">
        <v>31</v>
      </c>
      <c r="F355" t="s">
        <v>32</v>
      </c>
      <c r="G355">
        <v>27</v>
      </c>
      <c r="H355">
        <v>9</v>
      </c>
      <c r="I355">
        <v>12.15</v>
      </c>
      <c r="J355">
        <v>255.15</v>
      </c>
      <c r="K355" s="1">
        <v>43526</v>
      </c>
      <c r="L355" s="2">
        <v>0.59444444444444444</v>
      </c>
      <c r="M355" t="s">
        <v>29</v>
      </c>
      <c r="N355">
        <v>243</v>
      </c>
      <c r="O355">
        <v>4.7619047620000003</v>
      </c>
      <c r="P355">
        <v>12.15</v>
      </c>
      <c r="Q355">
        <v>4.8</v>
      </c>
    </row>
    <row r="356" spans="1:17" x14ac:dyDescent="0.3">
      <c r="A356" t="s">
        <v>390</v>
      </c>
      <c r="B356" t="s">
        <v>25</v>
      </c>
      <c r="C356" t="s">
        <v>26</v>
      </c>
      <c r="D356" t="s">
        <v>27</v>
      </c>
      <c r="E356" t="s">
        <v>21</v>
      </c>
      <c r="F356" t="s">
        <v>28</v>
      </c>
      <c r="G356">
        <v>30.24</v>
      </c>
      <c r="H356">
        <v>1</v>
      </c>
      <c r="I356">
        <v>1.512</v>
      </c>
      <c r="J356">
        <v>31.751999999999999</v>
      </c>
      <c r="K356" s="1">
        <v>43528</v>
      </c>
      <c r="L356" s="2">
        <v>0.65555555555555556</v>
      </c>
      <c r="M356" t="s">
        <v>29</v>
      </c>
      <c r="N356">
        <v>30.24</v>
      </c>
      <c r="O356">
        <v>4.7619047620000003</v>
      </c>
      <c r="P356">
        <v>1.512</v>
      </c>
      <c r="Q356">
        <v>8.4</v>
      </c>
    </row>
    <row r="357" spans="1:17" x14ac:dyDescent="0.3">
      <c r="A357" t="s">
        <v>391</v>
      </c>
      <c r="B357" t="s">
        <v>42</v>
      </c>
      <c r="C357" t="s">
        <v>43</v>
      </c>
      <c r="D357" t="s">
        <v>20</v>
      </c>
      <c r="E357" t="s">
        <v>21</v>
      </c>
      <c r="F357" t="s">
        <v>44</v>
      </c>
      <c r="G357">
        <v>89.14</v>
      </c>
      <c r="H357">
        <v>4</v>
      </c>
      <c r="I357">
        <v>17.827999999999999</v>
      </c>
      <c r="J357">
        <v>374.38799999999998</v>
      </c>
      <c r="K357" s="1">
        <v>43472</v>
      </c>
      <c r="L357" s="2">
        <v>0.51388888888888895</v>
      </c>
      <c r="M357" t="s">
        <v>33</v>
      </c>
      <c r="N357">
        <v>356.56</v>
      </c>
      <c r="O357">
        <v>4.7619047620000003</v>
      </c>
      <c r="P357">
        <v>17.827999999999999</v>
      </c>
      <c r="Q357">
        <v>7.8</v>
      </c>
    </row>
    <row r="358" spans="1:17" x14ac:dyDescent="0.3">
      <c r="A358" t="s">
        <v>392</v>
      </c>
      <c r="B358" t="s">
        <v>25</v>
      </c>
      <c r="C358" t="s">
        <v>26</v>
      </c>
      <c r="D358" t="s">
        <v>27</v>
      </c>
      <c r="E358" t="s">
        <v>21</v>
      </c>
      <c r="F358" t="s">
        <v>46</v>
      </c>
      <c r="G358">
        <v>37.549999999999997</v>
      </c>
      <c r="H358">
        <v>10</v>
      </c>
      <c r="I358">
        <v>18.774999999999999</v>
      </c>
      <c r="J358">
        <v>394.27499999999998</v>
      </c>
      <c r="K358" s="1">
        <v>43532</v>
      </c>
      <c r="L358" s="2">
        <v>0.8340277777777777</v>
      </c>
      <c r="M358" t="s">
        <v>33</v>
      </c>
      <c r="N358">
        <v>375.5</v>
      </c>
      <c r="O358">
        <v>4.7619047620000003</v>
      </c>
      <c r="P358">
        <v>18.774999999999999</v>
      </c>
      <c r="Q358">
        <v>9.3000000000000007</v>
      </c>
    </row>
    <row r="359" spans="1:17" x14ac:dyDescent="0.3">
      <c r="A359" t="s">
        <v>393</v>
      </c>
      <c r="B359" t="s">
        <v>25</v>
      </c>
      <c r="C359" t="s">
        <v>26</v>
      </c>
      <c r="D359" t="s">
        <v>27</v>
      </c>
      <c r="E359" t="s">
        <v>21</v>
      </c>
      <c r="F359" t="s">
        <v>36</v>
      </c>
      <c r="G359">
        <v>95.44</v>
      </c>
      <c r="H359">
        <v>10</v>
      </c>
      <c r="I359">
        <v>47.72</v>
      </c>
      <c r="J359">
        <v>1002.12</v>
      </c>
      <c r="K359" s="1">
        <v>43474</v>
      </c>
      <c r="L359" s="2">
        <v>0.57291666666666663</v>
      </c>
      <c r="M359" t="s">
        <v>29</v>
      </c>
      <c r="N359">
        <v>954.4</v>
      </c>
      <c r="O359">
        <v>4.7619047620000003</v>
      </c>
      <c r="P359">
        <v>47.72</v>
      </c>
      <c r="Q359">
        <v>5.2</v>
      </c>
    </row>
    <row r="360" spans="1:17" x14ac:dyDescent="0.3">
      <c r="A360" t="s">
        <v>394</v>
      </c>
      <c r="B360" t="s">
        <v>42</v>
      </c>
      <c r="C360" t="s">
        <v>43</v>
      </c>
      <c r="D360" t="s">
        <v>27</v>
      </c>
      <c r="E360" t="s">
        <v>31</v>
      </c>
      <c r="F360" t="s">
        <v>28</v>
      </c>
      <c r="G360">
        <v>27.5</v>
      </c>
      <c r="H360">
        <v>3</v>
      </c>
      <c r="I360">
        <v>4.125</v>
      </c>
      <c r="J360">
        <v>86.625</v>
      </c>
      <c r="K360" s="1">
        <v>43525</v>
      </c>
      <c r="L360" s="2">
        <v>0.65277777777777779</v>
      </c>
      <c r="M360" t="s">
        <v>23</v>
      </c>
      <c r="N360">
        <v>82.5</v>
      </c>
      <c r="O360">
        <v>4.7619047620000003</v>
      </c>
      <c r="P360">
        <v>4.125</v>
      </c>
      <c r="Q360">
        <v>6.5</v>
      </c>
    </row>
    <row r="361" spans="1:17" x14ac:dyDescent="0.3">
      <c r="A361" t="s">
        <v>395</v>
      </c>
      <c r="B361" t="s">
        <v>42</v>
      </c>
      <c r="C361" t="s">
        <v>43</v>
      </c>
      <c r="D361" t="s">
        <v>27</v>
      </c>
      <c r="E361" t="s">
        <v>31</v>
      </c>
      <c r="F361" t="s">
        <v>36</v>
      </c>
      <c r="G361">
        <v>74.97</v>
      </c>
      <c r="H361">
        <v>1</v>
      </c>
      <c r="I361">
        <v>3.7484999999999999</v>
      </c>
      <c r="J361">
        <v>78.718500000000006</v>
      </c>
      <c r="K361" s="1">
        <v>43540</v>
      </c>
      <c r="L361" s="2">
        <v>0.70694444444444438</v>
      </c>
      <c r="M361" t="s">
        <v>29</v>
      </c>
      <c r="N361">
        <v>74.97</v>
      </c>
      <c r="O361">
        <v>4.7619047620000003</v>
      </c>
      <c r="P361">
        <v>3.7484999999999999</v>
      </c>
      <c r="Q361">
        <v>5.6</v>
      </c>
    </row>
    <row r="362" spans="1:17" x14ac:dyDescent="0.3">
      <c r="A362" t="s">
        <v>396</v>
      </c>
      <c r="B362" t="s">
        <v>18</v>
      </c>
      <c r="C362" t="s">
        <v>19</v>
      </c>
      <c r="D362" t="s">
        <v>20</v>
      </c>
      <c r="E362" t="s">
        <v>31</v>
      </c>
      <c r="F362" t="s">
        <v>44</v>
      </c>
      <c r="G362">
        <v>80.959999999999994</v>
      </c>
      <c r="H362">
        <v>8</v>
      </c>
      <c r="I362">
        <v>32.384</v>
      </c>
      <c r="J362">
        <v>680.06399999999996</v>
      </c>
      <c r="K362" s="1">
        <v>43513</v>
      </c>
      <c r="L362" s="2">
        <v>0.46666666666666662</v>
      </c>
      <c r="M362" t="s">
        <v>33</v>
      </c>
      <c r="N362">
        <v>647.67999999999995</v>
      </c>
      <c r="O362">
        <v>4.7619047620000003</v>
      </c>
      <c r="P362">
        <v>32.384</v>
      </c>
      <c r="Q362">
        <v>7.4</v>
      </c>
    </row>
    <row r="363" spans="1:17" x14ac:dyDescent="0.3">
      <c r="A363" t="s">
        <v>397</v>
      </c>
      <c r="B363" t="s">
        <v>25</v>
      </c>
      <c r="C363" t="s">
        <v>26</v>
      </c>
      <c r="D363" t="s">
        <v>27</v>
      </c>
      <c r="E363" t="s">
        <v>21</v>
      </c>
      <c r="F363" t="s">
        <v>44</v>
      </c>
      <c r="G363">
        <v>94.47</v>
      </c>
      <c r="H363">
        <v>8</v>
      </c>
      <c r="I363">
        <v>37.787999999999997</v>
      </c>
      <c r="J363">
        <v>793.548</v>
      </c>
      <c r="K363" s="1">
        <v>43523</v>
      </c>
      <c r="L363" s="2">
        <v>0.6333333333333333</v>
      </c>
      <c r="M363" t="s">
        <v>29</v>
      </c>
      <c r="N363">
        <v>755.76</v>
      </c>
      <c r="O363">
        <v>4.7619047620000003</v>
      </c>
      <c r="P363">
        <v>37.787999999999997</v>
      </c>
      <c r="Q363">
        <v>9.1</v>
      </c>
    </row>
    <row r="364" spans="1:17" x14ac:dyDescent="0.3">
      <c r="A364" t="s">
        <v>398</v>
      </c>
      <c r="B364" t="s">
        <v>25</v>
      </c>
      <c r="C364" t="s">
        <v>26</v>
      </c>
      <c r="D364" t="s">
        <v>27</v>
      </c>
      <c r="E364" t="s">
        <v>31</v>
      </c>
      <c r="F364" t="s">
        <v>44</v>
      </c>
      <c r="G364">
        <v>99.79</v>
      </c>
      <c r="H364">
        <v>2</v>
      </c>
      <c r="I364">
        <v>9.9789999999999992</v>
      </c>
      <c r="J364">
        <v>209.559</v>
      </c>
      <c r="K364" s="1">
        <v>43531</v>
      </c>
      <c r="L364" s="2">
        <v>0.85902777777777783</v>
      </c>
      <c r="M364" t="s">
        <v>23</v>
      </c>
      <c r="N364">
        <v>199.58</v>
      </c>
      <c r="O364">
        <v>4.7619047620000003</v>
      </c>
      <c r="P364">
        <v>9.9789999999999992</v>
      </c>
      <c r="Q364">
        <v>8</v>
      </c>
    </row>
    <row r="365" spans="1:17" x14ac:dyDescent="0.3">
      <c r="A365" t="s">
        <v>399</v>
      </c>
      <c r="B365" t="s">
        <v>18</v>
      </c>
      <c r="C365" t="s">
        <v>19</v>
      </c>
      <c r="D365" t="s">
        <v>27</v>
      </c>
      <c r="E365" t="s">
        <v>31</v>
      </c>
      <c r="F365" t="s">
        <v>32</v>
      </c>
      <c r="G365">
        <v>73.22</v>
      </c>
      <c r="H365">
        <v>6</v>
      </c>
      <c r="I365">
        <v>21.966000000000001</v>
      </c>
      <c r="J365">
        <v>461.286</v>
      </c>
      <c r="K365" s="1">
        <v>43486</v>
      </c>
      <c r="L365" s="2">
        <v>0.73888888888888893</v>
      </c>
      <c r="M365" t="s">
        <v>29</v>
      </c>
      <c r="N365">
        <v>439.32</v>
      </c>
      <c r="O365">
        <v>4.7619047620000003</v>
      </c>
      <c r="P365">
        <v>21.966000000000001</v>
      </c>
      <c r="Q365">
        <v>7.2</v>
      </c>
    </row>
    <row r="366" spans="1:17" x14ac:dyDescent="0.3">
      <c r="A366" t="s">
        <v>400</v>
      </c>
      <c r="B366" t="s">
        <v>25</v>
      </c>
      <c r="C366" t="s">
        <v>26</v>
      </c>
      <c r="D366" t="s">
        <v>27</v>
      </c>
      <c r="E366" t="s">
        <v>21</v>
      </c>
      <c r="F366" t="s">
        <v>44</v>
      </c>
      <c r="G366">
        <v>41.24</v>
      </c>
      <c r="H366">
        <v>4</v>
      </c>
      <c r="I366">
        <v>8.2479999999999993</v>
      </c>
      <c r="J366">
        <v>173.208</v>
      </c>
      <c r="K366" s="1">
        <v>43515</v>
      </c>
      <c r="L366" s="2">
        <v>0.68263888888888891</v>
      </c>
      <c r="M366" t="s">
        <v>29</v>
      </c>
      <c r="N366">
        <v>164.96</v>
      </c>
      <c r="O366">
        <v>4.7619047620000003</v>
      </c>
      <c r="P366">
        <v>8.2479999999999993</v>
      </c>
      <c r="Q366">
        <v>7.1</v>
      </c>
    </row>
    <row r="367" spans="1:17" x14ac:dyDescent="0.3">
      <c r="A367" t="s">
        <v>401</v>
      </c>
      <c r="B367" t="s">
        <v>25</v>
      </c>
      <c r="C367" t="s">
        <v>26</v>
      </c>
      <c r="D367" t="s">
        <v>27</v>
      </c>
      <c r="E367" t="s">
        <v>21</v>
      </c>
      <c r="F367" t="s">
        <v>46</v>
      </c>
      <c r="G367">
        <v>81.680000000000007</v>
      </c>
      <c r="H367">
        <v>4</v>
      </c>
      <c r="I367">
        <v>16.335999999999999</v>
      </c>
      <c r="J367">
        <v>343.05599999999998</v>
      </c>
      <c r="K367" s="1">
        <v>43471</v>
      </c>
      <c r="L367" s="2">
        <v>0.5083333333333333</v>
      </c>
      <c r="M367" t="s">
        <v>29</v>
      </c>
      <c r="N367">
        <v>326.72000000000003</v>
      </c>
      <c r="O367">
        <v>4.7619047620000003</v>
      </c>
      <c r="P367">
        <v>16.335999999999999</v>
      </c>
      <c r="Q367">
        <v>9.1</v>
      </c>
    </row>
    <row r="368" spans="1:17" x14ac:dyDescent="0.3">
      <c r="A368" t="s">
        <v>402</v>
      </c>
      <c r="B368" t="s">
        <v>25</v>
      </c>
      <c r="C368" t="s">
        <v>26</v>
      </c>
      <c r="D368" t="s">
        <v>27</v>
      </c>
      <c r="E368" t="s">
        <v>21</v>
      </c>
      <c r="F368" t="s">
        <v>28</v>
      </c>
      <c r="G368">
        <v>51.32</v>
      </c>
      <c r="H368">
        <v>9</v>
      </c>
      <c r="I368">
        <v>23.094000000000001</v>
      </c>
      <c r="J368">
        <v>484.97399999999999</v>
      </c>
      <c r="K368" s="1">
        <v>43538</v>
      </c>
      <c r="L368" s="2">
        <v>0.81458333333333333</v>
      </c>
      <c r="M368" t="s">
        <v>29</v>
      </c>
      <c r="N368">
        <v>461.88</v>
      </c>
      <c r="O368">
        <v>4.7619047620000003</v>
      </c>
      <c r="P368">
        <v>23.094000000000001</v>
      </c>
      <c r="Q368">
        <v>5.6</v>
      </c>
    </row>
    <row r="369" spans="1:17" x14ac:dyDescent="0.3">
      <c r="A369" t="s">
        <v>403</v>
      </c>
      <c r="B369" t="s">
        <v>18</v>
      </c>
      <c r="C369" t="s">
        <v>19</v>
      </c>
      <c r="D369" t="s">
        <v>20</v>
      </c>
      <c r="E369" t="s">
        <v>31</v>
      </c>
      <c r="F369" t="s">
        <v>32</v>
      </c>
      <c r="G369">
        <v>65.94</v>
      </c>
      <c r="H369">
        <v>4</v>
      </c>
      <c r="I369">
        <v>13.188000000000001</v>
      </c>
      <c r="J369">
        <v>276.94799999999998</v>
      </c>
      <c r="K369" s="1">
        <v>43548</v>
      </c>
      <c r="L369" s="2">
        <v>0.4368055555555555</v>
      </c>
      <c r="M369" t="s">
        <v>29</v>
      </c>
      <c r="N369">
        <v>263.76</v>
      </c>
      <c r="O369">
        <v>4.7619047620000003</v>
      </c>
      <c r="P369">
        <v>13.188000000000001</v>
      </c>
      <c r="Q369">
        <v>6</v>
      </c>
    </row>
    <row r="370" spans="1:17" x14ac:dyDescent="0.3">
      <c r="A370" t="s">
        <v>404</v>
      </c>
      <c r="B370" t="s">
        <v>25</v>
      </c>
      <c r="C370" t="s">
        <v>26</v>
      </c>
      <c r="D370" t="s">
        <v>27</v>
      </c>
      <c r="E370" t="s">
        <v>21</v>
      </c>
      <c r="F370" t="s">
        <v>36</v>
      </c>
      <c r="G370">
        <v>14.36</v>
      </c>
      <c r="H370">
        <v>10</v>
      </c>
      <c r="I370">
        <v>7.18</v>
      </c>
      <c r="J370">
        <v>150.78</v>
      </c>
      <c r="K370" s="1">
        <v>43492</v>
      </c>
      <c r="L370" s="2">
        <v>0.60277777777777775</v>
      </c>
      <c r="M370" t="s">
        <v>29</v>
      </c>
      <c r="N370">
        <v>143.6</v>
      </c>
      <c r="O370">
        <v>4.7619047620000003</v>
      </c>
      <c r="P370">
        <v>7.18</v>
      </c>
      <c r="Q370">
        <v>5.4</v>
      </c>
    </row>
    <row r="371" spans="1:17" x14ac:dyDescent="0.3">
      <c r="A371" t="s">
        <v>405</v>
      </c>
      <c r="B371" t="s">
        <v>18</v>
      </c>
      <c r="C371" t="s">
        <v>19</v>
      </c>
      <c r="D371" t="s">
        <v>20</v>
      </c>
      <c r="E371" t="s">
        <v>31</v>
      </c>
      <c r="F371" t="s">
        <v>28</v>
      </c>
      <c r="G371">
        <v>21.5</v>
      </c>
      <c r="H371">
        <v>9</v>
      </c>
      <c r="I371">
        <v>9.6750000000000007</v>
      </c>
      <c r="J371">
        <v>203.17500000000001</v>
      </c>
      <c r="K371" s="1">
        <v>43530</v>
      </c>
      <c r="L371" s="2">
        <v>0.53194444444444444</v>
      </c>
      <c r="M371" t="s">
        <v>33</v>
      </c>
      <c r="N371">
        <v>193.5</v>
      </c>
      <c r="O371">
        <v>4.7619047620000003</v>
      </c>
      <c r="P371">
        <v>9.6750000000000007</v>
      </c>
      <c r="Q371">
        <v>7.8</v>
      </c>
    </row>
    <row r="372" spans="1:17" x14ac:dyDescent="0.3">
      <c r="A372" t="s">
        <v>406</v>
      </c>
      <c r="B372" t="s">
        <v>42</v>
      </c>
      <c r="C372" t="s">
        <v>43</v>
      </c>
      <c r="D372" t="s">
        <v>20</v>
      </c>
      <c r="E372" t="s">
        <v>21</v>
      </c>
      <c r="F372" t="s">
        <v>28</v>
      </c>
      <c r="G372">
        <v>26.26</v>
      </c>
      <c r="H372">
        <v>7</v>
      </c>
      <c r="I372">
        <v>9.1910000000000007</v>
      </c>
      <c r="J372">
        <v>193.011</v>
      </c>
      <c r="K372" s="1">
        <v>43498</v>
      </c>
      <c r="L372" s="2">
        <v>0.81944444444444453</v>
      </c>
      <c r="M372" t="s">
        <v>29</v>
      </c>
      <c r="N372">
        <v>183.82</v>
      </c>
      <c r="O372">
        <v>4.7619047620000003</v>
      </c>
      <c r="P372">
        <v>9.1910000000000007</v>
      </c>
      <c r="Q372">
        <v>9.9</v>
      </c>
    </row>
    <row r="373" spans="1:17" x14ac:dyDescent="0.3">
      <c r="A373" t="s">
        <v>407</v>
      </c>
      <c r="B373" t="s">
        <v>42</v>
      </c>
      <c r="C373" t="s">
        <v>43</v>
      </c>
      <c r="D373" t="s">
        <v>27</v>
      </c>
      <c r="E373" t="s">
        <v>21</v>
      </c>
      <c r="F373" t="s">
        <v>46</v>
      </c>
      <c r="G373">
        <v>60.96</v>
      </c>
      <c r="H373">
        <v>2</v>
      </c>
      <c r="I373">
        <v>6.0960000000000001</v>
      </c>
      <c r="J373">
        <v>128.01599999999999</v>
      </c>
      <c r="K373" s="1">
        <v>43490</v>
      </c>
      <c r="L373" s="2">
        <v>0.81874999999999998</v>
      </c>
      <c r="M373" t="s">
        <v>33</v>
      </c>
      <c r="N373">
        <v>121.92</v>
      </c>
      <c r="O373">
        <v>4.7619047620000003</v>
      </c>
      <c r="P373">
        <v>6.0960000000000001</v>
      </c>
      <c r="Q373">
        <v>4.9000000000000004</v>
      </c>
    </row>
    <row r="374" spans="1:17" x14ac:dyDescent="0.3">
      <c r="A374" t="s">
        <v>408</v>
      </c>
      <c r="B374" t="s">
        <v>25</v>
      </c>
      <c r="C374" t="s">
        <v>26</v>
      </c>
      <c r="D374" t="s">
        <v>27</v>
      </c>
      <c r="E374" t="s">
        <v>21</v>
      </c>
      <c r="F374" t="s">
        <v>32</v>
      </c>
      <c r="G374">
        <v>70.11</v>
      </c>
      <c r="H374">
        <v>6</v>
      </c>
      <c r="I374">
        <v>21.033000000000001</v>
      </c>
      <c r="J374">
        <v>441.69299999999998</v>
      </c>
      <c r="K374" s="1">
        <v>43538</v>
      </c>
      <c r="L374" s="2">
        <v>0.74583333333333324</v>
      </c>
      <c r="M374" t="s">
        <v>23</v>
      </c>
      <c r="N374">
        <v>420.66</v>
      </c>
      <c r="O374">
        <v>4.7619047620000003</v>
      </c>
      <c r="P374">
        <v>21.033000000000001</v>
      </c>
      <c r="Q374">
        <v>5.2</v>
      </c>
    </row>
    <row r="375" spans="1:17" x14ac:dyDescent="0.3">
      <c r="A375" t="s">
        <v>409</v>
      </c>
      <c r="B375" t="s">
        <v>25</v>
      </c>
      <c r="C375" t="s">
        <v>26</v>
      </c>
      <c r="D375" t="s">
        <v>27</v>
      </c>
      <c r="E375" t="s">
        <v>31</v>
      </c>
      <c r="F375" t="s">
        <v>46</v>
      </c>
      <c r="G375">
        <v>42.08</v>
      </c>
      <c r="H375">
        <v>6</v>
      </c>
      <c r="I375">
        <v>12.624000000000001</v>
      </c>
      <c r="J375">
        <v>265.10399999999998</v>
      </c>
      <c r="K375" s="1">
        <v>43494</v>
      </c>
      <c r="L375" s="2">
        <v>0.51736111111111105</v>
      </c>
      <c r="M375" t="s">
        <v>29</v>
      </c>
      <c r="N375">
        <v>252.48</v>
      </c>
      <c r="O375">
        <v>4.7619047620000003</v>
      </c>
      <c r="P375">
        <v>12.624000000000001</v>
      </c>
      <c r="Q375">
        <v>8.9</v>
      </c>
    </row>
    <row r="376" spans="1:17" x14ac:dyDescent="0.3">
      <c r="A376" t="s">
        <v>410</v>
      </c>
      <c r="B376" t="s">
        <v>18</v>
      </c>
      <c r="C376" t="s">
        <v>19</v>
      </c>
      <c r="D376" t="s">
        <v>27</v>
      </c>
      <c r="E376" t="s">
        <v>21</v>
      </c>
      <c r="F376" t="s">
        <v>32</v>
      </c>
      <c r="G376">
        <v>67.09</v>
      </c>
      <c r="H376">
        <v>5</v>
      </c>
      <c r="I376">
        <v>16.772500000000001</v>
      </c>
      <c r="J376">
        <v>352.22250000000003</v>
      </c>
      <c r="K376" s="1">
        <v>43468</v>
      </c>
      <c r="L376" s="2">
        <v>0.69930555555555562</v>
      </c>
      <c r="M376" t="s">
        <v>33</v>
      </c>
      <c r="N376">
        <v>335.45</v>
      </c>
      <c r="O376">
        <v>4.7619047620000003</v>
      </c>
      <c r="P376">
        <v>16.772500000000001</v>
      </c>
      <c r="Q376">
        <v>9.1</v>
      </c>
    </row>
    <row r="377" spans="1:17" x14ac:dyDescent="0.3">
      <c r="A377" t="s">
        <v>411</v>
      </c>
      <c r="B377" t="s">
        <v>18</v>
      </c>
      <c r="C377" t="s">
        <v>19</v>
      </c>
      <c r="D377" t="s">
        <v>20</v>
      </c>
      <c r="E377" t="s">
        <v>21</v>
      </c>
      <c r="F377" t="s">
        <v>46</v>
      </c>
      <c r="G377">
        <v>96.7</v>
      </c>
      <c r="H377">
        <v>5</v>
      </c>
      <c r="I377">
        <v>24.175000000000001</v>
      </c>
      <c r="J377">
        <v>507.67500000000001</v>
      </c>
      <c r="K377" s="1">
        <v>43479</v>
      </c>
      <c r="L377" s="2">
        <v>0.53611111111111109</v>
      </c>
      <c r="M377" t="s">
        <v>23</v>
      </c>
      <c r="N377">
        <v>483.5</v>
      </c>
      <c r="O377">
        <v>4.7619047620000003</v>
      </c>
      <c r="P377">
        <v>24.175000000000001</v>
      </c>
      <c r="Q377">
        <v>7</v>
      </c>
    </row>
    <row r="378" spans="1:17" x14ac:dyDescent="0.3">
      <c r="A378" t="s">
        <v>412</v>
      </c>
      <c r="B378" t="s">
        <v>42</v>
      </c>
      <c r="C378" t="s">
        <v>43</v>
      </c>
      <c r="D378" t="s">
        <v>20</v>
      </c>
      <c r="E378" t="s">
        <v>21</v>
      </c>
      <c r="F378" t="s">
        <v>32</v>
      </c>
      <c r="G378">
        <v>35.380000000000003</v>
      </c>
      <c r="H378">
        <v>9</v>
      </c>
      <c r="I378">
        <v>15.920999999999999</v>
      </c>
      <c r="J378">
        <v>334.34100000000001</v>
      </c>
      <c r="K378" s="1">
        <v>43470</v>
      </c>
      <c r="L378" s="2">
        <v>0.82638888888888884</v>
      </c>
      <c r="M378" t="s">
        <v>33</v>
      </c>
      <c r="N378">
        <v>318.42</v>
      </c>
      <c r="O378">
        <v>4.7619047620000003</v>
      </c>
      <c r="P378">
        <v>15.920999999999999</v>
      </c>
      <c r="Q378">
        <v>9.6</v>
      </c>
    </row>
    <row r="379" spans="1:17" x14ac:dyDescent="0.3">
      <c r="A379" t="s">
        <v>413</v>
      </c>
      <c r="B379" t="s">
        <v>25</v>
      </c>
      <c r="C379" t="s">
        <v>26</v>
      </c>
      <c r="D379" t="s">
        <v>27</v>
      </c>
      <c r="E379" t="s">
        <v>31</v>
      </c>
      <c r="F379" t="s">
        <v>36</v>
      </c>
      <c r="G379">
        <v>95.49</v>
      </c>
      <c r="H379">
        <v>7</v>
      </c>
      <c r="I379">
        <v>33.421500000000002</v>
      </c>
      <c r="J379">
        <v>701.85149999999999</v>
      </c>
      <c r="K379" s="1">
        <v>43518</v>
      </c>
      <c r="L379" s="2">
        <v>0.76180555555555562</v>
      </c>
      <c r="M379" t="s">
        <v>23</v>
      </c>
      <c r="N379">
        <v>668.43</v>
      </c>
      <c r="O379">
        <v>4.7619047620000003</v>
      </c>
      <c r="P379">
        <v>33.421500000000002</v>
      </c>
      <c r="Q379">
        <v>8.6999999999999993</v>
      </c>
    </row>
    <row r="380" spans="1:17" x14ac:dyDescent="0.3">
      <c r="A380" t="s">
        <v>414</v>
      </c>
      <c r="B380" t="s">
        <v>25</v>
      </c>
      <c r="C380" t="s">
        <v>26</v>
      </c>
      <c r="D380" t="s">
        <v>20</v>
      </c>
      <c r="E380" t="s">
        <v>31</v>
      </c>
      <c r="F380" t="s">
        <v>46</v>
      </c>
      <c r="G380">
        <v>96.98</v>
      </c>
      <c r="H380">
        <v>4</v>
      </c>
      <c r="I380">
        <v>19.396000000000001</v>
      </c>
      <c r="J380">
        <v>407.31599999999997</v>
      </c>
      <c r="K380" s="1">
        <v>43502</v>
      </c>
      <c r="L380" s="2">
        <v>0.72222222222222221</v>
      </c>
      <c r="M380" t="s">
        <v>23</v>
      </c>
      <c r="N380">
        <v>387.92</v>
      </c>
      <c r="O380">
        <v>4.7619047620000003</v>
      </c>
      <c r="P380">
        <v>19.396000000000001</v>
      </c>
      <c r="Q380">
        <v>9.4</v>
      </c>
    </row>
    <row r="381" spans="1:17" x14ac:dyDescent="0.3">
      <c r="A381" t="s">
        <v>415</v>
      </c>
      <c r="B381" t="s">
        <v>42</v>
      </c>
      <c r="C381" t="s">
        <v>43</v>
      </c>
      <c r="D381" t="s">
        <v>27</v>
      </c>
      <c r="E381" t="s">
        <v>21</v>
      </c>
      <c r="F381" t="s">
        <v>28</v>
      </c>
      <c r="G381">
        <v>23.65</v>
      </c>
      <c r="H381">
        <v>4</v>
      </c>
      <c r="I381">
        <v>4.7300000000000004</v>
      </c>
      <c r="J381">
        <v>99.33</v>
      </c>
      <c r="K381" s="1">
        <v>43495</v>
      </c>
      <c r="L381" s="2">
        <v>0.56388888888888888</v>
      </c>
      <c r="M381" t="s">
        <v>33</v>
      </c>
      <c r="N381">
        <v>94.6</v>
      </c>
      <c r="O381">
        <v>4.7619047620000003</v>
      </c>
      <c r="P381">
        <v>4.7300000000000004</v>
      </c>
      <c r="Q381">
        <v>4</v>
      </c>
    </row>
    <row r="382" spans="1:17" x14ac:dyDescent="0.3">
      <c r="A382" t="s">
        <v>416</v>
      </c>
      <c r="B382" t="s">
        <v>18</v>
      </c>
      <c r="C382" t="s">
        <v>19</v>
      </c>
      <c r="D382" t="s">
        <v>20</v>
      </c>
      <c r="E382" t="s">
        <v>31</v>
      </c>
      <c r="F382" t="s">
        <v>36</v>
      </c>
      <c r="G382">
        <v>82.33</v>
      </c>
      <c r="H382">
        <v>4</v>
      </c>
      <c r="I382">
        <v>16.466000000000001</v>
      </c>
      <c r="J382">
        <v>345.786</v>
      </c>
      <c r="K382" s="1">
        <v>43476</v>
      </c>
      <c r="L382" s="2">
        <v>0.44236111111111115</v>
      </c>
      <c r="M382" t="s">
        <v>33</v>
      </c>
      <c r="N382">
        <v>329.32</v>
      </c>
      <c r="O382">
        <v>4.7619047620000003</v>
      </c>
      <c r="P382">
        <v>16.466000000000001</v>
      </c>
      <c r="Q382">
        <v>7.5</v>
      </c>
    </row>
    <row r="383" spans="1:17" x14ac:dyDescent="0.3">
      <c r="A383" t="s">
        <v>417</v>
      </c>
      <c r="B383" t="s">
        <v>25</v>
      </c>
      <c r="C383" t="s">
        <v>26</v>
      </c>
      <c r="D383" t="s">
        <v>27</v>
      </c>
      <c r="E383" t="s">
        <v>21</v>
      </c>
      <c r="F383" t="s">
        <v>28</v>
      </c>
      <c r="G383">
        <v>26.61</v>
      </c>
      <c r="H383">
        <v>2</v>
      </c>
      <c r="I383">
        <v>2.661</v>
      </c>
      <c r="J383">
        <v>55.881</v>
      </c>
      <c r="K383" s="1">
        <v>43543</v>
      </c>
      <c r="L383" s="2">
        <v>0.60763888888888895</v>
      </c>
      <c r="M383" t="s">
        <v>29</v>
      </c>
      <c r="N383">
        <v>53.22</v>
      </c>
      <c r="O383">
        <v>4.7619047620000003</v>
      </c>
      <c r="P383">
        <v>2.661</v>
      </c>
      <c r="Q383">
        <v>4.2</v>
      </c>
    </row>
    <row r="384" spans="1:17" x14ac:dyDescent="0.3">
      <c r="A384" t="s">
        <v>418</v>
      </c>
      <c r="B384" t="s">
        <v>42</v>
      </c>
      <c r="C384" t="s">
        <v>43</v>
      </c>
      <c r="D384" t="s">
        <v>27</v>
      </c>
      <c r="E384" t="s">
        <v>21</v>
      </c>
      <c r="F384" t="s">
        <v>44</v>
      </c>
      <c r="G384">
        <v>99.69</v>
      </c>
      <c r="H384">
        <v>5</v>
      </c>
      <c r="I384">
        <v>24.922499999999999</v>
      </c>
      <c r="J384">
        <v>523.37249999999995</v>
      </c>
      <c r="K384" s="1">
        <v>43479</v>
      </c>
      <c r="L384" s="2">
        <v>0.50624999999999998</v>
      </c>
      <c r="M384" t="s">
        <v>29</v>
      </c>
      <c r="N384">
        <v>498.45</v>
      </c>
      <c r="O384">
        <v>4.7619047620000003</v>
      </c>
      <c r="P384">
        <v>24.922499999999999</v>
      </c>
      <c r="Q384">
        <v>9.9</v>
      </c>
    </row>
    <row r="385" spans="1:17" x14ac:dyDescent="0.3">
      <c r="A385" t="s">
        <v>419</v>
      </c>
      <c r="B385" t="s">
        <v>25</v>
      </c>
      <c r="C385" t="s">
        <v>26</v>
      </c>
      <c r="D385" t="s">
        <v>20</v>
      </c>
      <c r="E385" t="s">
        <v>21</v>
      </c>
      <c r="F385" t="s">
        <v>44</v>
      </c>
      <c r="G385">
        <v>74.89</v>
      </c>
      <c r="H385">
        <v>4</v>
      </c>
      <c r="I385">
        <v>14.978</v>
      </c>
      <c r="J385">
        <v>314.53800000000001</v>
      </c>
      <c r="K385" s="1">
        <v>43525</v>
      </c>
      <c r="L385" s="2">
        <v>0.64722222222222225</v>
      </c>
      <c r="M385" t="s">
        <v>23</v>
      </c>
      <c r="N385">
        <v>299.56</v>
      </c>
      <c r="O385">
        <v>4.7619047620000003</v>
      </c>
      <c r="P385">
        <v>14.978</v>
      </c>
      <c r="Q385">
        <v>4.2</v>
      </c>
    </row>
    <row r="386" spans="1:17" x14ac:dyDescent="0.3">
      <c r="A386" t="s">
        <v>420</v>
      </c>
      <c r="B386" t="s">
        <v>18</v>
      </c>
      <c r="C386" t="s">
        <v>19</v>
      </c>
      <c r="D386" t="s">
        <v>27</v>
      </c>
      <c r="E386" t="s">
        <v>21</v>
      </c>
      <c r="F386" t="s">
        <v>44</v>
      </c>
      <c r="G386">
        <v>40.94</v>
      </c>
      <c r="H386">
        <v>5</v>
      </c>
      <c r="I386">
        <v>10.234999999999999</v>
      </c>
      <c r="J386">
        <v>214.935</v>
      </c>
      <c r="K386" s="1">
        <v>43471</v>
      </c>
      <c r="L386" s="2">
        <v>0.58194444444444449</v>
      </c>
      <c r="M386" t="s">
        <v>23</v>
      </c>
      <c r="N386">
        <v>204.7</v>
      </c>
      <c r="O386">
        <v>4.7619047620000003</v>
      </c>
      <c r="P386">
        <v>10.234999999999999</v>
      </c>
      <c r="Q386">
        <v>9.9</v>
      </c>
    </row>
    <row r="387" spans="1:17" x14ac:dyDescent="0.3">
      <c r="A387" t="s">
        <v>421</v>
      </c>
      <c r="B387" t="s">
        <v>42</v>
      </c>
      <c r="C387" t="s">
        <v>43</v>
      </c>
      <c r="D387" t="s">
        <v>20</v>
      </c>
      <c r="E387" t="s">
        <v>31</v>
      </c>
      <c r="F387" t="s">
        <v>36</v>
      </c>
      <c r="G387">
        <v>75.819999999999993</v>
      </c>
      <c r="H387">
        <v>1</v>
      </c>
      <c r="I387">
        <v>3.7909999999999999</v>
      </c>
      <c r="J387">
        <v>79.611000000000004</v>
      </c>
      <c r="K387" s="1">
        <v>43496</v>
      </c>
      <c r="L387" s="2">
        <v>0.55486111111111114</v>
      </c>
      <c r="M387" t="s">
        <v>29</v>
      </c>
      <c r="N387">
        <v>75.819999999999993</v>
      </c>
      <c r="O387">
        <v>4.7619047620000003</v>
      </c>
      <c r="P387">
        <v>3.7909999999999999</v>
      </c>
      <c r="Q387">
        <v>5.8</v>
      </c>
    </row>
    <row r="388" spans="1:17" x14ac:dyDescent="0.3">
      <c r="A388" t="s">
        <v>422</v>
      </c>
      <c r="B388" t="s">
        <v>25</v>
      </c>
      <c r="C388" t="s">
        <v>26</v>
      </c>
      <c r="D388" t="s">
        <v>27</v>
      </c>
      <c r="E388" t="s">
        <v>31</v>
      </c>
      <c r="F388" t="s">
        <v>44</v>
      </c>
      <c r="G388">
        <v>46.77</v>
      </c>
      <c r="H388">
        <v>6</v>
      </c>
      <c r="I388">
        <v>14.031000000000001</v>
      </c>
      <c r="J388">
        <v>294.65100000000001</v>
      </c>
      <c r="K388" s="1">
        <v>43535</v>
      </c>
      <c r="L388" s="2">
        <v>0.56736111111111109</v>
      </c>
      <c r="M388" t="s">
        <v>29</v>
      </c>
      <c r="N388">
        <v>280.62</v>
      </c>
      <c r="O388">
        <v>4.7619047620000003</v>
      </c>
      <c r="P388">
        <v>14.031000000000001</v>
      </c>
      <c r="Q388">
        <v>6</v>
      </c>
    </row>
    <row r="389" spans="1:17" x14ac:dyDescent="0.3">
      <c r="A389" t="s">
        <v>423</v>
      </c>
      <c r="B389" t="s">
        <v>18</v>
      </c>
      <c r="C389" t="s">
        <v>19</v>
      </c>
      <c r="D389" t="s">
        <v>27</v>
      </c>
      <c r="E389" t="s">
        <v>21</v>
      </c>
      <c r="F389" t="s">
        <v>22</v>
      </c>
      <c r="G389">
        <v>32.32</v>
      </c>
      <c r="H389">
        <v>10</v>
      </c>
      <c r="I389">
        <v>16.16</v>
      </c>
      <c r="J389">
        <v>339.36</v>
      </c>
      <c r="K389" s="1">
        <v>43516</v>
      </c>
      <c r="L389" s="2">
        <v>0.7006944444444444</v>
      </c>
      <c r="M389" t="s">
        <v>33</v>
      </c>
      <c r="N389">
        <v>323.2</v>
      </c>
      <c r="O389">
        <v>4.7619047620000003</v>
      </c>
      <c r="P389">
        <v>16.16</v>
      </c>
      <c r="Q389">
        <v>10</v>
      </c>
    </row>
    <row r="390" spans="1:17" x14ac:dyDescent="0.3">
      <c r="A390" t="s">
        <v>424</v>
      </c>
      <c r="B390" t="s">
        <v>25</v>
      </c>
      <c r="C390" t="s">
        <v>26</v>
      </c>
      <c r="D390" t="s">
        <v>20</v>
      </c>
      <c r="E390" t="s">
        <v>21</v>
      </c>
      <c r="F390" t="s">
        <v>46</v>
      </c>
      <c r="G390">
        <v>54.07</v>
      </c>
      <c r="H390">
        <v>9</v>
      </c>
      <c r="I390">
        <v>24.331499999999998</v>
      </c>
      <c r="J390">
        <v>510.9615</v>
      </c>
      <c r="K390" s="1">
        <v>43492</v>
      </c>
      <c r="L390" s="2">
        <v>0.62152777777777779</v>
      </c>
      <c r="M390" t="s">
        <v>23</v>
      </c>
      <c r="N390">
        <v>486.63</v>
      </c>
      <c r="O390">
        <v>4.7619047620000003</v>
      </c>
      <c r="P390">
        <v>24.331499999999998</v>
      </c>
      <c r="Q390">
        <v>9.5</v>
      </c>
    </row>
    <row r="391" spans="1:17" x14ac:dyDescent="0.3">
      <c r="A391" t="s">
        <v>425</v>
      </c>
      <c r="B391" t="s">
        <v>42</v>
      </c>
      <c r="C391" t="s">
        <v>43</v>
      </c>
      <c r="D391" t="s">
        <v>27</v>
      </c>
      <c r="E391" t="s">
        <v>31</v>
      </c>
      <c r="F391" t="s">
        <v>44</v>
      </c>
      <c r="G391">
        <v>18.22</v>
      </c>
      <c r="H391">
        <v>7</v>
      </c>
      <c r="I391">
        <v>6.3769999999999998</v>
      </c>
      <c r="J391">
        <v>133.917</v>
      </c>
      <c r="K391" s="1">
        <v>43534</v>
      </c>
      <c r="L391" s="2">
        <v>0.58611111111111114</v>
      </c>
      <c r="M391" t="s">
        <v>33</v>
      </c>
      <c r="N391">
        <v>127.54</v>
      </c>
      <c r="O391">
        <v>4.7619047620000003</v>
      </c>
      <c r="P391">
        <v>6.3769999999999998</v>
      </c>
      <c r="Q391">
        <v>6.6</v>
      </c>
    </row>
    <row r="392" spans="1:17" x14ac:dyDescent="0.3">
      <c r="A392" t="s">
        <v>426</v>
      </c>
      <c r="B392" t="s">
        <v>25</v>
      </c>
      <c r="C392" t="s">
        <v>26</v>
      </c>
      <c r="D392" t="s">
        <v>20</v>
      </c>
      <c r="E392" t="s">
        <v>21</v>
      </c>
      <c r="F392" t="s">
        <v>46</v>
      </c>
      <c r="G392">
        <v>80.48</v>
      </c>
      <c r="H392">
        <v>3</v>
      </c>
      <c r="I392">
        <v>12.071999999999999</v>
      </c>
      <c r="J392">
        <v>253.512</v>
      </c>
      <c r="K392" s="1">
        <v>43511</v>
      </c>
      <c r="L392" s="2">
        <v>0.52152777777777781</v>
      </c>
      <c r="M392" t="s">
        <v>29</v>
      </c>
      <c r="N392">
        <v>241.44</v>
      </c>
      <c r="O392">
        <v>4.7619047620000003</v>
      </c>
      <c r="P392">
        <v>12.071999999999999</v>
      </c>
      <c r="Q392">
        <v>8.1</v>
      </c>
    </row>
    <row r="393" spans="1:17" x14ac:dyDescent="0.3">
      <c r="A393" t="s">
        <v>427</v>
      </c>
      <c r="B393" t="s">
        <v>42</v>
      </c>
      <c r="C393" t="s">
        <v>43</v>
      </c>
      <c r="D393" t="s">
        <v>27</v>
      </c>
      <c r="E393" t="s">
        <v>21</v>
      </c>
      <c r="F393" t="s">
        <v>46</v>
      </c>
      <c r="G393">
        <v>37.950000000000003</v>
      </c>
      <c r="H393">
        <v>10</v>
      </c>
      <c r="I393">
        <v>18.975000000000001</v>
      </c>
      <c r="J393">
        <v>398.47500000000002</v>
      </c>
      <c r="K393" s="1">
        <v>43491</v>
      </c>
      <c r="L393" s="2">
        <v>0.61875000000000002</v>
      </c>
      <c r="M393" t="s">
        <v>29</v>
      </c>
      <c r="N393">
        <v>379.5</v>
      </c>
      <c r="O393">
        <v>4.7619047620000003</v>
      </c>
      <c r="P393">
        <v>18.975000000000001</v>
      </c>
      <c r="Q393">
        <v>9.6999999999999993</v>
      </c>
    </row>
    <row r="394" spans="1:17" x14ac:dyDescent="0.3">
      <c r="A394" t="s">
        <v>428</v>
      </c>
      <c r="B394" t="s">
        <v>18</v>
      </c>
      <c r="C394" t="s">
        <v>19</v>
      </c>
      <c r="D394" t="s">
        <v>20</v>
      </c>
      <c r="E394" t="s">
        <v>31</v>
      </c>
      <c r="F394" t="s">
        <v>28</v>
      </c>
      <c r="G394">
        <v>76.819999999999993</v>
      </c>
      <c r="H394">
        <v>1</v>
      </c>
      <c r="I394">
        <v>3.8410000000000002</v>
      </c>
      <c r="J394">
        <v>80.661000000000001</v>
      </c>
      <c r="K394" s="1">
        <v>43509</v>
      </c>
      <c r="L394" s="2">
        <v>0.76874999999999993</v>
      </c>
      <c r="M394" t="s">
        <v>23</v>
      </c>
      <c r="N394">
        <v>76.819999999999993</v>
      </c>
      <c r="O394">
        <v>4.7619047620000003</v>
      </c>
      <c r="P394">
        <v>3.8410000000000002</v>
      </c>
      <c r="Q394">
        <v>7.2</v>
      </c>
    </row>
    <row r="395" spans="1:17" x14ac:dyDescent="0.3">
      <c r="A395" t="s">
        <v>429</v>
      </c>
      <c r="B395" t="s">
        <v>18</v>
      </c>
      <c r="C395" t="s">
        <v>19</v>
      </c>
      <c r="D395" t="s">
        <v>20</v>
      </c>
      <c r="E395" t="s">
        <v>21</v>
      </c>
      <c r="F395" t="s">
        <v>36</v>
      </c>
      <c r="G395">
        <v>52.26</v>
      </c>
      <c r="H395">
        <v>10</v>
      </c>
      <c r="I395">
        <v>26.13</v>
      </c>
      <c r="J395">
        <v>548.73</v>
      </c>
      <c r="K395" s="1">
        <v>43533</v>
      </c>
      <c r="L395" s="2">
        <v>0.53125</v>
      </c>
      <c r="M395" t="s">
        <v>33</v>
      </c>
      <c r="N395">
        <v>522.6</v>
      </c>
      <c r="O395">
        <v>4.7619047620000003</v>
      </c>
      <c r="P395">
        <v>26.13</v>
      </c>
      <c r="Q395">
        <v>6.2</v>
      </c>
    </row>
    <row r="396" spans="1:17" x14ac:dyDescent="0.3">
      <c r="A396" t="s">
        <v>430</v>
      </c>
      <c r="B396" t="s">
        <v>18</v>
      </c>
      <c r="C396" t="s">
        <v>19</v>
      </c>
      <c r="D396" t="s">
        <v>27</v>
      </c>
      <c r="E396" t="s">
        <v>21</v>
      </c>
      <c r="F396" t="s">
        <v>22</v>
      </c>
      <c r="G396">
        <v>79.739999999999995</v>
      </c>
      <c r="H396">
        <v>1</v>
      </c>
      <c r="I396">
        <v>3.9870000000000001</v>
      </c>
      <c r="J396">
        <v>83.727000000000004</v>
      </c>
      <c r="K396" s="1">
        <v>43530</v>
      </c>
      <c r="L396" s="2">
        <v>0.44166666666666665</v>
      </c>
      <c r="M396" t="s">
        <v>23</v>
      </c>
      <c r="N396">
        <v>79.739999999999995</v>
      </c>
      <c r="O396">
        <v>4.7619047620000003</v>
      </c>
      <c r="P396">
        <v>3.9870000000000001</v>
      </c>
      <c r="Q396">
        <v>7.3</v>
      </c>
    </row>
    <row r="397" spans="1:17" x14ac:dyDescent="0.3">
      <c r="A397" t="s">
        <v>431</v>
      </c>
      <c r="B397" t="s">
        <v>18</v>
      </c>
      <c r="C397" t="s">
        <v>19</v>
      </c>
      <c r="D397" t="s">
        <v>27</v>
      </c>
      <c r="E397" t="s">
        <v>21</v>
      </c>
      <c r="F397" t="s">
        <v>22</v>
      </c>
      <c r="G397">
        <v>77.5</v>
      </c>
      <c r="H397">
        <v>5</v>
      </c>
      <c r="I397">
        <v>19.375</v>
      </c>
      <c r="J397">
        <v>406.875</v>
      </c>
      <c r="K397" s="1">
        <v>43489</v>
      </c>
      <c r="L397" s="2">
        <v>0.85833333333333339</v>
      </c>
      <c r="M397" t="s">
        <v>23</v>
      </c>
      <c r="N397">
        <v>387.5</v>
      </c>
      <c r="O397">
        <v>4.7619047620000003</v>
      </c>
      <c r="P397">
        <v>19.375</v>
      </c>
      <c r="Q397">
        <v>4.3</v>
      </c>
    </row>
    <row r="398" spans="1:17" x14ac:dyDescent="0.3">
      <c r="A398" t="s">
        <v>432</v>
      </c>
      <c r="B398" t="s">
        <v>18</v>
      </c>
      <c r="C398" t="s">
        <v>19</v>
      </c>
      <c r="D398" t="s">
        <v>27</v>
      </c>
      <c r="E398" t="s">
        <v>21</v>
      </c>
      <c r="F398" t="s">
        <v>44</v>
      </c>
      <c r="G398">
        <v>54.27</v>
      </c>
      <c r="H398">
        <v>5</v>
      </c>
      <c r="I398">
        <v>13.567500000000001</v>
      </c>
      <c r="J398">
        <v>284.91750000000002</v>
      </c>
      <c r="K398" s="1">
        <v>43537</v>
      </c>
      <c r="L398" s="2">
        <v>0.59444444444444444</v>
      </c>
      <c r="M398" t="s">
        <v>23</v>
      </c>
      <c r="N398">
        <v>271.35000000000002</v>
      </c>
      <c r="O398">
        <v>4.7619047620000003</v>
      </c>
      <c r="P398">
        <v>13.567500000000001</v>
      </c>
      <c r="Q398">
        <v>4.5999999999999996</v>
      </c>
    </row>
    <row r="399" spans="1:17" x14ac:dyDescent="0.3">
      <c r="A399" t="s">
        <v>433</v>
      </c>
      <c r="B399" t="s">
        <v>42</v>
      </c>
      <c r="C399" t="s">
        <v>43</v>
      </c>
      <c r="D399" t="s">
        <v>27</v>
      </c>
      <c r="E399" t="s">
        <v>31</v>
      </c>
      <c r="F399" t="s">
        <v>32</v>
      </c>
      <c r="G399">
        <v>13.59</v>
      </c>
      <c r="H399">
        <v>9</v>
      </c>
      <c r="I399">
        <v>6.1154999999999999</v>
      </c>
      <c r="J399">
        <v>128.4255</v>
      </c>
      <c r="K399" s="1">
        <v>43539</v>
      </c>
      <c r="L399" s="2">
        <v>0.43472222222222223</v>
      </c>
      <c r="M399" t="s">
        <v>29</v>
      </c>
      <c r="N399">
        <v>122.31</v>
      </c>
      <c r="O399">
        <v>4.7619047620000003</v>
      </c>
      <c r="P399">
        <v>6.1154999999999999</v>
      </c>
      <c r="Q399">
        <v>5.8</v>
      </c>
    </row>
    <row r="400" spans="1:17" x14ac:dyDescent="0.3">
      <c r="A400" t="s">
        <v>434</v>
      </c>
      <c r="B400" t="s">
        <v>42</v>
      </c>
      <c r="C400" t="s">
        <v>43</v>
      </c>
      <c r="D400" t="s">
        <v>20</v>
      </c>
      <c r="E400" t="s">
        <v>21</v>
      </c>
      <c r="F400" t="s">
        <v>22</v>
      </c>
      <c r="G400">
        <v>41.06</v>
      </c>
      <c r="H400">
        <v>6</v>
      </c>
      <c r="I400">
        <v>12.318</v>
      </c>
      <c r="J400">
        <v>258.678</v>
      </c>
      <c r="K400" s="1">
        <v>43529</v>
      </c>
      <c r="L400" s="2">
        <v>0.5625</v>
      </c>
      <c r="M400" t="s">
        <v>33</v>
      </c>
      <c r="N400">
        <v>246.36</v>
      </c>
      <c r="O400">
        <v>4.7619047620000003</v>
      </c>
      <c r="P400">
        <v>12.318</v>
      </c>
      <c r="Q400">
        <v>8.3000000000000007</v>
      </c>
    </row>
    <row r="401" spans="1:17" x14ac:dyDescent="0.3">
      <c r="A401" t="s">
        <v>435</v>
      </c>
      <c r="B401" t="s">
        <v>42</v>
      </c>
      <c r="C401" t="s">
        <v>43</v>
      </c>
      <c r="D401" t="s">
        <v>20</v>
      </c>
      <c r="E401" t="s">
        <v>31</v>
      </c>
      <c r="F401" t="s">
        <v>28</v>
      </c>
      <c r="G401">
        <v>19.239999999999998</v>
      </c>
      <c r="H401">
        <v>9</v>
      </c>
      <c r="I401">
        <v>8.6579999999999995</v>
      </c>
      <c r="J401">
        <v>181.81800000000001</v>
      </c>
      <c r="K401" s="1">
        <v>43528</v>
      </c>
      <c r="L401" s="2">
        <v>0.68611111111111101</v>
      </c>
      <c r="M401" t="s">
        <v>29</v>
      </c>
      <c r="N401">
        <v>173.16</v>
      </c>
      <c r="O401">
        <v>4.7619047620000003</v>
      </c>
      <c r="P401">
        <v>8.6579999999999995</v>
      </c>
      <c r="Q401">
        <v>8</v>
      </c>
    </row>
    <row r="402" spans="1:17" x14ac:dyDescent="0.3">
      <c r="A402" t="s">
        <v>436</v>
      </c>
      <c r="B402" t="s">
        <v>25</v>
      </c>
      <c r="C402" t="s">
        <v>26</v>
      </c>
      <c r="D402" t="s">
        <v>27</v>
      </c>
      <c r="E402" t="s">
        <v>21</v>
      </c>
      <c r="F402" t="s">
        <v>44</v>
      </c>
      <c r="G402">
        <v>39.43</v>
      </c>
      <c r="H402">
        <v>6</v>
      </c>
      <c r="I402">
        <v>11.829000000000001</v>
      </c>
      <c r="J402">
        <v>248.40899999999999</v>
      </c>
      <c r="K402" s="1">
        <v>43549</v>
      </c>
      <c r="L402" s="2">
        <v>0.84583333333333333</v>
      </c>
      <c r="M402" t="s">
        <v>33</v>
      </c>
      <c r="N402">
        <v>236.58</v>
      </c>
      <c r="O402">
        <v>4.7619047620000003</v>
      </c>
      <c r="P402">
        <v>11.829000000000001</v>
      </c>
      <c r="Q402">
        <v>9.4</v>
      </c>
    </row>
    <row r="403" spans="1:17" x14ac:dyDescent="0.3">
      <c r="A403" t="s">
        <v>437</v>
      </c>
      <c r="B403" t="s">
        <v>25</v>
      </c>
      <c r="C403" t="s">
        <v>26</v>
      </c>
      <c r="D403" t="s">
        <v>27</v>
      </c>
      <c r="E403" t="s">
        <v>31</v>
      </c>
      <c r="F403" t="s">
        <v>32</v>
      </c>
      <c r="G403">
        <v>46.22</v>
      </c>
      <c r="H403">
        <v>4</v>
      </c>
      <c r="I403">
        <v>9.2439999999999998</v>
      </c>
      <c r="J403">
        <v>194.124</v>
      </c>
      <c r="K403" s="1">
        <v>43536</v>
      </c>
      <c r="L403" s="2">
        <v>0.83611111111111114</v>
      </c>
      <c r="M403" t="s">
        <v>33</v>
      </c>
      <c r="N403">
        <v>184.88</v>
      </c>
      <c r="O403">
        <v>4.7619047620000003</v>
      </c>
      <c r="P403">
        <v>9.2439999999999998</v>
      </c>
      <c r="Q403">
        <v>6.2</v>
      </c>
    </row>
    <row r="404" spans="1:17" x14ac:dyDescent="0.3">
      <c r="A404" t="s">
        <v>438</v>
      </c>
      <c r="B404" t="s">
        <v>25</v>
      </c>
      <c r="C404" t="s">
        <v>26</v>
      </c>
      <c r="D404" t="s">
        <v>20</v>
      </c>
      <c r="E404" t="s">
        <v>31</v>
      </c>
      <c r="F404" t="s">
        <v>32</v>
      </c>
      <c r="G404">
        <v>13.98</v>
      </c>
      <c r="H404">
        <v>1</v>
      </c>
      <c r="I404">
        <v>0.69899999999999995</v>
      </c>
      <c r="J404">
        <v>14.679</v>
      </c>
      <c r="K404" s="1">
        <v>43500</v>
      </c>
      <c r="L404" s="2">
        <v>0.56805555555555554</v>
      </c>
      <c r="M404" t="s">
        <v>23</v>
      </c>
      <c r="N404">
        <v>13.98</v>
      </c>
      <c r="O404">
        <v>4.7619047620000003</v>
      </c>
      <c r="P404">
        <v>0.69899999999999995</v>
      </c>
      <c r="Q404">
        <v>9.8000000000000007</v>
      </c>
    </row>
    <row r="405" spans="1:17" x14ac:dyDescent="0.3">
      <c r="A405" t="s">
        <v>439</v>
      </c>
      <c r="B405" t="s">
        <v>42</v>
      </c>
      <c r="C405" t="s">
        <v>43</v>
      </c>
      <c r="D405" t="s">
        <v>27</v>
      </c>
      <c r="E405" t="s">
        <v>21</v>
      </c>
      <c r="F405" t="s">
        <v>46</v>
      </c>
      <c r="G405">
        <v>39.75</v>
      </c>
      <c r="H405">
        <v>5</v>
      </c>
      <c r="I405">
        <v>9.9375</v>
      </c>
      <c r="J405">
        <v>208.6875</v>
      </c>
      <c r="K405" s="1">
        <v>43518</v>
      </c>
      <c r="L405" s="2">
        <v>0.4465277777777778</v>
      </c>
      <c r="M405" t="s">
        <v>23</v>
      </c>
      <c r="N405">
        <v>198.75</v>
      </c>
      <c r="O405">
        <v>4.7619047620000003</v>
      </c>
      <c r="P405">
        <v>9.9375</v>
      </c>
      <c r="Q405">
        <v>9.6</v>
      </c>
    </row>
    <row r="406" spans="1:17" x14ac:dyDescent="0.3">
      <c r="A406" t="s">
        <v>440</v>
      </c>
      <c r="B406" t="s">
        <v>25</v>
      </c>
      <c r="C406" t="s">
        <v>26</v>
      </c>
      <c r="D406" t="s">
        <v>20</v>
      </c>
      <c r="E406" t="s">
        <v>21</v>
      </c>
      <c r="F406" t="s">
        <v>46</v>
      </c>
      <c r="G406">
        <v>97.79</v>
      </c>
      <c r="H406">
        <v>7</v>
      </c>
      <c r="I406">
        <v>34.226500000000001</v>
      </c>
      <c r="J406">
        <v>718.75649999999996</v>
      </c>
      <c r="K406" s="1">
        <v>43512</v>
      </c>
      <c r="L406" s="2">
        <v>0.72916666666666663</v>
      </c>
      <c r="M406" t="s">
        <v>23</v>
      </c>
      <c r="N406">
        <v>684.53</v>
      </c>
      <c r="O406">
        <v>4.7619047620000003</v>
      </c>
      <c r="P406">
        <v>34.226500000000001</v>
      </c>
      <c r="Q406">
        <v>4.9000000000000004</v>
      </c>
    </row>
    <row r="407" spans="1:17" x14ac:dyDescent="0.3">
      <c r="A407" t="s">
        <v>441</v>
      </c>
      <c r="B407" t="s">
        <v>18</v>
      </c>
      <c r="C407" t="s">
        <v>19</v>
      </c>
      <c r="D407" t="s">
        <v>20</v>
      </c>
      <c r="E407" t="s">
        <v>31</v>
      </c>
      <c r="F407" t="s">
        <v>36</v>
      </c>
      <c r="G407">
        <v>67.260000000000005</v>
      </c>
      <c r="H407">
        <v>4</v>
      </c>
      <c r="I407">
        <v>13.452</v>
      </c>
      <c r="J407">
        <v>282.49200000000002</v>
      </c>
      <c r="K407" s="1">
        <v>43484</v>
      </c>
      <c r="L407" s="2">
        <v>0.64444444444444449</v>
      </c>
      <c r="M407" t="s">
        <v>33</v>
      </c>
      <c r="N407">
        <v>269.04000000000002</v>
      </c>
      <c r="O407">
        <v>4.7619047620000003</v>
      </c>
      <c r="P407">
        <v>13.452</v>
      </c>
      <c r="Q407">
        <v>8</v>
      </c>
    </row>
    <row r="408" spans="1:17" x14ac:dyDescent="0.3">
      <c r="A408" t="s">
        <v>442</v>
      </c>
      <c r="B408" t="s">
        <v>18</v>
      </c>
      <c r="C408" t="s">
        <v>19</v>
      </c>
      <c r="D408" t="s">
        <v>27</v>
      </c>
      <c r="E408" t="s">
        <v>31</v>
      </c>
      <c r="F408" t="s">
        <v>44</v>
      </c>
      <c r="G408">
        <v>13.79</v>
      </c>
      <c r="H408">
        <v>5</v>
      </c>
      <c r="I408">
        <v>3.4474999999999998</v>
      </c>
      <c r="J408">
        <v>72.397499999999994</v>
      </c>
      <c r="K408" s="1">
        <v>43476</v>
      </c>
      <c r="L408" s="2">
        <v>0.79652777777777783</v>
      </c>
      <c r="M408" t="s">
        <v>33</v>
      </c>
      <c r="N408">
        <v>68.95</v>
      </c>
      <c r="O408">
        <v>4.7619047620000003</v>
      </c>
      <c r="P408">
        <v>3.4474999999999998</v>
      </c>
      <c r="Q408">
        <v>7.8</v>
      </c>
    </row>
    <row r="409" spans="1:17" x14ac:dyDescent="0.3">
      <c r="A409" t="s">
        <v>443</v>
      </c>
      <c r="B409" t="s">
        <v>42</v>
      </c>
      <c r="C409" t="s">
        <v>43</v>
      </c>
      <c r="D409" t="s">
        <v>20</v>
      </c>
      <c r="E409" t="s">
        <v>21</v>
      </c>
      <c r="F409" t="s">
        <v>46</v>
      </c>
      <c r="G409">
        <v>68.709999999999994</v>
      </c>
      <c r="H409">
        <v>4</v>
      </c>
      <c r="I409">
        <v>13.742000000000001</v>
      </c>
      <c r="J409">
        <v>288.58199999999999</v>
      </c>
      <c r="K409" s="1">
        <v>43469</v>
      </c>
      <c r="L409" s="2">
        <v>0.79236111111111107</v>
      </c>
      <c r="M409" t="s">
        <v>29</v>
      </c>
      <c r="N409">
        <v>274.83999999999997</v>
      </c>
      <c r="O409">
        <v>4.7619047620000003</v>
      </c>
      <c r="P409">
        <v>13.742000000000001</v>
      </c>
      <c r="Q409">
        <v>4.0999999999999996</v>
      </c>
    </row>
    <row r="410" spans="1:17" x14ac:dyDescent="0.3">
      <c r="A410" t="s">
        <v>444</v>
      </c>
      <c r="B410" t="s">
        <v>18</v>
      </c>
      <c r="C410" t="s">
        <v>19</v>
      </c>
      <c r="D410" t="s">
        <v>27</v>
      </c>
      <c r="E410" t="s">
        <v>21</v>
      </c>
      <c r="F410" t="s">
        <v>32</v>
      </c>
      <c r="G410">
        <v>56.53</v>
      </c>
      <c r="H410">
        <v>4</v>
      </c>
      <c r="I410">
        <v>11.305999999999999</v>
      </c>
      <c r="J410">
        <v>237.42599999999999</v>
      </c>
      <c r="K410" s="1">
        <v>43528</v>
      </c>
      <c r="L410" s="2">
        <v>0.82500000000000007</v>
      </c>
      <c r="M410" t="s">
        <v>23</v>
      </c>
      <c r="N410">
        <v>226.12</v>
      </c>
      <c r="O410">
        <v>4.7619047620000003</v>
      </c>
      <c r="P410">
        <v>11.305999999999999</v>
      </c>
      <c r="Q410">
        <v>5.5</v>
      </c>
    </row>
    <row r="411" spans="1:17" x14ac:dyDescent="0.3">
      <c r="A411" t="s">
        <v>445</v>
      </c>
      <c r="B411" t="s">
        <v>25</v>
      </c>
      <c r="C411" t="s">
        <v>26</v>
      </c>
      <c r="D411" t="s">
        <v>27</v>
      </c>
      <c r="E411" t="s">
        <v>21</v>
      </c>
      <c r="F411" t="s">
        <v>46</v>
      </c>
      <c r="G411">
        <v>23.82</v>
      </c>
      <c r="H411">
        <v>5</v>
      </c>
      <c r="I411">
        <v>5.9550000000000001</v>
      </c>
      <c r="J411">
        <v>125.05500000000001</v>
      </c>
      <c r="K411" s="1">
        <v>43493</v>
      </c>
      <c r="L411" s="2">
        <v>0.80833333333333324</v>
      </c>
      <c r="M411" t="s">
        <v>23</v>
      </c>
      <c r="N411">
        <v>119.1</v>
      </c>
      <c r="O411">
        <v>4.7619047620000003</v>
      </c>
      <c r="P411">
        <v>5.9550000000000001</v>
      </c>
      <c r="Q411">
        <v>5.4</v>
      </c>
    </row>
    <row r="412" spans="1:17" x14ac:dyDescent="0.3">
      <c r="A412" t="s">
        <v>446</v>
      </c>
      <c r="B412" t="s">
        <v>42</v>
      </c>
      <c r="C412" t="s">
        <v>43</v>
      </c>
      <c r="D412" t="s">
        <v>27</v>
      </c>
      <c r="E412" t="s">
        <v>21</v>
      </c>
      <c r="F412" t="s">
        <v>22</v>
      </c>
      <c r="G412">
        <v>34.21</v>
      </c>
      <c r="H412">
        <v>10</v>
      </c>
      <c r="I412">
        <v>17.105</v>
      </c>
      <c r="J412">
        <v>359.20499999999998</v>
      </c>
      <c r="K412" s="1">
        <v>43467</v>
      </c>
      <c r="L412" s="2">
        <v>0.54166666666666663</v>
      </c>
      <c r="M412" t="s">
        <v>29</v>
      </c>
      <c r="N412">
        <v>342.1</v>
      </c>
      <c r="O412">
        <v>4.7619047620000003</v>
      </c>
      <c r="P412">
        <v>17.105</v>
      </c>
      <c r="Q412">
        <v>5.0999999999999996</v>
      </c>
    </row>
    <row r="413" spans="1:17" x14ac:dyDescent="0.3">
      <c r="A413" t="s">
        <v>447</v>
      </c>
      <c r="B413" t="s">
        <v>42</v>
      </c>
      <c r="C413" t="s">
        <v>43</v>
      </c>
      <c r="D413" t="s">
        <v>27</v>
      </c>
      <c r="E413" t="s">
        <v>31</v>
      </c>
      <c r="F413" t="s">
        <v>36</v>
      </c>
      <c r="G413">
        <v>21.87</v>
      </c>
      <c r="H413">
        <v>2</v>
      </c>
      <c r="I413">
        <v>2.1869999999999998</v>
      </c>
      <c r="J413">
        <v>45.927</v>
      </c>
      <c r="K413" s="1">
        <v>43490</v>
      </c>
      <c r="L413" s="2">
        <v>0.60347222222222219</v>
      </c>
      <c r="M413" t="s">
        <v>23</v>
      </c>
      <c r="N413">
        <v>43.74</v>
      </c>
      <c r="O413">
        <v>4.7619047620000003</v>
      </c>
      <c r="P413">
        <v>2.1869999999999998</v>
      </c>
      <c r="Q413">
        <v>6.9</v>
      </c>
    </row>
    <row r="414" spans="1:17" x14ac:dyDescent="0.3">
      <c r="A414" t="s">
        <v>448</v>
      </c>
      <c r="B414" t="s">
        <v>18</v>
      </c>
      <c r="C414" t="s">
        <v>19</v>
      </c>
      <c r="D414" t="s">
        <v>20</v>
      </c>
      <c r="E414" t="s">
        <v>31</v>
      </c>
      <c r="F414" t="s">
        <v>22</v>
      </c>
      <c r="G414">
        <v>20.97</v>
      </c>
      <c r="H414">
        <v>5</v>
      </c>
      <c r="I414">
        <v>5.2424999999999997</v>
      </c>
      <c r="J414">
        <v>110.0925</v>
      </c>
      <c r="K414" s="1">
        <v>43469</v>
      </c>
      <c r="L414" s="2">
        <v>0.55625000000000002</v>
      </c>
      <c r="M414" t="s">
        <v>29</v>
      </c>
      <c r="N414">
        <v>104.85</v>
      </c>
      <c r="O414">
        <v>4.7619047620000003</v>
      </c>
      <c r="P414">
        <v>5.2424999999999997</v>
      </c>
      <c r="Q414">
        <v>7.8</v>
      </c>
    </row>
    <row r="415" spans="1:17" x14ac:dyDescent="0.3">
      <c r="A415" t="s">
        <v>449</v>
      </c>
      <c r="B415" t="s">
        <v>18</v>
      </c>
      <c r="C415" t="s">
        <v>19</v>
      </c>
      <c r="D415" t="s">
        <v>27</v>
      </c>
      <c r="E415" t="s">
        <v>31</v>
      </c>
      <c r="F415" t="s">
        <v>36</v>
      </c>
      <c r="G415">
        <v>25.84</v>
      </c>
      <c r="H415">
        <v>3</v>
      </c>
      <c r="I415">
        <v>3.8759999999999999</v>
      </c>
      <c r="J415">
        <v>81.396000000000001</v>
      </c>
      <c r="K415" s="1">
        <v>43534</v>
      </c>
      <c r="L415" s="2">
        <v>0.78819444444444453</v>
      </c>
      <c r="M415" t="s">
        <v>23</v>
      </c>
      <c r="N415">
        <v>77.52</v>
      </c>
      <c r="O415">
        <v>4.7619047620000003</v>
      </c>
      <c r="P415">
        <v>3.8759999999999999</v>
      </c>
      <c r="Q415">
        <v>6.6</v>
      </c>
    </row>
    <row r="416" spans="1:17" x14ac:dyDescent="0.3">
      <c r="A416" t="s">
        <v>450</v>
      </c>
      <c r="B416" t="s">
        <v>18</v>
      </c>
      <c r="C416" t="s">
        <v>19</v>
      </c>
      <c r="D416" t="s">
        <v>27</v>
      </c>
      <c r="E416" t="s">
        <v>31</v>
      </c>
      <c r="F416" t="s">
        <v>32</v>
      </c>
      <c r="G416">
        <v>50.93</v>
      </c>
      <c r="H416">
        <v>8</v>
      </c>
      <c r="I416">
        <v>20.372</v>
      </c>
      <c r="J416">
        <v>427.81200000000001</v>
      </c>
      <c r="K416" s="1">
        <v>43546</v>
      </c>
      <c r="L416" s="2">
        <v>0.81666666666666676</v>
      </c>
      <c r="M416" t="s">
        <v>23</v>
      </c>
      <c r="N416">
        <v>407.44</v>
      </c>
      <c r="O416">
        <v>4.7619047620000003</v>
      </c>
      <c r="P416">
        <v>20.372</v>
      </c>
      <c r="Q416">
        <v>9.1999999999999993</v>
      </c>
    </row>
    <row r="417" spans="1:17" x14ac:dyDescent="0.3">
      <c r="A417" t="s">
        <v>451</v>
      </c>
      <c r="B417" t="s">
        <v>42</v>
      </c>
      <c r="C417" t="s">
        <v>43</v>
      </c>
      <c r="D417" t="s">
        <v>27</v>
      </c>
      <c r="E417" t="s">
        <v>31</v>
      </c>
      <c r="F417" t="s">
        <v>22</v>
      </c>
      <c r="G417">
        <v>96.11</v>
      </c>
      <c r="H417">
        <v>1</v>
      </c>
      <c r="I417">
        <v>4.8055000000000003</v>
      </c>
      <c r="J417">
        <v>100.91549999999999</v>
      </c>
      <c r="K417" s="1">
        <v>43490</v>
      </c>
      <c r="L417" s="2">
        <v>0.68611111111111101</v>
      </c>
      <c r="M417" t="s">
        <v>23</v>
      </c>
      <c r="N417">
        <v>96.11</v>
      </c>
      <c r="O417">
        <v>4.7619047620000003</v>
      </c>
      <c r="P417">
        <v>4.8055000000000003</v>
      </c>
      <c r="Q417">
        <v>7.8</v>
      </c>
    </row>
    <row r="418" spans="1:17" x14ac:dyDescent="0.3">
      <c r="A418" t="s">
        <v>452</v>
      </c>
      <c r="B418" t="s">
        <v>25</v>
      </c>
      <c r="C418" t="s">
        <v>26</v>
      </c>
      <c r="D418" t="s">
        <v>27</v>
      </c>
      <c r="E418" t="s">
        <v>21</v>
      </c>
      <c r="F418" t="s">
        <v>32</v>
      </c>
      <c r="G418">
        <v>45.38</v>
      </c>
      <c r="H418">
        <v>4</v>
      </c>
      <c r="I418">
        <v>9.0760000000000005</v>
      </c>
      <c r="J418">
        <v>190.596</v>
      </c>
      <c r="K418" s="1">
        <v>43473</v>
      </c>
      <c r="L418" s="2">
        <v>0.57500000000000007</v>
      </c>
      <c r="M418" t="s">
        <v>33</v>
      </c>
      <c r="N418">
        <v>181.52</v>
      </c>
      <c r="O418">
        <v>4.7619047620000003</v>
      </c>
      <c r="P418">
        <v>9.0760000000000005</v>
      </c>
      <c r="Q418">
        <v>8.6999999999999993</v>
      </c>
    </row>
    <row r="419" spans="1:17" x14ac:dyDescent="0.3">
      <c r="A419" t="s">
        <v>453</v>
      </c>
      <c r="B419" t="s">
        <v>25</v>
      </c>
      <c r="C419" t="s">
        <v>26</v>
      </c>
      <c r="D419" t="s">
        <v>20</v>
      </c>
      <c r="E419" t="s">
        <v>21</v>
      </c>
      <c r="F419" t="s">
        <v>22</v>
      </c>
      <c r="G419">
        <v>81.510000000000005</v>
      </c>
      <c r="H419">
        <v>1</v>
      </c>
      <c r="I419">
        <v>4.0754999999999999</v>
      </c>
      <c r="J419">
        <v>85.585499999999996</v>
      </c>
      <c r="K419" s="1">
        <v>43487</v>
      </c>
      <c r="L419" s="2">
        <v>0.45624999999999999</v>
      </c>
      <c r="M419" t="s">
        <v>23</v>
      </c>
      <c r="N419">
        <v>81.510000000000005</v>
      </c>
      <c r="O419">
        <v>4.7619047620000003</v>
      </c>
      <c r="P419">
        <v>4.0754999999999999</v>
      </c>
      <c r="Q419">
        <v>9.1999999999999993</v>
      </c>
    </row>
    <row r="420" spans="1:17" x14ac:dyDescent="0.3">
      <c r="A420" t="s">
        <v>454</v>
      </c>
      <c r="B420" t="s">
        <v>42</v>
      </c>
      <c r="C420" t="s">
        <v>43</v>
      </c>
      <c r="D420" t="s">
        <v>27</v>
      </c>
      <c r="E420" t="s">
        <v>21</v>
      </c>
      <c r="F420" t="s">
        <v>22</v>
      </c>
      <c r="G420">
        <v>57.22</v>
      </c>
      <c r="H420">
        <v>2</v>
      </c>
      <c r="I420">
        <v>5.7220000000000004</v>
      </c>
      <c r="J420">
        <v>120.16200000000001</v>
      </c>
      <c r="K420" s="1">
        <v>43477</v>
      </c>
      <c r="L420" s="2">
        <v>0.71736111111111101</v>
      </c>
      <c r="M420" t="s">
        <v>23</v>
      </c>
      <c r="N420">
        <v>114.44</v>
      </c>
      <c r="O420">
        <v>4.7619047620000003</v>
      </c>
      <c r="P420">
        <v>5.7220000000000004</v>
      </c>
      <c r="Q420">
        <v>8.3000000000000007</v>
      </c>
    </row>
    <row r="421" spans="1:17" x14ac:dyDescent="0.3">
      <c r="A421" t="s">
        <v>455</v>
      </c>
      <c r="B421" t="s">
        <v>18</v>
      </c>
      <c r="C421" t="s">
        <v>19</v>
      </c>
      <c r="D421" t="s">
        <v>20</v>
      </c>
      <c r="E421" t="s">
        <v>21</v>
      </c>
      <c r="F421" t="s">
        <v>28</v>
      </c>
      <c r="G421">
        <v>25.22</v>
      </c>
      <c r="H421">
        <v>7</v>
      </c>
      <c r="I421">
        <v>8.827</v>
      </c>
      <c r="J421">
        <v>185.36699999999999</v>
      </c>
      <c r="K421" s="1">
        <v>43500</v>
      </c>
      <c r="L421" s="2">
        <v>0.43263888888888885</v>
      </c>
      <c r="M421" t="s">
        <v>29</v>
      </c>
      <c r="N421">
        <v>176.54</v>
      </c>
      <c r="O421">
        <v>4.7619047620000003</v>
      </c>
      <c r="P421">
        <v>8.827</v>
      </c>
      <c r="Q421">
        <v>8.1999999999999993</v>
      </c>
    </row>
    <row r="422" spans="1:17" x14ac:dyDescent="0.3">
      <c r="A422" t="s">
        <v>456</v>
      </c>
      <c r="B422" t="s">
        <v>25</v>
      </c>
      <c r="C422" t="s">
        <v>26</v>
      </c>
      <c r="D422" t="s">
        <v>20</v>
      </c>
      <c r="E422" t="s">
        <v>21</v>
      </c>
      <c r="F422" t="s">
        <v>44</v>
      </c>
      <c r="G422">
        <v>38.6</v>
      </c>
      <c r="H422">
        <v>3</v>
      </c>
      <c r="I422">
        <v>5.79</v>
      </c>
      <c r="J422">
        <v>121.59</v>
      </c>
      <c r="K422" s="1">
        <v>43552</v>
      </c>
      <c r="L422" s="2">
        <v>0.58124999999999993</v>
      </c>
      <c r="M422" t="s">
        <v>23</v>
      </c>
      <c r="N422">
        <v>115.8</v>
      </c>
      <c r="O422">
        <v>4.7619047620000003</v>
      </c>
      <c r="P422">
        <v>5.79</v>
      </c>
      <c r="Q422">
        <v>7.5</v>
      </c>
    </row>
    <row r="423" spans="1:17" x14ac:dyDescent="0.3">
      <c r="A423" t="s">
        <v>457</v>
      </c>
      <c r="B423" t="s">
        <v>25</v>
      </c>
      <c r="C423" t="s">
        <v>26</v>
      </c>
      <c r="D423" t="s">
        <v>27</v>
      </c>
      <c r="E423" t="s">
        <v>21</v>
      </c>
      <c r="F423" t="s">
        <v>28</v>
      </c>
      <c r="G423">
        <v>84.05</v>
      </c>
      <c r="H423">
        <v>3</v>
      </c>
      <c r="I423">
        <v>12.6075</v>
      </c>
      <c r="J423">
        <v>264.75749999999999</v>
      </c>
      <c r="K423" s="1">
        <v>43488</v>
      </c>
      <c r="L423" s="2">
        <v>0.56180555555555556</v>
      </c>
      <c r="M423" t="s">
        <v>29</v>
      </c>
      <c r="N423">
        <v>252.15</v>
      </c>
      <c r="O423">
        <v>4.7619047620000003</v>
      </c>
      <c r="P423">
        <v>12.6075</v>
      </c>
      <c r="Q423">
        <v>9.8000000000000007</v>
      </c>
    </row>
    <row r="424" spans="1:17" x14ac:dyDescent="0.3">
      <c r="A424" t="s">
        <v>458</v>
      </c>
      <c r="B424" t="s">
        <v>25</v>
      </c>
      <c r="C424" t="s">
        <v>26</v>
      </c>
      <c r="D424" t="s">
        <v>20</v>
      </c>
      <c r="E424" t="s">
        <v>21</v>
      </c>
      <c r="F424" t="s">
        <v>46</v>
      </c>
      <c r="G424">
        <v>97.21</v>
      </c>
      <c r="H424">
        <v>10</v>
      </c>
      <c r="I424">
        <v>48.604999999999997</v>
      </c>
      <c r="J424">
        <v>1020.705</v>
      </c>
      <c r="K424" s="1">
        <v>43504</v>
      </c>
      <c r="L424" s="2">
        <v>0.54166666666666663</v>
      </c>
      <c r="M424" t="s">
        <v>33</v>
      </c>
      <c r="N424">
        <v>972.1</v>
      </c>
      <c r="O424">
        <v>4.7619047620000003</v>
      </c>
      <c r="P424">
        <v>48.604999999999997</v>
      </c>
      <c r="Q424">
        <v>8.6999999999999993</v>
      </c>
    </row>
    <row r="425" spans="1:17" x14ac:dyDescent="0.3">
      <c r="A425" t="s">
        <v>459</v>
      </c>
      <c r="B425" t="s">
        <v>42</v>
      </c>
      <c r="C425" t="s">
        <v>43</v>
      </c>
      <c r="D425" t="s">
        <v>20</v>
      </c>
      <c r="E425" t="s">
        <v>31</v>
      </c>
      <c r="F425" t="s">
        <v>46</v>
      </c>
      <c r="G425">
        <v>25.42</v>
      </c>
      <c r="H425">
        <v>8</v>
      </c>
      <c r="I425">
        <v>10.167999999999999</v>
      </c>
      <c r="J425">
        <v>213.52799999999999</v>
      </c>
      <c r="K425" s="1">
        <v>43543</v>
      </c>
      <c r="L425" s="2">
        <v>0.8208333333333333</v>
      </c>
      <c r="M425" t="s">
        <v>33</v>
      </c>
      <c r="N425">
        <v>203.36</v>
      </c>
      <c r="O425">
        <v>4.7619047620000003</v>
      </c>
      <c r="P425">
        <v>10.167999999999999</v>
      </c>
      <c r="Q425">
        <v>6.7</v>
      </c>
    </row>
    <row r="426" spans="1:17" x14ac:dyDescent="0.3">
      <c r="A426" t="s">
        <v>460</v>
      </c>
      <c r="B426" t="s">
        <v>25</v>
      </c>
      <c r="C426" t="s">
        <v>26</v>
      </c>
      <c r="D426" t="s">
        <v>27</v>
      </c>
      <c r="E426" t="s">
        <v>31</v>
      </c>
      <c r="F426" t="s">
        <v>46</v>
      </c>
      <c r="G426">
        <v>16.28</v>
      </c>
      <c r="H426">
        <v>1</v>
      </c>
      <c r="I426">
        <v>0.81399999999999995</v>
      </c>
      <c r="J426">
        <v>17.094000000000001</v>
      </c>
      <c r="K426" s="1">
        <v>43533</v>
      </c>
      <c r="L426" s="2">
        <v>0.65</v>
      </c>
      <c r="M426" t="s">
        <v>29</v>
      </c>
      <c r="N426">
        <v>16.28</v>
      </c>
      <c r="O426">
        <v>4.7619047620000003</v>
      </c>
      <c r="P426">
        <v>0.81399999999999995</v>
      </c>
      <c r="Q426">
        <v>5</v>
      </c>
    </row>
    <row r="427" spans="1:17" x14ac:dyDescent="0.3">
      <c r="A427" t="s">
        <v>461</v>
      </c>
      <c r="B427" t="s">
        <v>42</v>
      </c>
      <c r="C427" t="s">
        <v>43</v>
      </c>
      <c r="D427" t="s">
        <v>20</v>
      </c>
      <c r="E427" t="s">
        <v>31</v>
      </c>
      <c r="F427" t="s">
        <v>46</v>
      </c>
      <c r="G427">
        <v>40.61</v>
      </c>
      <c r="H427">
        <v>9</v>
      </c>
      <c r="I427">
        <v>18.2745</v>
      </c>
      <c r="J427">
        <v>383.7645</v>
      </c>
      <c r="K427" s="1">
        <v>43467</v>
      </c>
      <c r="L427" s="2">
        <v>0.56944444444444442</v>
      </c>
      <c r="M427" t="s">
        <v>29</v>
      </c>
      <c r="N427">
        <v>365.49</v>
      </c>
      <c r="O427">
        <v>4.7619047620000003</v>
      </c>
      <c r="P427">
        <v>18.2745</v>
      </c>
      <c r="Q427">
        <v>7</v>
      </c>
    </row>
    <row r="428" spans="1:17" x14ac:dyDescent="0.3">
      <c r="A428" t="s">
        <v>462</v>
      </c>
      <c r="B428" t="s">
        <v>18</v>
      </c>
      <c r="C428" t="s">
        <v>19</v>
      </c>
      <c r="D428" t="s">
        <v>20</v>
      </c>
      <c r="E428" t="s">
        <v>31</v>
      </c>
      <c r="F428" t="s">
        <v>22</v>
      </c>
      <c r="G428">
        <v>53.17</v>
      </c>
      <c r="H428">
        <v>7</v>
      </c>
      <c r="I428">
        <v>18.609500000000001</v>
      </c>
      <c r="J428">
        <v>390.79950000000002</v>
      </c>
      <c r="K428" s="1">
        <v>43486</v>
      </c>
      <c r="L428" s="2">
        <v>0.75069444444444444</v>
      </c>
      <c r="M428" t="s">
        <v>29</v>
      </c>
      <c r="N428">
        <v>372.19</v>
      </c>
      <c r="O428">
        <v>4.7619047620000003</v>
      </c>
      <c r="P428">
        <v>18.609500000000001</v>
      </c>
      <c r="Q428">
        <v>8.9</v>
      </c>
    </row>
    <row r="429" spans="1:17" x14ac:dyDescent="0.3">
      <c r="A429" t="s">
        <v>463</v>
      </c>
      <c r="B429" t="s">
        <v>42</v>
      </c>
      <c r="C429" t="s">
        <v>43</v>
      </c>
      <c r="D429" t="s">
        <v>20</v>
      </c>
      <c r="E429" t="s">
        <v>21</v>
      </c>
      <c r="F429" t="s">
        <v>44</v>
      </c>
      <c r="G429">
        <v>20.87</v>
      </c>
      <c r="H429">
        <v>3</v>
      </c>
      <c r="I429">
        <v>3.1305000000000001</v>
      </c>
      <c r="J429">
        <v>65.740499999999997</v>
      </c>
      <c r="K429" s="1">
        <v>43544</v>
      </c>
      <c r="L429" s="2">
        <v>0.57847222222222217</v>
      </c>
      <c r="M429" t="s">
        <v>33</v>
      </c>
      <c r="N429">
        <v>62.61</v>
      </c>
      <c r="O429">
        <v>4.7619047620000003</v>
      </c>
      <c r="P429">
        <v>3.1305000000000001</v>
      </c>
      <c r="Q429">
        <v>8</v>
      </c>
    </row>
    <row r="430" spans="1:17" x14ac:dyDescent="0.3">
      <c r="A430" t="s">
        <v>464</v>
      </c>
      <c r="B430" t="s">
        <v>42</v>
      </c>
      <c r="C430" t="s">
        <v>43</v>
      </c>
      <c r="D430" t="s">
        <v>27</v>
      </c>
      <c r="E430" t="s">
        <v>31</v>
      </c>
      <c r="F430" t="s">
        <v>36</v>
      </c>
      <c r="G430">
        <v>67.27</v>
      </c>
      <c r="H430">
        <v>5</v>
      </c>
      <c r="I430">
        <v>16.817499999999999</v>
      </c>
      <c r="J430">
        <v>353.16750000000002</v>
      </c>
      <c r="K430" s="1">
        <v>43523</v>
      </c>
      <c r="L430" s="2">
        <v>0.7270833333333333</v>
      </c>
      <c r="M430" t="s">
        <v>29</v>
      </c>
      <c r="N430">
        <v>336.35</v>
      </c>
      <c r="O430">
        <v>4.7619047620000003</v>
      </c>
      <c r="P430">
        <v>16.817499999999999</v>
      </c>
      <c r="Q430">
        <v>6.9</v>
      </c>
    </row>
    <row r="431" spans="1:17" x14ac:dyDescent="0.3">
      <c r="A431" t="s">
        <v>465</v>
      </c>
      <c r="B431" t="s">
        <v>18</v>
      </c>
      <c r="C431" t="s">
        <v>19</v>
      </c>
      <c r="D431" t="s">
        <v>20</v>
      </c>
      <c r="E431" t="s">
        <v>21</v>
      </c>
      <c r="F431" t="s">
        <v>32</v>
      </c>
      <c r="G431">
        <v>90.65</v>
      </c>
      <c r="H431">
        <v>10</v>
      </c>
      <c r="I431">
        <v>45.325000000000003</v>
      </c>
      <c r="J431">
        <v>951.82500000000005</v>
      </c>
      <c r="K431" s="1">
        <v>43532</v>
      </c>
      <c r="L431" s="2">
        <v>0.45347222222222222</v>
      </c>
      <c r="M431" t="s">
        <v>23</v>
      </c>
      <c r="N431">
        <v>906.5</v>
      </c>
      <c r="O431">
        <v>4.7619047620000003</v>
      </c>
      <c r="P431">
        <v>45.325000000000003</v>
      </c>
      <c r="Q431">
        <v>7.3</v>
      </c>
    </row>
    <row r="432" spans="1:17" x14ac:dyDescent="0.3">
      <c r="A432" t="s">
        <v>466</v>
      </c>
      <c r="B432" t="s">
        <v>42</v>
      </c>
      <c r="C432" t="s">
        <v>43</v>
      </c>
      <c r="D432" t="s">
        <v>27</v>
      </c>
      <c r="E432" t="s">
        <v>31</v>
      </c>
      <c r="F432" t="s">
        <v>46</v>
      </c>
      <c r="G432">
        <v>69.08</v>
      </c>
      <c r="H432">
        <v>2</v>
      </c>
      <c r="I432">
        <v>6.9080000000000004</v>
      </c>
      <c r="J432">
        <v>145.06800000000001</v>
      </c>
      <c r="K432" s="1">
        <v>43496</v>
      </c>
      <c r="L432" s="2">
        <v>0.82500000000000007</v>
      </c>
      <c r="M432" t="s">
        <v>33</v>
      </c>
      <c r="N432">
        <v>138.16</v>
      </c>
      <c r="O432">
        <v>4.7619047620000003</v>
      </c>
      <c r="P432">
        <v>6.9080000000000004</v>
      </c>
      <c r="Q432">
        <v>6.9</v>
      </c>
    </row>
    <row r="433" spans="1:17" x14ac:dyDescent="0.3">
      <c r="A433" t="s">
        <v>467</v>
      </c>
      <c r="B433" t="s">
        <v>25</v>
      </c>
      <c r="C433" t="s">
        <v>26</v>
      </c>
      <c r="D433" t="s">
        <v>27</v>
      </c>
      <c r="E433" t="s">
        <v>31</v>
      </c>
      <c r="F433" t="s">
        <v>44</v>
      </c>
      <c r="G433">
        <v>43.27</v>
      </c>
      <c r="H433">
        <v>2</v>
      </c>
      <c r="I433">
        <v>4.327</v>
      </c>
      <c r="J433">
        <v>90.867000000000004</v>
      </c>
      <c r="K433" s="1">
        <v>43532</v>
      </c>
      <c r="L433" s="2">
        <v>0.70347222222222217</v>
      </c>
      <c r="M433" t="s">
        <v>23</v>
      </c>
      <c r="N433">
        <v>86.54</v>
      </c>
      <c r="O433">
        <v>4.7619047620000003</v>
      </c>
      <c r="P433">
        <v>4.327</v>
      </c>
      <c r="Q433">
        <v>5.7</v>
      </c>
    </row>
    <row r="434" spans="1:17" x14ac:dyDescent="0.3">
      <c r="A434" t="s">
        <v>468</v>
      </c>
      <c r="B434" t="s">
        <v>18</v>
      </c>
      <c r="C434" t="s">
        <v>19</v>
      </c>
      <c r="D434" t="s">
        <v>27</v>
      </c>
      <c r="E434" t="s">
        <v>21</v>
      </c>
      <c r="F434" t="s">
        <v>28</v>
      </c>
      <c r="G434">
        <v>23.46</v>
      </c>
      <c r="H434">
        <v>6</v>
      </c>
      <c r="I434">
        <v>7.0380000000000003</v>
      </c>
      <c r="J434">
        <v>147.798</v>
      </c>
      <c r="K434" s="1">
        <v>43478</v>
      </c>
      <c r="L434" s="2">
        <v>0.80138888888888893</v>
      </c>
      <c r="M434" t="s">
        <v>23</v>
      </c>
      <c r="N434">
        <v>140.76</v>
      </c>
      <c r="O434">
        <v>4.7619047620000003</v>
      </c>
      <c r="P434">
        <v>7.0380000000000003</v>
      </c>
      <c r="Q434">
        <v>6.4</v>
      </c>
    </row>
    <row r="435" spans="1:17" x14ac:dyDescent="0.3">
      <c r="A435" t="s">
        <v>469</v>
      </c>
      <c r="B435" t="s">
        <v>42</v>
      </c>
      <c r="C435" t="s">
        <v>43</v>
      </c>
      <c r="D435" t="s">
        <v>27</v>
      </c>
      <c r="E435" t="s">
        <v>31</v>
      </c>
      <c r="F435" t="s">
        <v>46</v>
      </c>
      <c r="G435">
        <v>95.54</v>
      </c>
      <c r="H435">
        <v>7</v>
      </c>
      <c r="I435">
        <v>33.439</v>
      </c>
      <c r="J435">
        <v>702.21900000000005</v>
      </c>
      <c r="K435" s="1">
        <v>43533</v>
      </c>
      <c r="L435" s="2">
        <v>0.60833333333333328</v>
      </c>
      <c r="M435" t="s">
        <v>33</v>
      </c>
      <c r="N435">
        <v>668.78</v>
      </c>
      <c r="O435">
        <v>4.7619047620000003</v>
      </c>
      <c r="P435">
        <v>33.439</v>
      </c>
      <c r="Q435">
        <v>9.6</v>
      </c>
    </row>
    <row r="436" spans="1:17" x14ac:dyDescent="0.3">
      <c r="A436" t="s">
        <v>470</v>
      </c>
      <c r="B436" t="s">
        <v>42</v>
      </c>
      <c r="C436" t="s">
        <v>43</v>
      </c>
      <c r="D436" t="s">
        <v>27</v>
      </c>
      <c r="E436" t="s">
        <v>21</v>
      </c>
      <c r="F436" t="s">
        <v>46</v>
      </c>
      <c r="G436">
        <v>47.44</v>
      </c>
      <c r="H436">
        <v>1</v>
      </c>
      <c r="I436">
        <v>2.3719999999999999</v>
      </c>
      <c r="J436">
        <v>49.811999999999998</v>
      </c>
      <c r="K436" s="1">
        <v>43518</v>
      </c>
      <c r="L436" s="2">
        <v>0.7631944444444444</v>
      </c>
      <c r="M436" t="s">
        <v>33</v>
      </c>
      <c r="N436">
        <v>47.44</v>
      </c>
      <c r="O436">
        <v>4.7619047620000003</v>
      </c>
      <c r="P436">
        <v>2.3719999999999999</v>
      </c>
      <c r="Q436">
        <v>6.8</v>
      </c>
    </row>
    <row r="437" spans="1:17" x14ac:dyDescent="0.3">
      <c r="A437" t="s">
        <v>471</v>
      </c>
      <c r="B437" t="s">
        <v>25</v>
      </c>
      <c r="C437" t="s">
        <v>26</v>
      </c>
      <c r="D437" t="s">
        <v>27</v>
      </c>
      <c r="E437" t="s">
        <v>31</v>
      </c>
      <c r="F437" t="s">
        <v>36</v>
      </c>
      <c r="G437">
        <v>99.24</v>
      </c>
      <c r="H437">
        <v>9</v>
      </c>
      <c r="I437">
        <v>44.658000000000001</v>
      </c>
      <c r="J437">
        <v>937.81799999999998</v>
      </c>
      <c r="K437" s="1">
        <v>43543</v>
      </c>
      <c r="L437" s="2">
        <v>0.79791666666666661</v>
      </c>
      <c r="M437" t="s">
        <v>23</v>
      </c>
      <c r="N437">
        <v>893.16</v>
      </c>
      <c r="O437">
        <v>4.7619047620000003</v>
      </c>
      <c r="P437">
        <v>44.658000000000001</v>
      </c>
      <c r="Q437">
        <v>9</v>
      </c>
    </row>
    <row r="438" spans="1:17" x14ac:dyDescent="0.3">
      <c r="A438" t="s">
        <v>472</v>
      </c>
      <c r="B438" t="s">
        <v>25</v>
      </c>
      <c r="C438" t="s">
        <v>26</v>
      </c>
      <c r="D438" t="s">
        <v>20</v>
      </c>
      <c r="E438" t="s">
        <v>31</v>
      </c>
      <c r="F438" t="s">
        <v>36</v>
      </c>
      <c r="G438">
        <v>82.93</v>
      </c>
      <c r="H438">
        <v>4</v>
      </c>
      <c r="I438">
        <v>16.585999999999999</v>
      </c>
      <c r="J438">
        <v>348.30599999999998</v>
      </c>
      <c r="K438" s="1">
        <v>43485</v>
      </c>
      <c r="L438" s="2">
        <v>0.70208333333333339</v>
      </c>
      <c r="M438" t="s">
        <v>23</v>
      </c>
      <c r="N438">
        <v>331.72</v>
      </c>
      <c r="O438">
        <v>4.7619047620000003</v>
      </c>
      <c r="P438">
        <v>16.585999999999999</v>
      </c>
      <c r="Q438">
        <v>9.6</v>
      </c>
    </row>
    <row r="439" spans="1:17" x14ac:dyDescent="0.3">
      <c r="A439" t="s">
        <v>473</v>
      </c>
      <c r="B439" t="s">
        <v>18</v>
      </c>
      <c r="C439" t="s">
        <v>19</v>
      </c>
      <c r="D439" t="s">
        <v>27</v>
      </c>
      <c r="E439" t="s">
        <v>31</v>
      </c>
      <c r="F439" t="s">
        <v>32</v>
      </c>
      <c r="G439">
        <v>33.99</v>
      </c>
      <c r="H439">
        <v>6</v>
      </c>
      <c r="I439">
        <v>10.196999999999999</v>
      </c>
      <c r="J439">
        <v>214.137</v>
      </c>
      <c r="K439" s="1">
        <v>43532</v>
      </c>
      <c r="L439" s="2">
        <v>0.65069444444444446</v>
      </c>
      <c r="M439" t="s">
        <v>33</v>
      </c>
      <c r="N439">
        <v>203.94</v>
      </c>
      <c r="O439">
        <v>4.7619047620000003</v>
      </c>
      <c r="P439">
        <v>10.196999999999999</v>
      </c>
      <c r="Q439">
        <v>7.7</v>
      </c>
    </row>
    <row r="440" spans="1:17" x14ac:dyDescent="0.3">
      <c r="A440" t="s">
        <v>474</v>
      </c>
      <c r="B440" t="s">
        <v>25</v>
      </c>
      <c r="C440" t="s">
        <v>26</v>
      </c>
      <c r="D440" t="s">
        <v>20</v>
      </c>
      <c r="E440" t="s">
        <v>31</v>
      </c>
      <c r="F440" t="s">
        <v>44</v>
      </c>
      <c r="G440">
        <v>17.04</v>
      </c>
      <c r="H440">
        <v>4</v>
      </c>
      <c r="I440">
        <v>3.4079999999999999</v>
      </c>
      <c r="J440">
        <v>71.567999999999998</v>
      </c>
      <c r="K440" s="1">
        <v>43532</v>
      </c>
      <c r="L440" s="2">
        <v>0.84375</v>
      </c>
      <c r="M440" t="s">
        <v>23</v>
      </c>
      <c r="N440">
        <v>68.16</v>
      </c>
      <c r="O440">
        <v>4.7619047620000003</v>
      </c>
      <c r="P440">
        <v>3.4079999999999999</v>
      </c>
      <c r="Q440">
        <v>7</v>
      </c>
    </row>
    <row r="441" spans="1:17" x14ac:dyDescent="0.3">
      <c r="A441" t="s">
        <v>475</v>
      </c>
      <c r="B441" t="s">
        <v>25</v>
      </c>
      <c r="C441" t="s">
        <v>26</v>
      </c>
      <c r="D441" t="s">
        <v>27</v>
      </c>
      <c r="E441" t="s">
        <v>21</v>
      </c>
      <c r="F441" t="s">
        <v>28</v>
      </c>
      <c r="G441">
        <v>40.86</v>
      </c>
      <c r="H441">
        <v>8</v>
      </c>
      <c r="I441">
        <v>16.344000000000001</v>
      </c>
      <c r="J441">
        <v>343.22399999999999</v>
      </c>
      <c r="K441" s="1">
        <v>43503</v>
      </c>
      <c r="L441" s="2">
        <v>0.60972222222222217</v>
      </c>
      <c r="M441" t="s">
        <v>33</v>
      </c>
      <c r="N441">
        <v>326.88</v>
      </c>
      <c r="O441">
        <v>4.7619047620000003</v>
      </c>
      <c r="P441">
        <v>16.344000000000001</v>
      </c>
      <c r="Q441">
        <v>6.5</v>
      </c>
    </row>
    <row r="442" spans="1:17" x14ac:dyDescent="0.3">
      <c r="A442" t="s">
        <v>476</v>
      </c>
      <c r="B442" t="s">
        <v>25</v>
      </c>
      <c r="C442" t="s">
        <v>26</v>
      </c>
      <c r="D442" t="s">
        <v>20</v>
      </c>
      <c r="E442" t="s">
        <v>31</v>
      </c>
      <c r="F442" t="s">
        <v>44</v>
      </c>
      <c r="G442">
        <v>17.440000000000001</v>
      </c>
      <c r="H442">
        <v>5</v>
      </c>
      <c r="I442">
        <v>4.3600000000000003</v>
      </c>
      <c r="J442">
        <v>91.56</v>
      </c>
      <c r="K442" s="1">
        <v>43480</v>
      </c>
      <c r="L442" s="2">
        <v>0.80902777777777779</v>
      </c>
      <c r="M442" t="s">
        <v>29</v>
      </c>
      <c r="N442">
        <v>87.2</v>
      </c>
      <c r="O442">
        <v>4.7619047620000003</v>
      </c>
      <c r="P442">
        <v>4.3600000000000003</v>
      </c>
      <c r="Q442">
        <v>8.1</v>
      </c>
    </row>
    <row r="443" spans="1:17" x14ac:dyDescent="0.3">
      <c r="A443" t="s">
        <v>477</v>
      </c>
      <c r="B443" t="s">
        <v>42</v>
      </c>
      <c r="C443" t="s">
        <v>43</v>
      </c>
      <c r="D443" t="s">
        <v>20</v>
      </c>
      <c r="E443" t="s">
        <v>21</v>
      </c>
      <c r="F443" t="s">
        <v>36</v>
      </c>
      <c r="G443">
        <v>88.43</v>
      </c>
      <c r="H443">
        <v>8</v>
      </c>
      <c r="I443">
        <v>35.372</v>
      </c>
      <c r="J443">
        <v>742.81200000000001</v>
      </c>
      <c r="K443" s="1">
        <v>43546</v>
      </c>
      <c r="L443" s="2">
        <v>0.81597222222222221</v>
      </c>
      <c r="M443" t="s">
        <v>33</v>
      </c>
      <c r="N443">
        <v>707.44</v>
      </c>
      <c r="O443">
        <v>4.7619047620000003</v>
      </c>
      <c r="P443">
        <v>35.372</v>
      </c>
      <c r="Q443">
        <v>4.3</v>
      </c>
    </row>
    <row r="444" spans="1:17" x14ac:dyDescent="0.3">
      <c r="A444" t="s">
        <v>478</v>
      </c>
      <c r="B444" t="s">
        <v>18</v>
      </c>
      <c r="C444" t="s">
        <v>19</v>
      </c>
      <c r="D444" t="s">
        <v>20</v>
      </c>
      <c r="E444" t="s">
        <v>21</v>
      </c>
      <c r="F444" t="s">
        <v>32</v>
      </c>
      <c r="G444">
        <v>89.21</v>
      </c>
      <c r="H444">
        <v>9</v>
      </c>
      <c r="I444">
        <v>40.144500000000001</v>
      </c>
      <c r="J444">
        <v>843.03449999999998</v>
      </c>
      <c r="K444" s="1">
        <v>43480</v>
      </c>
      <c r="L444" s="2">
        <v>0.65416666666666667</v>
      </c>
      <c r="M444" t="s">
        <v>33</v>
      </c>
      <c r="N444">
        <v>802.89</v>
      </c>
      <c r="O444">
        <v>4.7619047620000003</v>
      </c>
      <c r="P444">
        <v>40.144500000000001</v>
      </c>
      <c r="Q444">
        <v>6.5</v>
      </c>
    </row>
    <row r="445" spans="1:17" x14ac:dyDescent="0.3">
      <c r="A445" t="s">
        <v>479</v>
      </c>
      <c r="B445" t="s">
        <v>25</v>
      </c>
      <c r="C445" t="s">
        <v>26</v>
      </c>
      <c r="D445" t="s">
        <v>27</v>
      </c>
      <c r="E445" t="s">
        <v>31</v>
      </c>
      <c r="F445" t="s">
        <v>46</v>
      </c>
      <c r="G445">
        <v>12.78</v>
      </c>
      <c r="H445">
        <v>1</v>
      </c>
      <c r="I445">
        <v>0.63900000000000001</v>
      </c>
      <c r="J445">
        <v>13.419</v>
      </c>
      <c r="K445" s="1">
        <v>43473</v>
      </c>
      <c r="L445" s="2">
        <v>0.59097222222222223</v>
      </c>
      <c r="M445" t="s">
        <v>23</v>
      </c>
      <c r="N445">
        <v>12.78</v>
      </c>
      <c r="O445">
        <v>4.7619047620000003</v>
      </c>
      <c r="P445">
        <v>0.63900000000000001</v>
      </c>
      <c r="Q445">
        <v>9.5</v>
      </c>
    </row>
    <row r="446" spans="1:17" x14ac:dyDescent="0.3">
      <c r="A446" t="s">
        <v>480</v>
      </c>
      <c r="B446" t="s">
        <v>18</v>
      </c>
      <c r="C446" t="s">
        <v>19</v>
      </c>
      <c r="D446" t="s">
        <v>27</v>
      </c>
      <c r="E446" t="s">
        <v>21</v>
      </c>
      <c r="F446" t="s">
        <v>36</v>
      </c>
      <c r="G446">
        <v>19.100000000000001</v>
      </c>
      <c r="H446">
        <v>7</v>
      </c>
      <c r="I446">
        <v>6.6849999999999996</v>
      </c>
      <c r="J446">
        <v>140.38499999999999</v>
      </c>
      <c r="K446" s="1">
        <v>43480</v>
      </c>
      <c r="L446" s="2">
        <v>0.4465277777777778</v>
      </c>
      <c r="M446" t="s">
        <v>29</v>
      </c>
      <c r="N446">
        <v>133.69999999999999</v>
      </c>
      <c r="O446">
        <v>4.7619047620000003</v>
      </c>
      <c r="P446">
        <v>6.6849999999999996</v>
      </c>
      <c r="Q446">
        <v>9.6999999999999993</v>
      </c>
    </row>
    <row r="447" spans="1:17" x14ac:dyDescent="0.3">
      <c r="A447" t="s">
        <v>481</v>
      </c>
      <c r="B447" t="s">
        <v>42</v>
      </c>
      <c r="C447" t="s">
        <v>43</v>
      </c>
      <c r="D447" t="s">
        <v>20</v>
      </c>
      <c r="E447" t="s">
        <v>21</v>
      </c>
      <c r="F447" t="s">
        <v>22</v>
      </c>
      <c r="G447">
        <v>19.149999999999999</v>
      </c>
      <c r="H447">
        <v>1</v>
      </c>
      <c r="I447">
        <v>0.95750000000000002</v>
      </c>
      <c r="J447">
        <v>20.107500000000002</v>
      </c>
      <c r="K447" s="1">
        <v>43493</v>
      </c>
      <c r="L447" s="2">
        <v>0.74861111111111101</v>
      </c>
      <c r="M447" t="s">
        <v>33</v>
      </c>
      <c r="N447">
        <v>19.149999999999999</v>
      </c>
      <c r="O447">
        <v>4.7619047620000003</v>
      </c>
      <c r="P447">
        <v>0.95750000000000002</v>
      </c>
      <c r="Q447">
        <v>9.5</v>
      </c>
    </row>
    <row r="448" spans="1:17" x14ac:dyDescent="0.3">
      <c r="A448" t="s">
        <v>482</v>
      </c>
      <c r="B448" t="s">
        <v>25</v>
      </c>
      <c r="C448" t="s">
        <v>26</v>
      </c>
      <c r="D448" t="s">
        <v>20</v>
      </c>
      <c r="E448" t="s">
        <v>31</v>
      </c>
      <c r="F448" t="s">
        <v>44</v>
      </c>
      <c r="G448">
        <v>27.66</v>
      </c>
      <c r="H448">
        <v>10</v>
      </c>
      <c r="I448">
        <v>13.83</v>
      </c>
      <c r="J448">
        <v>290.43</v>
      </c>
      <c r="K448" s="1">
        <v>43510</v>
      </c>
      <c r="L448" s="2">
        <v>0.47638888888888892</v>
      </c>
      <c r="M448" t="s">
        <v>33</v>
      </c>
      <c r="N448">
        <v>276.60000000000002</v>
      </c>
      <c r="O448">
        <v>4.7619047620000003</v>
      </c>
      <c r="P448">
        <v>13.83</v>
      </c>
      <c r="Q448">
        <v>8.9</v>
      </c>
    </row>
    <row r="449" spans="1:17" x14ac:dyDescent="0.3">
      <c r="A449" t="s">
        <v>483</v>
      </c>
      <c r="B449" t="s">
        <v>25</v>
      </c>
      <c r="C449" t="s">
        <v>26</v>
      </c>
      <c r="D449" t="s">
        <v>27</v>
      </c>
      <c r="E449" t="s">
        <v>31</v>
      </c>
      <c r="F449" t="s">
        <v>46</v>
      </c>
      <c r="G449">
        <v>45.74</v>
      </c>
      <c r="H449">
        <v>3</v>
      </c>
      <c r="I449">
        <v>6.8609999999999998</v>
      </c>
      <c r="J449">
        <v>144.08099999999999</v>
      </c>
      <c r="K449" s="1">
        <v>43534</v>
      </c>
      <c r="L449" s="2">
        <v>0.73472222222222217</v>
      </c>
      <c r="M449" t="s">
        <v>33</v>
      </c>
      <c r="N449">
        <v>137.22</v>
      </c>
      <c r="O449">
        <v>4.7619047620000003</v>
      </c>
      <c r="P449">
        <v>6.8609999999999998</v>
      </c>
      <c r="Q449">
        <v>6.5</v>
      </c>
    </row>
    <row r="450" spans="1:17" x14ac:dyDescent="0.3">
      <c r="A450" t="s">
        <v>484</v>
      </c>
      <c r="B450" t="s">
        <v>42</v>
      </c>
      <c r="C450" t="s">
        <v>43</v>
      </c>
      <c r="D450" t="s">
        <v>20</v>
      </c>
      <c r="E450" t="s">
        <v>21</v>
      </c>
      <c r="F450" t="s">
        <v>22</v>
      </c>
      <c r="G450">
        <v>27.07</v>
      </c>
      <c r="H450">
        <v>1</v>
      </c>
      <c r="I450">
        <v>1.3534999999999999</v>
      </c>
      <c r="J450">
        <v>28.423500000000001</v>
      </c>
      <c r="K450" s="1">
        <v>43477</v>
      </c>
      <c r="L450" s="2">
        <v>0.83819444444444446</v>
      </c>
      <c r="M450" t="s">
        <v>33</v>
      </c>
      <c r="N450">
        <v>27.07</v>
      </c>
      <c r="O450">
        <v>4.7619047620000003</v>
      </c>
      <c r="P450">
        <v>1.3534999999999999</v>
      </c>
      <c r="Q450">
        <v>5.3</v>
      </c>
    </row>
    <row r="451" spans="1:17" x14ac:dyDescent="0.3">
      <c r="A451" t="s">
        <v>485</v>
      </c>
      <c r="B451" t="s">
        <v>42</v>
      </c>
      <c r="C451" t="s">
        <v>43</v>
      </c>
      <c r="D451" t="s">
        <v>20</v>
      </c>
      <c r="E451" t="s">
        <v>21</v>
      </c>
      <c r="F451" t="s">
        <v>36</v>
      </c>
      <c r="G451">
        <v>39.119999999999997</v>
      </c>
      <c r="H451">
        <v>1</v>
      </c>
      <c r="I451">
        <v>1.956</v>
      </c>
      <c r="J451">
        <v>41.076000000000001</v>
      </c>
      <c r="K451" s="1">
        <v>43550</v>
      </c>
      <c r="L451" s="2">
        <v>0.4597222222222222</v>
      </c>
      <c r="M451" t="s">
        <v>33</v>
      </c>
      <c r="N451">
        <v>39.119999999999997</v>
      </c>
      <c r="O451">
        <v>4.7619047620000003</v>
      </c>
      <c r="P451">
        <v>1.956</v>
      </c>
      <c r="Q451">
        <v>9.6</v>
      </c>
    </row>
    <row r="452" spans="1:17" x14ac:dyDescent="0.3">
      <c r="A452" t="s">
        <v>486</v>
      </c>
      <c r="B452" t="s">
        <v>42</v>
      </c>
      <c r="C452" t="s">
        <v>43</v>
      </c>
      <c r="D452" t="s">
        <v>27</v>
      </c>
      <c r="E452" t="s">
        <v>21</v>
      </c>
      <c r="F452" t="s">
        <v>28</v>
      </c>
      <c r="G452">
        <v>74.709999999999994</v>
      </c>
      <c r="H452">
        <v>6</v>
      </c>
      <c r="I452">
        <v>22.413</v>
      </c>
      <c r="J452">
        <v>470.673</v>
      </c>
      <c r="K452" s="1">
        <v>43466</v>
      </c>
      <c r="L452" s="2">
        <v>0.79652777777777783</v>
      </c>
      <c r="M452" t="s">
        <v>29</v>
      </c>
      <c r="N452">
        <v>448.26</v>
      </c>
      <c r="O452">
        <v>4.7619047620000003</v>
      </c>
      <c r="P452">
        <v>22.413</v>
      </c>
      <c r="Q452">
        <v>6.7</v>
      </c>
    </row>
    <row r="453" spans="1:17" x14ac:dyDescent="0.3">
      <c r="A453" t="s">
        <v>487</v>
      </c>
      <c r="B453" t="s">
        <v>42</v>
      </c>
      <c r="C453" t="s">
        <v>43</v>
      </c>
      <c r="D453" t="s">
        <v>27</v>
      </c>
      <c r="E453" t="s">
        <v>31</v>
      </c>
      <c r="F453" t="s">
        <v>28</v>
      </c>
      <c r="G453">
        <v>22.01</v>
      </c>
      <c r="H453">
        <v>6</v>
      </c>
      <c r="I453">
        <v>6.6029999999999998</v>
      </c>
      <c r="J453">
        <v>138.66300000000001</v>
      </c>
      <c r="K453" s="1">
        <v>43467</v>
      </c>
      <c r="L453" s="2">
        <v>0.78472222222222221</v>
      </c>
      <c r="M453" t="s">
        <v>29</v>
      </c>
      <c r="N453">
        <v>132.06</v>
      </c>
      <c r="O453">
        <v>4.7619047620000003</v>
      </c>
      <c r="P453">
        <v>6.6029999999999998</v>
      </c>
      <c r="Q453">
        <v>7.6</v>
      </c>
    </row>
    <row r="454" spans="1:17" x14ac:dyDescent="0.3">
      <c r="A454" t="s">
        <v>488</v>
      </c>
      <c r="B454" t="s">
        <v>18</v>
      </c>
      <c r="C454" t="s">
        <v>19</v>
      </c>
      <c r="D454" t="s">
        <v>27</v>
      </c>
      <c r="E454" t="s">
        <v>21</v>
      </c>
      <c r="F454" t="s">
        <v>44</v>
      </c>
      <c r="G454">
        <v>63.61</v>
      </c>
      <c r="H454">
        <v>5</v>
      </c>
      <c r="I454">
        <v>15.9025</v>
      </c>
      <c r="J454">
        <v>333.95249999999999</v>
      </c>
      <c r="K454" s="1">
        <v>43540</v>
      </c>
      <c r="L454" s="2">
        <v>0.52986111111111112</v>
      </c>
      <c r="M454" t="s">
        <v>23</v>
      </c>
      <c r="N454">
        <v>318.05</v>
      </c>
      <c r="O454">
        <v>4.7619047620000003</v>
      </c>
      <c r="P454">
        <v>15.9025</v>
      </c>
      <c r="Q454">
        <v>4.8</v>
      </c>
    </row>
    <row r="455" spans="1:17" x14ac:dyDescent="0.3">
      <c r="A455" t="s">
        <v>489</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x14ac:dyDescent="0.3">
      <c r="A456" t="s">
        <v>490</v>
      </c>
      <c r="B456" t="s">
        <v>18</v>
      </c>
      <c r="C456" t="s">
        <v>19</v>
      </c>
      <c r="D456" t="s">
        <v>20</v>
      </c>
      <c r="E456" t="s">
        <v>31</v>
      </c>
      <c r="F456" t="s">
        <v>28</v>
      </c>
      <c r="G456">
        <v>20.77</v>
      </c>
      <c r="H456">
        <v>4</v>
      </c>
      <c r="I456">
        <v>4.1539999999999999</v>
      </c>
      <c r="J456">
        <v>87.233999999999995</v>
      </c>
      <c r="K456" s="1">
        <v>43496</v>
      </c>
      <c r="L456" s="2">
        <v>0.57430555555555551</v>
      </c>
      <c r="M456" t="s">
        <v>29</v>
      </c>
      <c r="N456">
        <v>83.08</v>
      </c>
      <c r="O456">
        <v>4.7619047620000003</v>
      </c>
      <c r="P456">
        <v>4.1539999999999999</v>
      </c>
      <c r="Q456">
        <v>4.7</v>
      </c>
    </row>
    <row r="457" spans="1:17" x14ac:dyDescent="0.3">
      <c r="A457" t="s">
        <v>491</v>
      </c>
      <c r="B457" t="s">
        <v>42</v>
      </c>
      <c r="C457" t="s">
        <v>43</v>
      </c>
      <c r="D457" t="s">
        <v>20</v>
      </c>
      <c r="E457" t="s">
        <v>21</v>
      </c>
      <c r="F457" t="s">
        <v>46</v>
      </c>
      <c r="G457">
        <v>29.56</v>
      </c>
      <c r="H457">
        <v>5</v>
      </c>
      <c r="I457">
        <v>7.39</v>
      </c>
      <c r="J457">
        <v>155.19</v>
      </c>
      <c r="K457" s="1">
        <v>43509</v>
      </c>
      <c r="L457" s="2">
        <v>0.70763888888888893</v>
      </c>
      <c r="M457" t="s">
        <v>29</v>
      </c>
      <c r="N457">
        <v>147.80000000000001</v>
      </c>
      <c r="O457">
        <v>4.7619047620000003</v>
      </c>
      <c r="P457">
        <v>7.39</v>
      </c>
      <c r="Q457">
        <v>6.9</v>
      </c>
    </row>
    <row r="458" spans="1:17" x14ac:dyDescent="0.3">
      <c r="A458" t="s">
        <v>492</v>
      </c>
      <c r="B458" t="s">
        <v>42</v>
      </c>
      <c r="C458" t="s">
        <v>43</v>
      </c>
      <c r="D458" t="s">
        <v>20</v>
      </c>
      <c r="E458" t="s">
        <v>21</v>
      </c>
      <c r="F458" t="s">
        <v>44</v>
      </c>
      <c r="G458">
        <v>77.400000000000006</v>
      </c>
      <c r="H458">
        <v>9</v>
      </c>
      <c r="I458">
        <v>34.83</v>
      </c>
      <c r="J458">
        <v>731.43</v>
      </c>
      <c r="K458" s="1">
        <v>43511</v>
      </c>
      <c r="L458" s="2">
        <v>0.59375</v>
      </c>
      <c r="M458" t="s">
        <v>33</v>
      </c>
      <c r="N458">
        <v>696.6</v>
      </c>
      <c r="O458">
        <v>4.7619047620000003</v>
      </c>
      <c r="P458">
        <v>34.83</v>
      </c>
      <c r="Q458">
        <v>4.5</v>
      </c>
    </row>
    <row r="459" spans="1:17" x14ac:dyDescent="0.3">
      <c r="A459" t="s">
        <v>493</v>
      </c>
      <c r="B459" t="s">
        <v>42</v>
      </c>
      <c r="C459" t="s">
        <v>43</v>
      </c>
      <c r="D459" t="s">
        <v>27</v>
      </c>
      <c r="E459" t="s">
        <v>31</v>
      </c>
      <c r="F459" t="s">
        <v>28</v>
      </c>
      <c r="G459">
        <v>79.39</v>
      </c>
      <c r="H459">
        <v>10</v>
      </c>
      <c r="I459">
        <v>39.695</v>
      </c>
      <c r="J459">
        <v>833.59500000000003</v>
      </c>
      <c r="K459" s="1">
        <v>43503</v>
      </c>
      <c r="L459" s="2">
        <v>0.85</v>
      </c>
      <c r="M459" t="s">
        <v>29</v>
      </c>
      <c r="N459">
        <v>793.9</v>
      </c>
      <c r="O459">
        <v>4.7619047620000003</v>
      </c>
      <c r="P459">
        <v>39.695</v>
      </c>
      <c r="Q459">
        <v>6.2</v>
      </c>
    </row>
    <row r="460" spans="1:17" x14ac:dyDescent="0.3">
      <c r="A460" t="s">
        <v>494</v>
      </c>
      <c r="B460" t="s">
        <v>25</v>
      </c>
      <c r="C460" t="s">
        <v>26</v>
      </c>
      <c r="D460" t="s">
        <v>20</v>
      </c>
      <c r="E460" t="s">
        <v>21</v>
      </c>
      <c r="F460" t="s">
        <v>28</v>
      </c>
      <c r="G460">
        <v>46.57</v>
      </c>
      <c r="H460">
        <v>10</v>
      </c>
      <c r="I460">
        <v>23.285</v>
      </c>
      <c r="J460">
        <v>488.98500000000001</v>
      </c>
      <c r="K460" s="1">
        <v>43492</v>
      </c>
      <c r="L460" s="2">
        <v>0.58194444444444449</v>
      </c>
      <c r="M460" t="s">
        <v>29</v>
      </c>
      <c r="N460">
        <v>465.7</v>
      </c>
      <c r="O460">
        <v>4.7619047620000003</v>
      </c>
      <c r="P460">
        <v>23.285</v>
      </c>
      <c r="Q460">
        <v>7.6</v>
      </c>
    </row>
    <row r="461" spans="1:17" x14ac:dyDescent="0.3">
      <c r="A461" t="s">
        <v>495</v>
      </c>
      <c r="B461" t="s">
        <v>25</v>
      </c>
      <c r="C461" t="s">
        <v>26</v>
      </c>
      <c r="D461" t="s">
        <v>27</v>
      </c>
      <c r="E461" t="s">
        <v>31</v>
      </c>
      <c r="F461" t="s">
        <v>44</v>
      </c>
      <c r="G461">
        <v>35.89</v>
      </c>
      <c r="H461">
        <v>1</v>
      </c>
      <c r="I461">
        <v>1.7945</v>
      </c>
      <c r="J461">
        <v>37.6845</v>
      </c>
      <c r="K461" s="1">
        <v>43519</v>
      </c>
      <c r="L461" s="2">
        <v>0.70277777777777783</v>
      </c>
      <c r="M461" t="s">
        <v>33</v>
      </c>
      <c r="N461">
        <v>35.89</v>
      </c>
      <c r="O461">
        <v>4.7619047620000003</v>
      </c>
      <c r="P461">
        <v>1.7945</v>
      </c>
      <c r="Q461">
        <v>7.9</v>
      </c>
    </row>
    <row r="462" spans="1:17" x14ac:dyDescent="0.3">
      <c r="A462" t="s">
        <v>496</v>
      </c>
      <c r="B462" t="s">
        <v>25</v>
      </c>
      <c r="C462" t="s">
        <v>26</v>
      </c>
      <c r="D462" t="s">
        <v>27</v>
      </c>
      <c r="E462" t="s">
        <v>31</v>
      </c>
      <c r="F462" t="s">
        <v>44</v>
      </c>
      <c r="G462">
        <v>40.520000000000003</v>
      </c>
      <c r="H462">
        <v>5</v>
      </c>
      <c r="I462">
        <v>10.130000000000001</v>
      </c>
      <c r="J462">
        <v>212.73</v>
      </c>
      <c r="K462" s="1">
        <v>43499</v>
      </c>
      <c r="L462" s="2">
        <v>0.6381944444444444</v>
      </c>
      <c r="M462" t="s">
        <v>29</v>
      </c>
      <c r="N462">
        <v>202.6</v>
      </c>
      <c r="O462">
        <v>4.7619047620000003</v>
      </c>
      <c r="P462">
        <v>10.130000000000001</v>
      </c>
      <c r="Q462">
        <v>4.5</v>
      </c>
    </row>
    <row r="463" spans="1:17" x14ac:dyDescent="0.3">
      <c r="A463" t="s">
        <v>497</v>
      </c>
      <c r="B463" t="s">
        <v>42</v>
      </c>
      <c r="C463" t="s">
        <v>43</v>
      </c>
      <c r="D463" t="s">
        <v>20</v>
      </c>
      <c r="E463" t="s">
        <v>21</v>
      </c>
      <c r="F463" t="s">
        <v>44</v>
      </c>
      <c r="G463">
        <v>73.05</v>
      </c>
      <c r="H463">
        <v>10</v>
      </c>
      <c r="I463">
        <v>36.524999999999999</v>
      </c>
      <c r="J463">
        <v>767.02499999999998</v>
      </c>
      <c r="K463" s="1">
        <v>43527</v>
      </c>
      <c r="L463" s="2">
        <v>0.51736111111111105</v>
      </c>
      <c r="M463" t="s">
        <v>33</v>
      </c>
      <c r="N463">
        <v>730.5</v>
      </c>
      <c r="O463">
        <v>4.7619047620000003</v>
      </c>
      <c r="P463">
        <v>36.524999999999999</v>
      </c>
      <c r="Q463">
        <v>8.6999999999999993</v>
      </c>
    </row>
    <row r="464" spans="1:17" x14ac:dyDescent="0.3">
      <c r="A464" t="s">
        <v>498</v>
      </c>
      <c r="B464" t="s">
        <v>25</v>
      </c>
      <c r="C464" t="s">
        <v>26</v>
      </c>
      <c r="D464" t="s">
        <v>27</v>
      </c>
      <c r="E464" t="s">
        <v>21</v>
      </c>
      <c r="F464" t="s">
        <v>36</v>
      </c>
      <c r="G464">
        <v>73.95</v>
      </c>
      <c r="H464">
        <v>4</v>
      </c>
      <c r="I464">
        <v>14.79</v>
      </c>
      <c r="J464">
        <v>310.58999999999997</v>
      </c>
      <c r="K464" s="1">
        <v>43499</v>
      </c>
      <c r="L464" s="2">
        <v>0.41805555555555557</v>
      </c>
      <c r="M464" t="s">
        <v>29</v>
      </c>
      <c r="N464">
        <v>295.8</v>
      </c>
      <c r="O464">
        <v>4.7619047620000003</v>
      </c>
      <c r="P464">
        <v>14.79</v>
      </c>
      <c r="Q464">
        <v>6.1</v>
      </c>
    </row>
    <row r="465" spans="1:17" x14ac:dyDescent="0.3">
      <c r="A465" t="s">
        <v>499</v>
      </c>
      <c r="B465" t="s">
        <v>25</v>
      </c>
      <c r="C465" t="s">
        <v>26</v>
      </c>
      <c r="D465" t="s">
        <v>20</v>
      </c>
      <c r="E465" t="s">
        <v>21</v>
      </c>
      <c r="F465" t="s">
        <v>44</v>
      </c>
      <c r="G465">
        <v>22.62</v>
      </c>
      <c r="H465">
        <v>1</v>
      </c>
      <c r="I465">
        <v>1.131</v>
      </c>
      <c r="J465">
        <v>23.751000000000001</v>
      </c>
      <c r="K465" s="1">
        <v>43541</v>
      </c>
      <c r="L465" s="2">
        <v>0.79027777777777775</v>
      </c>
      <c r="M465" t="s">
        <v>29</v>
      </c>
      <c r="N465">
        <v>22.62</v>
      </c>
      <c r="O465">
        <v>4.7619047620000003</v>
      </c>
      <c r="P465">
        <v>1.131</v>
      </c>
      <c r="Q465">
        <v>6.4</v>
      </c>
    </row>
    <row r="466" spans="1:17" x14ac:dyDescent="0.3">
      <c r="A466" t="s">
        <v>500</v>
      </c>
      <c r="B466" t="s">
        <v>18</v>
      </c>
      <c r="C466" t="s">
        <v>19</v>
      </c>
      <c r="D466" t="s">
        <v>20</v>
      </c>
      <c r="E466" t="s">
        <v>31</v>
      </c>
      <c r="F466" t="s">
        <v>44</v>
      </c>
      <c r="G466">
        <v>51.34</v>
      </c>
      <c r="H466">
        <v>5</v>
      </c>
      <c r="I466">
        <v>12.835000000000001</v>
      </c>
      <c r="J466">
        <v>269.53500000000003</v>
      </c>
      <c r="K466" s="1">
        <v>43552</v>
      </c>
      <c r="L466" s="2">
        <v>0.64652777777777781</v>
      </c>
      <c r="M466" t="s">
        <v>33</v>
      </c>
      <c r="N466">
        <v>256.7</v>
      </c>
      <c r="O466">
        <v>4.7619047620000003</v>
      </c>
      <c r="P466">
        <v>12.835000000000001</v>
      </c>
      <c r="Q466">
        <v>9.1</v>
      </c>
    </row>
    <row r="467" spans="1:17" x14ac:dyDescent="0.3">
      <c r="A467" t="s">
        <v>501</v>
      </c>
      <c r="B467" t="s">
        <v>25</v>
      </c>
      <c r="C467" t="s">
        <v>26</v>
      </c>
      <c r="D467" t="s">
        <v>20</v>
      </c>
      <c r="E467" t="s">
        <v>21</v>
      </c>
      <c r="F467" t="s">
        <v>36</v>
      </c>
      <c r="G467">
        <v>54.55</v>
      </c>
      <c r="H467">
        <v>10</v>
      </c>
      <c r="I467">
        <v>27.274999999999999</v>
      </c>
      <c r="J467">
        <v>572.77499999999998</v>
      </c>
      <c r="K467" s="1">
        <v>43526</v>
      </c>
      <c r="L467" s="2">
        <v>0.47361111111111115</v>
      </c>
      <c r="M467" t="s">
        <v>33</v>
      </c>
      <c r="N467">
        <v>545.5</v>
      </c>
      <c r="O467">
        <v>4.7619047620000003</v>
      </c>
      <c r="P467">
        <v>27.274999999999999</v>
      </c>
      <c r="Q467">
        <v>7.1</v>
      </c>
    </row>
    <row r="468" spans="1:17" x14ac:dyDescent="0.3">
      <c r="A468" t="s">
        <v>502</v>
      </c>
      <c r="B468" t="s">
        <v>25</v>
      </c>
      <c r="C468" t="s">
        <v>26</v>
      </c>
      <c r="D468" t="s">
        <v>20</v>
      </c>
      <c r="E468" t="s">
        <v>21</v>
      </c>
      <c r="F468" t="s">
        <v>22</v>
      </c>
      <c r="G468">
        <v>37.15</v>
      </c>
      <c r="H468">
        <v>7</v>
      </c>
      <c r="I468">
        <v>13.0025</v>
      </c>
      <c r="J468">
        <v>273.05250000000001</v>
      </c>
      <c r="K468" s="1">
        <v>43504</v>
      </c>
      <c r="L468" s="2">
        <v>0.54999999999999993</v>
      </c>
      <c r="M468" t="s">
        <v>33</v>
      </c>
      <c r="N468">
        <v>260.05</v>
      </c>
      <c r="O468">
        <v>4.7619047620000003</v>
      </c>
      <c r="P468">
        <v>13.0025</v>
      </c>
      <c r="Q468">
        <v>7.7</v>
      </c>
    </row>
    <row r="469" spans="1:17" x14ac:dyDescent="0.3">
      <c r="A469" t="s">
        <v>503</v>
      </c>
      <c r="B469" t="s">
        <v>42</v>
      </c>
      <c r="C469" t="s">
        <v>43</v>
      </c>
      <c r="D469" t="s">
        <v>27</v>
      </c>
      <c r="E469" t="s">
        <v>31</v>
      </c>
      <c r="F469" t="s">
        <v>36</v>
      </c>
      <c r="G469">
        <v>37.020000000000003</v>
      </c>
      <c r="H469">
        <v>6</v>
      </c>
      <c r="I469">
        <v>11.106</v>
      </c>
      <c r="J469">
        <v>233.226</v>
      </c>
      <c r="K469" s="1">
        <v>43546</v>
      </c>
      <c r="L469" s="2">
        <v>0.7729166666666667</v>
      </c>
      <c r="M469" t="s">
        <v>29</v>
      </c>
      <c r="N469">
        <v>222.12</v>
      </c>
      <c r="O469">
        <v>4.7619047620000003</v>
      </c>
      <c r="P469">
        <v>11.106</v>
      </c>
      <c r="Q469">
        <v>4.5</v>
      </c>
    </row>
    <row r="470" spans="1:17" x14ac:dyDescent="0.3">
      <c r="A470" t="s">
        <v>504</v>
      </c>
      <c r="B470" t="s">
        <v>25</v>
      </c>
      <c r="C470" t="s">
        <v>26</v>
      </c>
      <c r="D470" t="s">
        <v>27</v>
      </c>
      <c r="E470" t="s">
        <v>31</v>
      </c>
      <c r="F470" t="s">
        <v>44</v>
      </c>
      <c r="G470">
        <v>21.58</v>
      </c>
      <c r="H470">
        <v>1</v>
      </c>
      <c r="I470">
        <v>1.079</v>
      </c>
      <c r="J470">
        <v>22.658999999999999</v>
      </c>
      <c r="K470" s="1">
        <v>43505</v>
      </c>
      <c r="L470" s="2">
        <v>0.41805555555555557</v>
      </c>
      <c r="M470" t="s">
        <v>23</v>
      </c>
      <c r="N470">
        <v>21.58</v>
      </c>
      <c r="O470">
        <v>4.7619047620000003</v>
      </c>
      <c r="P470">
        <v>1.079</v>
      </c>
      <c r="Q470">
        <v>7.2</v>
      </c>
    </row>
    <row r="471" spans="1:17" x14ac:dyDescent="0.3">
      <c r="A471" t="s">
        <v>505</v>
      </c>
      <c r="B471" t="s">
        <v>25</v>
      </c>
      <c r="C471" t="s">
        <v>26</v>
      </c>
      <c r="D471" t="s">
        <v>20</v>
      </c>
      <c r="E471" t="s">
        <v>21</v>
      </c>
      <c r="F471" t="s">
        <v>28</v>
      </c>
      <c r="G471">
        <v>98.84</v>
      </c>
      <c r="H471">
        <v>1</v>
      </c>
      <c r="I471">
        <v>4.9420000000000002</v>
      </c>
      <c r="J471">
        <v>103.782</v>
      </c>
      <c r="K471" s="1">
        <v>43511</v>
      </c>
      <c r="L471" s="2">
        <v>0.47291666666666665</v>
      </c>
      <c r="M471" t="s">
        <v>29</v>
      </c>
      <c r="N471">
        <v>98.84</v>
      </c>
      <c r="O471">
        <v>4.7619047620000003</v>
      </c>
      <c r="P471">
        <v>4.9420000000000002</v>
      </c>
      <c r="Q471">
        <v>8.4</v>
      </c>
    </row>
    <row r="472" spans="1:17" x14ac:dyDescent="0.3">
      <c r="A472" t="s">
        <v>506</v>
      </c>
      <c r="B472" t="s">
        <v>25</v>
      </c>
      <c r="C472" t="s">
        <v>26</v>
      </c>
      <c r="D472" t="s">
        <v>20</v>
      </c>
      <c r="E472" t="s">
        <v>21</v>
      </c>
      <c r="F472" t="s">
        <v>32</v>
      </c>
      <c r="G472">
        <v>83.77</v>
      </c>
      <c r="H472">
        <v>6</v>
      </c>
      <c r="I472">
        <v>25.131</v>
      </c>
      <c r="J472">
        <v>527.75099999999998</v>
      </c>
      <c r="K472" s="1">
        <v>43488</v>
      </c>
      <c r="L472" s="2">
        <v>0.50694444444444442</v>
      </c>
      <c r="M472" t="s">
        <v>23</v>
      </c>
      <c r="N472">
        <v>502.62</v>
      </c>
      <c r="O472">
        <v>4.7619047620000003</v>
      </c>
      <c r="P472">
        <v>25.131</v>
      </c>
      <c r="Q472">
        <v>5.4</v>
      </c>
    </row>
    <row r="473" spans="1:17" x14ac:dyDescent="0.3">
      <c r="A473" t="s">
        <v>507</v>
      </c>
      <c r="B473" t="s">
        <v>18</v>
      </c>
      <c r="C473" t="s">
        <v>19</v>
      </c>
      <c r="D473" t="s">
        <v>20</v>
      </c>
      <c r="E473" t="s">
        <v>21</v>
      </c>
      <c r="F473" t="s">
        <v>36</v>
      </c>
      <c r="G473">
        <v>40.049999999999997</v>
      </c>
      <c r="H473">
        <v>4</v>
      </c>
      <c r="I473">
        <v>8.01</v>
      </c>
      <c r="J473">
        <v>168.21</v>
      </c>
      <c r="K473" s="1">
        <v>43490</v>
      </c>
      <c r="L473" s="2">
        <v>0.4861111111111111</v>
      </c>
      <c r="M473" t="s">
        <v>29</v>
      </c>
      <c r="N473">
        <v>160.19999999999999</v>
      </c>
      <c r="O473">
        <v>4.7619047620000003</v>
      </c>
      <c r="P473">
        <v>8.01</v>
      </c>
      <c r="Q473">
        <v>9.6999999999999993</v>
      </c>
    </row>
    <row r="474" spans="1:17" x14ac:dyDescent="0.3">
      <c r="A474" t="s">
        <v>508</v>
      </c>
      <c r="B474" t="s">
        <v>18</v>
      </c>
      <c r="C474" t="s">
        <v>19</v>
      </c>
      <c r="D474" t="s">
        <v>20</v>
      </c>
      <c r="E474" t="s">
        <v>31</v>
      </c>
      <c r="F474" t="s">
        <v>46</v>
      </c>
      <c r="G474">
        <v>43.13</v>
      </c>
      <c r="H474">
        <v>10</v>
      </c>
      <c r="I474">
        <v>21.565000000000001</v>
      </c>
      <c r="J474">
        <v>452.86500000000001</v>
      </c>
      <c r="K474" s="1">
        <v>43498</v>
      </c>
      <c r="L474" s="2">
        <v>0.7715277777777777</v>
      </c>
      <c r="M474" t="s">
        <v>33</v>
      </c>
      <c r="N474">
        <v>431.3</v>
      </c>
      <c r="O474">
        <v>4.7619047620000003</v>
      </c>
      <c r="P474">
        <v>21.565000000000001</v>
      </c>
      <c r="Q474">
        <v>5.5</v>
      </c>
    </row>
    <row r="475" spans="1:17" x14ac:dyDescent="0.3">
      <c r="A475" t="s">
        <v>509</v>
      </c>
      <c r="B475" t="s">
        <v>42</v>
      </c>
      <c r="C475" t="s">
        <v>43</v>
      </c>
      <c r="D475" t="s">
        <v>20</v>
      </c>
      <c r="E475" t="s">
        <v>31</v>
      </c>
      <c r="F475" t="s">
        <v>22</v>
      </c>
      <c r="G475">
        <v>72.569999999999993</v>
      </c>
      <c r="H475">
        <v>8</v>
      </c>
      <c r="I475">
        <v>29.027999999999999</v>
      </c>
      <c r="J475">
        <v>609.58799999999997</v>
      </c>
      <c r="K475" s="1">
        <v>43554</v>
      </c>
      <c r="L475" s="2">
        <v>0.74861111111111101</v>
      </c>
      <c r="M475" t="s">
        <v>29</v>
      </c>
      <c r="N475">
        <v>580.55999999999995</v>
      </c>
      <c r="O475">
        <v>4.7619047620000003</v>
      </c>
      <c r="P475">
        <v>29.027999999999999</v>
      </c>
      <c r="Q475">
        <v>4.5999999999999996</v>
      </c>
    </row>
    <row r="476" spans="1:17" x14ac:dyDescent="0.3">
      <c r="A476" t="s">
        <v>510</v>
      </c>
      <c r="B476" t="s">
        <v>18</v>
      </c>
      <c r="C476" t="s">
        <v>19</v>
      </c>
      <c r="D476" t="s">
        <v>20</v>
      </c>
      <c r="E476" t="s">
        <v>21</v>
      </c>
      <c r="F476" t="s">
        <v>28</v>
      </c>
      <c r="G476">
        <v>64.44</v>
      </c>
      <c r="H476">
        <v>5</v>
      </c>
      <c r="I476">
        <v>16.11</v>
      </c>
      <c r="J476">
        <v>338.31</v>
      </c>
      <c r="K476" s="1">
        <v>43554</v>
      </c>
      <c r="L476" s="2">
        <v>0.71111111111111114</v>
      </c>
      <c r="M476" t="s">
        <v>29</v>
      </c>
      <c r="N476">
        <v>322.2</v>
      </c>
      <c r="O476">
        <v>4.7619047620000003</v>
      </c>
      <c r="P476">
        <v>16.11</v>
      </c>
      <c r="Q476">
        <v>6.6</v>
      </c>
    </row>
    <row r="477" spans="1:17" x14ac:dyDescent="0.3">
      <c r="A477" t="s">
        <v>511</v>
      </c>
      <c r="B477" t="s">
        <v>18</v>
      </c>
      <c r="C477" t="s">
        <v>19</v>
      </c>
      <c r="D477" t="s">
        <v>27</v>
      </c>
      <c r="E477" t="s">
        <v>31</v>
      </c>
      <c r="F477" t="s">
        <v>22</v>
      </c>
      <c r="G477">
        <v>65.180000000000007</v>
      </c>
      <c r="H477">
        <v>3</v>
      </c>
      <c r="I477">
        <v>9.7769999999999992</v>
      </c>
      <c r="J477">
        <v>205.31700000000001</v>
      </c>
      <c r="K477" s="1">
        <v>43521</v>
      </c>
      <c r="L477" s="2">
        <v>0.85763888888888884</v>
      </c>
      <c r="M477" t="s">
        <v>33</v>
      </c>
      <c r="N477">
        <v>195.54</v>
      </c>
      <c r="O477">
        <v>4.7619047620000003</v>
      </c>
      <c r="P477">
        <v>9.7769999999999992</v>
      </c>
      <c r="Q477">
        <v>6.3</v>
      </c>
    </row>
    <row r="478" spans="1:17" x14ac:dyDescent="0.3">
      <c r="A478" t="s">
        <v>512</v>
      </c>
      <c r="B478" t="s">
        <v>18</v>
      </c>
      <c r="C478" t="s">
        <v>19</v>
      </c>
      <c r="D478" t="s">
        <v>27</v>
      </c>
      <c r="E478" t="s">
        <v>21</v>
      </c>
      <c r="F478" t="s">
        <v>36</v>
      </c>
      <c r="G478">
        <v>33.26</v>
      </c>
      <c r="H478">
        <v>5</v>
      </c>
      <c r="I478">
        <v>8.3149999999999995</v>
      </c>
      <c r="J478">
        <v>174.61500000000001</v>
      </c>
      <c r="K478" s="1">
        <v>43542</v>
      </c>
      <c r="L478" s="2">
        <v>0.67361111111111116</v>
      </c>
      <c r="M478" t="s">
        <v>33</v>
      </c>
      <c r="N478">
        <v>166.3</v>
      </c>
      <c r="O478">
        <v>4.7619047620000003</v>
      </c>
      <c r="P478">
        <v>8.3149999999999995</v>
      </c>
      <c r="Q478">
        <v>4.2</v>
      </c>
    </row>
    <row r="479" spans="1:17" x14ac:dyDescent="0.3">
      <c r="A479" t="s">
        <v>513</v>
      </c>
      <c r="B479" t="s">
        <v>25</v>
      </c>
      <c r="C479" t="s">
        <v>26</v>
      </c>
      <c r="D479" t="s">
        <v>27</v>
      </c>
      <c r="E479" t="s">
        <v>31</v>
      </c>
      <c r="F479" t="s">
        <v>28</v>
      </c>
      <c r="G479">
        <v>84.07</v>
      </c>
      <c r="H479">
        <v>4</v>
      </c>
      <c r="I479">
        <v>16.814</v>
      </c>
      <c r="J479">
        <v>353.09399999999999</v>
      </c>
      <c r="K479" s="1">
        <v>43531</v>
      </c>
      <c r="L479" s="2">
        <v>0.70416666666666661</v>
      </c>
      <c r="M479" t="s">
        <v>23</v>
      </c>
      <c r="N479">
        <v>336.28</v>
      </c>
      <c r="O479">
        <v>4.7619047620000003</v>
      </c>
      <c r="P479">
        <v>16.814</v>
      </c>
      <c r="Q479">
        <v>4.4000000000000004</v>
      </c>
    </row>
    <row r="480" spans="1:17" x14ac:dyDescent="0.3">
      <c r="A480" t="s">
        <v>514</v>
      </c>
      <c r="B480" t="s">
        <v>42</v>
      </c>
      <c r="C480" t="s">
        <v>43</v>
      </c>
      <c r="D480" t="s">
        <v>27</v>
      </c>
      <c r="E480" t="s">
        <v>31</v>
      </c>
      <c r="F480" t="s">
        <v>36</v>
      </c>
      <c r="G480">
        <v>34.369999999999997</v>
      </c>
      <c r="H480">
        <v>10</v>
      </c>
      <c r="I480">
        <v>17.184999999999999</v>
      </c>
      <c r="J480">
        <v>360.88499999999999</v>
      </c>
      <c r="K480" s="1">
        <v>43540</v>
      </c>
      <c r="L480" s="2">
        <v>0.42430555555555555</v>
      </c>
      <c r="M480" t="s">
        <v>23</v>
      </c>
      <c r="N480">
        <v>343.7</v>
      </c>
      <c r="O480">
        <v>4.7619047620000003</v>
      </c>
      <c r="P480">
        <v>17.184999999999999</v>
      </c>
      <c r="Q480">
        <v>6.7</v>
      </c>
    </row>
    <row r="481" spans="1:17" x14ac:dyDescent="0.3">
      <c r="A481" t="s">
        <v>515</v>
      </c>
      <c r="B481" t="s">
        <v>18</v>
      </c>
      <c r="C481" t="s">
        <v>19</v>
      </c>
      <c r="D481" t="s">
        <v>27</v>
      </c>
      <c r="E481" t="s">
        <v>31</v>
      </c>
      <c r="F481" t="s">
        <v>28</v>
      </c>
      <c r="G481">
        <v>38.6</v>
      </c>
      <c r="H481">
        <v>1</v>
      </c>
      <c r="I481">
        <v>1.93</v>
      </c>
      <c r="J481">
        <v>40.53</v>
      </c>
      <c r="K481" s="1">
        <v>43494</v>
      </c>
      <c r="L481" s="2">
        <v>0.47638888888888892</v>
      </c>
      <c r="M481" t="s">
        <v>23</v>
      </c>
      <c r="N481">
        <v>38.6</v>
      </c>
      <c r="O481">
        <v>4.7619047620000003</v>
      </c>
      <c r="P481">
        <v>1.93</v>
      </c>
      <c r="Q481">
        <v>6.7</v>
      </c>
    </row>
    <row r="482" spans="1:17" x14ac:dyDescent="0.3">
      <c r="A482" t="s">
        <v>516</v>
      </c>
      <c r="B482" t="s">
        <v>25</v>
      </c>
      <c r="C482" t="s">
        <v>26</v>
      </c>
      <c r="D482" t="s">
        <v>27</v>
      </c>
      <c r="E482" t="s">
        <v>31</v>
      </c>
      <c r="F482" t="s">
        <v>44</v>
      </c>
      <c r="G482">
        <v>65.97</v>
      </c>
      <c r="H482">
        <v>8</v>
      </c>
      <c r="I482">
        <v>26.388000000000002</v>
      </c>
      <c r="J482">
        <v>554.14800000000002</v>
      </c>
      <c r="K482" s="1">
        <v>43498</v>
      </c>
      <c r="L482" s="2">
        <v>0.8534722222222223</v>
      </c>
      <c r="M482" t="s">
        <v>29</v>
      </c>
      <c r="N482">
        <v>527.76</v>
      </c>
      <c r="O482">
        <v>4.7619047620000003</v>
      </c>
      <c r="P482">
        <v>26.388000000000002</v>
      </c>
      <c r="Q482">
        <v>8.4</v>
      </c>
    </row>
    <row r="483" spans="1:17" x14ac:dyDescent="0.3">
      <c r="A483" t="s">
        <v>517</v>
      </c>
      <c r="B483" t="s">
        <v>25</v>
      </c>
      <c r="C483" t="s">
        <v>26</v>
      </c>
      <c r="D483" t="s">
        <v>27</v>
      </c>
      <c r="E483" t="s">
        <v>21</v>
      </c>
      <c r="F483" t="s">
        <v>28</v>
      </c>
      <c r="G483">
        <v>32.799999999999997</v>
      </c>
      <c r="H483">
        <v>10</v>
      </c>
      <c r="I483">
        <v>16.399999999999999</v>
      </c>
      <c r="J483">
        <v>344.4</v>
      </c>
      <c r="K483" s="1">
        <v>43511</v>
      </c>
      <c r="L483" s="2">
        <v>0.5083333333333333</v>
      </c>
      <c r="M483" t="s">
        <v>29</v>
      </c>
      <c r="N483">
        <v>328</v>
      </c>
      <c r="O483">
        <v>4.7619047620000003</v>
      </c>
      <c r="P483">
        <v>16.399999999999999</v>
      </c>
      <c r="Q483">
        <v>6.2</v>
      </c>
    </row>
    <row r="484" spans="1:17" x14ac:dyDescent="0.3">
      <c r="A484" t="s">
        <v>518</v>
      </c>
      <c r="B484" t="s">
        <v>18</v>
      </c>
      <c r="C484" t="s">
        <v>19</v>
      </c>
      <c r="D484" t="s">
        <v>27</v>
      </c>
      <c r="E484" t="s">
        <v>31</v>
      </c>
      <c r="F484" t="s">
        <v>36</v>
      </c>
      <c r="G484">
        <v>37.14</v>
      </c>
      <c r="H484">
        <v>5</v>
      </c>
      <c r="I484">
        <v>9.2850000000000001</v>
      </c>
      <c r="J484">
        <v>194.98500000000001</v>
      </c>
      <c r="K484" s="1">
        <v>43473</v>
      </c>
      <c r="L484" s="2">
        <v>0.54513888888888895</v>
      </c>
      <c r="M484" t="s">
        <v>23</v>
      </c>
      <c r="N484">
        <v>185.7</v>
      </c>
      <c r="O484">
        <v>4.7619047620000003</v>
      </c>
      <c r="P484">
        <v>9.2850000000000001</v>
      </c>
      <c r="Q484">
        <v>5</v>
      </c>
    </row>
    <row r="485" spans="1:17" x14ac:dyDescent="0.3">
      <c r="A485" t="s">
        <v>519</v>
      </c>
      <c r="B485" t="s">
        <v>42</v>
      </c>
      <c r="C485" t="s">
        <v>43</v>
      </c>
      <c r="D485" t="s">
        <v>20</v>
      </c>
      <c r="E485" t="s">
        <v>31</v>
      </c>
      <c r="F485" t="s">
        <v>32</v>
      </c>
      <c r="G485">
        <v>60.38</v>
      </c>
      <c r="H485">
        <v>10</v>
      </c>
      <c r="I485">
        <v>30.19</v>
      </c>
      <c r="J485">
        <v>633.99</v>
      </c>
      <c r="K485" s="1">
        <v>43508</v>
      </c>
      <c r="L485" s="2">
        <v>0.67986111111111114</v>
      </c>
      <c r="M485" t="s">
        <v>29</v>
      </c>
      <c r="N485">
        <v>603.79999999999995</v>
      </c>
      <c r="O485">
        <v>4.7619047620000003</v>
      </c>
      <c r="P485">
        <v>30.19</v>
      </c>
      <c r="Q485">
        <v>6</v>
      </c>
    </row>
    <row r="486" spans="1:17" x14ac:dyDescent="0.3">
      <c r="A486" t="s">
        <v>520</v>
      </c>
      <c r="B486" t="s">
        <v>25</v>
      </c>
      <c r="C486" t="s">
        <v>26</v>
      </c>
      <c r="D486" t="s">
        <v>20</v>
      </c>
      <c r="E486" t="s">
        <v>21</v>
      </c>
      <c r="F486" t="s">
        <v>36</v>
      </c>
      <c r="G486">
        <v>36.979999999999997</v>
      </c>
      <c r="H486">
        <v>10</v>
      </c>
      <c r="I486">
        <v>18.489999999999998</v>
      </c>
      <c r="J486">
        <v>388.29</v>
      </c>
      <c r="K486" s="1">
        <v>43466</v>
      </c>
      <c r="L486" s="2">
        <v>0.82500000000000007</v>
      </c>
      <c r="M486" t="s">
        <v>33</v>
      </c>
      <c r="N486">
        <v>369.8</v>
      </c>
      <c r="O486">
        <v>4.7619047620000003</v>
      </c>
      <c r="P486">
        <v>18.489999999999998</v>
      </c>
      <c r="Q486">
        <v>7</v>
      </c>
    </row>
    <row r="487" spans="1:17" x14ac:dyDescent="0.3">
      <c r="A487" t="s">
        <v>521</v>
      </c>
      <c r="B487" t="s">
        <v>42</v>
      </c>
      <c r="C487" t="s">
        <v>43</v>
      </c>
      <c r="D487" t="s">
        <v>20</v>
      </c>
      <c r="E487" t="s">
        <v>21</v>
      </c>
      <c r="F487" t="s">
        <v>36</v>
      </c>
      <c r="G487">
        <v>49.49</v>
      </c>
      <c r="H487">
        <v>4</v>
      </c>
      <c r="I487">
        <v>9.8979999999999997</v>
      </c>
      <c r="J487">
        <v>207.858</v>
      </c>
      <c r="K487" s="1">
        <v>43545</v>
      </c>
      <c r="L487" s="2">
        <v>0.64236111111111105</v>
      </c>
      <c r="M487" t="s">
        <v>23</v>
      </c>
      <c r="N487">
        <v>197.96</v>
      </c>
      <c r="O487">
        <v>4.7619047620000003</v>
      </c>
      <c r="P487">
        <v>9.8979999999999997</v>
      </c>
      <c r="Q487">
        <v>6.6</v>
      </c>
    </row>
    <row r="488" spans="1:17" x14ac:dyDescent="0.3">
      <c r="A488" t="s">
        <v>522</v>
      </c>
      <c r="B488" t="s">
        <v>42</v>
      </c>
      <c r="C488" t="s">
        <v>43</v>
      </c>
      <c r="D488" t="s">
        <v>27</v>
      </c>
      <c r="E488" t="s">
        <v>21</v>
      </c>
      <c r="F488" t="s">
        <v>46</v>
      </c>
      <c r="G488">
        <v>41.09</v>
      </c>
      <c r="H488">
        <v>10</v>
      </c>
      <c r="I488">
        <v>20.545000000000002</v>
      </c>
      <c r="J488">
        <v>431.44499999999999</v>
      </c>
      <c r="K488" s="1">
        <v>43524</v>
      </c>
      <c r="L488" s="2">
        <v>0.61249999999999993</v>
      </c>
      <c r="M488" t="s">
        <v>29</v>
      </c>
      <c r="N488">
        <v>410.9</v>
      </c>
      <c r="O488">
        <v>4.7619047620000003</v>
      </c>
      <c r="P488">
        <v>20.545000000000002</v>
      </c>
      <c r="Q488">
        <v>7.3</v>
      </c>
    </row>
    <row r="489" spans="1:17" x14ac:dyDescent="0.3">
      <c r="A489" t="s">
        <v>523</v>
      </c>
      <c r="B489" t="s">
        <v>18</v>
      </c>
      <c r="C489" t="s">
        <v>19</v>
      </c>
      <c r="D489" t="s">
        <v>27</v>
      </c>
      <c r="E489" t="s">
        <v>31</v>
      </c>
      <c r="F489" t="s">
        <v>46</v>
      </c>
      <c r="G489">
        <v>37.15</v>
      </c>
      <c r="H489">
        <v>4</v>
      </c>
      <c r="I489">
        <v>7.43</v>
      </c>
      <c r="J489">
        <v>156.03</v>
      </c>
      <c r="K489" s="1">
        <v>43547</v>
      </c>
      <c r="L489" s="2">
        <v>0.7909722222222223</v>
      </c>
      <c r="M489" t="s">
        <v>23</v>
      </c>
      <c r="N489">
        <v>148.6</v>
      </c>
      <c r="O489">
        <v>4.7619047620000003</v>
      </c>
      <c r="P489">
        <v>7.43</v>
      </c>
      <c r="Q489">
        <v>8.3000000000000007</v>
      </c>
    </row>
    <row r="490" spans="1:17" x14ac:dyDescent="0.3">
      <c r="A490" t="s">
        <v>524</v>
      </c>
      <c r="B490" t="s">
        <v>25</v>
      </c>
      <c r="C490" t="s">
        <v>26</v>
      </c>
      <c r="D490" t="s">
        <v>27</v>
      </c>
      <c r="E490" t="s">
        <v>31</v>
      </c>
      <c r="F490" t="s">
        <v>32</v>
      </c>
      <c r="G490">
        <v>22.96</v>
      </c>
      <c r="H490">
        <v>1</v>
      </c>
      <c r="I490">
        <v>1.1479999999999999</v>
      </c>
      <c r="J490">
        <v>24.108000000000001</v>
      </c>
      <c r="K490" s="1">
        <v>43495</v>
      </c>
      <c r="L490" s="2">
        <v>0.86597222222222225</v>
      </c>
      <c r="M490" t="s">
        <v>29</v>
      </c>
      <c r="N490">
        <v>22.96</v>
      </c>
      <c r="O490">
        <v>4.7619047620000003</v>
      </c>
      <c r="P490">
        <v>1.1479999999999999</v>
      </c>
      <c r="Q490">
        <v>4.3</v>
      </c>
    </row>
    <row r="491" spans="1:17" x14ac:dyDescent="0.3">
      <c r="A491" t="s">
        <v>525</v>
      </c>
      <c r="B491" t="s">
        <v>42</v>
      </c>
      <c r="C491" t="s">
        <v>43</v>
      </c>
      <c r="D491" t="s">
        <v>20</v>
      </c>
      <c r="E491" t="s">
        <v>21</v>
      </c>
      <c r="F491" t="s">
        <v>32</v>
      </c>
      <c r="G491">
        <v>77.680000000000007</v>
      </c>
      <c r="H491">
        <v>9</v>
      </c>
      <c r="I491">
        <v>34.956000000000003</v>
      </c>
      <c r="J491">
        <v>734.07600000000002</v>
      </c>
      <c r="K491" s="1">
        <v>43500</v>
      </c>
      <c r="L491" s="2">
        <v>0.55625000000000002</v>
      </c>
      <c r="M491" t="s">
        <v>23</v>
      </c>
      <c r="N491">
        <v>699.12</v>
      </c>
      <c r="O491">
        <v>4.7619047620000003</v>
      </c>
      <c r="P491">
        <v>34.956000000000003</v>
      </c>
      <c r="Q491">
        <v>9.8000000000000007</v>
      </c>
    </row>
    <row r="492" spans="1:17" x14ac:dyDescent="0.3">
      <c r="A492" t="s">
        <v>526</v>
      </c>
      <c r="B492" t="s">
        <v>42</v>
      </c>
      <c r="C492" t="s">
        <v>43</v>
      </c>
      <c r="D492" t="s">
        <v>27</v>
      </c>
      <c r="E492" t="s">
        <v>21</v>
      </c>
      <c r="F492" t="s">
        <v>46</v>
      </c>
      <c r="G492">
        <v>34.700000000000003</v>
      </c>
      <c r="H492">
        <v>2</v>
      </c>
      <c r="I492">
        <v>3.47</v>
      </c>
      <c r="J492">
        <v>72.87</v>
      </c>
      <c r="K492" s="1">
        <v>43537</v>
      </c>
      <c r="L492" s="2">
        <v>0.82500000000000007</v>
      </c>
      <c r="M492" t="s">
        <v>23</v>
      </c>
      <c r="N492">
        <v>69.400000000000006</v>
      </c>
      <c r="O492">
        <v>4.7619047620000003</v>
      </c>
      <c r="P492">
        <v>3.47</v>
      </c>
      <c r="Q492">
        <v>8.1999999999999993</v>
      </c>
    </row>
    <row r="493" spans="1:17" x14ac:dyDescent="0.3">
      <c r="A493" t="s">
        <v>527</v>
      </c>
      <c r="B493" t="s">
        <v>18</v>
      </c>
      <c r="C493" t="s">
        <v>19</v>
      </c>
      <c r="D493" t="s">
        <v>20</v>
      </c>
      <c r="E493" t="s">
        <v>21</v>
      </c>
      <c r="F493" t="s">
        <v>46</v>
      </c>
      <c r="G493">
        <v>19.66</v>
      </c>
      <c r="H493">
        <v>10</v>
      </c>
      <c r="I493">
        <v>9.83</v>
      </c>
      <c r="J493">
        <v>206.43</v>
      </c>
      <c r="K493" s="1">
        <v>43539</v>
      </c>
      <c r="L493" s="2">
        <v>0.76388888888888884</v>
      </c>
      <c r="M493" t="s">
        <v>33</v>
      </c>
      <c r="N493">
        <v>196.6</v>
      </c>
      <c r="O493">
        <v>4.7619047620000003</v>
      </c>
      <c r="P493">
        <v>9.83</v>
      </c>
      <c r="Q493">
        <v>7.2</v>
      </c>
    </row>
    <row r="494" spans="1:17" x14ac:dyDescent="0.3">
      <c r="A494" t="s">
        <v>528</v>
      </c>
      <c r="B494" t="s">
        <v>42</v>
      </c>
      <c r="C494" t="s">
        <v>43</v>
      </c>
      <c r="D494" t="s">
        <v>20</v>
      </c>
      <c r="E494" t="s">
        <v>21</v>
      </c>
      <c r="F494" t="s">
        <v>22</v>
      </c>
      <c r="G494">
        <v>25.32</v>
      </c>
      <c r="H494">
        <v>8</v>
      </c>
      <c r="I494">
        <v>10.128</v>
      </c>
      <c r="J494">
        <v>212.68799999999999</v>
      </c>
      <c r="K494" s="1">
        <v>43529</v>
      </c>
      <c r="L494" s="2">
        <v>0.85</v>
      </c>
      <c r="M494" t="s">
        <v>23</v>
      </c>
      <c r="N494">
        <v>202.56</v>
      </c>
      <c r="O494">
        <v>4.7619047620000003</v>
      </c>
      <c r="P494">
        <v>10.128</v>
      </c>
      <c r="Q494">
        <v>8.6999999999999993</v>
      </c>
    </row>
    <row r="495" spans="1:17" x14ac:dyDescent="0.3">
      <c r="A495" t="s">
        <v>529</v>
      </c>
      <c r="B495" t="s">
        <v>25</v>
      </c>
      <c r="C495" t="s">
        <v>26</v>
      </c>
      <c r="D495" t="s">
        <v>20</v>
      </c>
      <c r="E495" t="s">
        <v>21</v>
      </c>
      <c r="F495" t="s">
        <v>32</v>
      </c>
      <c r="G495">
        <v>12.12</v>
      </c>
      <c r="H495">
        <v>10</v>
      </c>
      <c r="I495">
        <v>6.06</v>
      </c>
      <c r="J495">
        <v>127.26</v>
      </c>
      <c r="K495" s="1">
        <v>43529</v>
      </c>
      <c r="L495" s="2">
        <v>0.57222222222222219</v>
      </c>
      <c r="M495" t="s">
        <v>33</v>
      </c>
      <c r="N495">
        <v>121.2</v>
      </c>
      <c r="O495">
        <v>4.7619047620000003</v>
      </c>
      <c r="P495">
        <v>6.06</v>
      </c>
      <c r="Q495">
        <v>8.4</v>
      </c>
    </row>
    <row r="496" spans="1:17" x14ac:dyDescent="0.3">
      <c r="A496" t="s">
        <v>530</v>
      </c>
      <c r="B496" t="s">
        <v>42</v>
      </c>
      <c r="C496" t="s">
        <v>43</v>
      </c>
      <c r="D496" t="s">
        <v>27</v>
      </c>
      <c r="E496" t="s">
        <v>31</v>
      </c>
      <c r="F496" t="s">
        <v>46</v>
      </c>
      <c r="G496">
        <v>99.89</v>
      </c>
      <c r="H496">
        <v>2</v>
      </c>
      <c r="I496">
        <v>9.9890000000000008</v>
      </c>
      <c r="J496">
        <v>209.76900000000001</v>
      </c>
      <c r="K496" s="1">
        <v>43522</v>
      </c>
      <c r="L496" s="2">
        <v>0.4916666666666667</v>
      </c>
      <c r="M496" t="s">
        <v>23</v>
      </c>
      <c r="N496">
        <v>199.78</v>
      </c>
      <c r="O496">
        <v>4.7619047620000003</v>
      </c>
      <c r="P496">
        <v>9.9890000000000008</v>
      </c>
      <c r="Q496">
        <v>7.1</v>
      </c>
    </row>
    <row r="497" spans="1:17" x14ac:dyDescent="0.3">
      <c r="A497" t="s">
        <v>531</v>
      </c>
      <c r="B497" t="s">
        <v>42</v>
      </c>
      <c r="C497" t="s">
        <v>43</v>
      </c>
      <c r="D497" t="s">
        <v>27</v>
      </c>
      <c r="E497" t="s">
        <v>31</v>
      </c>
      <c r="F497" t="s">
        <v>36</v>
      </c>
      <c r="G497">
        <v>75.92</v>
      </c>
      <c r="H497">
        <v>8</v>
      </c>
      <c r="I497">
        <v>30.367999999999999</v>
      </c>
      <c r="J497">
        <v>637.72799999999995</v>
      </c>
      <c r="K497" s="1">
        <v>43544</v>
      </c>
      <c r="L497" s="2">
        <v>0.59305555555555556</v>
      </c>
      <c r="M497" t="s">
        <v>29</v>
      </c>
      <c r="N497">
        <v>607.36</v>
      </c>
      <c r="O497">
        <v>4.7619047620000003</v>
      </c>
      <c r="P497">
        <v>30.367999999999999</v>
      </c>
      <c r="Q497">
        <v>5.5</v>
      </c>
    </row>
    <row r="498" spans="1:17" x14ac:dyDescent="0.3">
      <c r="A498" t="s">
        <v>532</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3">
      <c r="A499" t="s">
        <v>533</v>
      </c>
      <c r="B499" t="s">
        <v>25</v>
      </c>
      <c r="C499" t="s">
        <v>26</v>
      </c>
      <c r="D499" t="s">
        <v>27</v>
      </c>
      <c r="E499" t="s">
        <v>21</v>
      </c>
      <c r="F499" t="s">
        <v>44</v>
      </c>
      <c r="G499">
        <v>90.24</v>
      </c>
      <c r="H499">
        <v>6</v>
      </c>
      <c r="I499">
        <v>27.071999999999999</v>
      </c>
      <c r="J499">
        <v>568.51199999999994</v>
      </c>
      <c r="K499" s="1">
        <v>43492</v>
      </c>
      <c r="L499" s="2">
        <v>0.47013888888888888</v>
      </c>
      <c r="M499" t="s">
        <v>29</v>
      </c>
      <c r="N499">
        <v>541.44000000000005</v>
      </c>
      <c r="O499">
        <v>4.7619047620000003</v>
      </c>
      <c r="P499">
        <v>27.071999999999999</v>
      </c>
      <c r="Q499">
        <v>6.2</v>
      </c>
    </row>
    <row r="500" spans="1:17" x14ac:dyDescent="0.3">
      <c r="A500" t="s">
        <v>534</v>
      </c>
      <c r="B500" t="s">
        <v>42</v>
      </c>
      <c r="C500" t="s">
        <v>43</v>
      </c>
      <c r="D500" t="s">
        <v>20</v>
      </c>
      <c r="E500" t="s">
        <v>21</v>
      </c>
      <c r="F500" t="s">
        <v>36</v>
      </c>
      <c r="G500">
        <v>98.13</v>
      </c>
      <c r="H500">
        <v>1</v>
      </c>
      <c r="I500">
        <v>4.9065000000000003</v>
      </c>
      <c r="J500">
        <v>103.0365</v>
      </c>
      <c r="K500" s="1">
        <v>43486</v>
      </c>
      <c r="L500" s="2">
        <v>0.73333333333333339</v>
      </c>
      <c r="M500" t="s">
        <v>29</v>
      </c>
      <c r="N500">
        <v>98.13</v>
      </c>
      <c r="O500">
        <v>4.7619047620000003</v>
      </c>
      <c r="P500">
        <v>4.9065000000000003</v>
      </c>
      <c r="Q500">
        <v>8.9</v>
      </c>
    </row>
    <row r="501" spans="1:17" x14ac:dyDescent="0.3">
      <c r="A501" t="s">
        <v>535</v>
      </c>
      <c r="B501" t="s">
        <v>18</v>
      </c>
      <c r="C501" t="s">
        <v>19</v>
      </c>
      <c r="D501" t="s">
        <v>20</v>
      </c>
      <c r="E501" t="s">
        <v>21</v>
      </c>
      <c r="F501" t="s">
        <v>36</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3">
      <c r="A502" t="s">
        <v>536</v>
      </c>
      <c r="B502" t="s">
        <v>42</v>
      </c>
      <c r="C502" t="s">
        <v>43</v>
      </c>
      <c r="D502" t="s">
        <v>20</v>
      </c>
      <c r="E502" t="s">
        <v>31</v>
      </c>
      <c r="F502" t="s">
        <v>36</v>
      </c>
      <c r="G502">
        <v>73.97</v>
      </c>
      <c r="H502">
        <v>1</v>
      </c>
      <c r="I502">
        <v>3.6985000000000001</v>
      </c>
      <c r="J502">
        <v>77.668499999999995</v>
      </c>
      <c r="K502" s="1">
        <v>43499</v>
      </c>
      <c r="L502" s="2">
        <v>0.66180555555555554</v>
      </c>
      <c r="M502" t="s">
        <v>33</v>
      </c>
      <c r="N502">
        <v>73.97</v>
      </c>
      <c r="O502">
        <v>4.7619047620000003</v>
      </c>
      <c r="P502">
        <v>3.6985000000000001</v>
      </c>
      <c r="Q502">
        <v>5.4</v>
      </c>
    </row>
    <row r="503" spans="1:17" x14ac:dyDescent="0.3">
      <c r="A503" t="s">
        <v>537</v>
      </c>
      <c r="B503" t="s">
        <v>25</v>
      </c>
      <c r="C503" t="s">
        <v>26</v>
      </c>
      <c r="D503" t="s">
        <v>20</v>
      </c>
      <c r="E503" t="s">
        <v>21</v>
      </c>
      <c r="F503" t="s">
        <v>46</v>
      </c>
      <c r="G503">
        <v>31.9</v>
      </c>
      <c r="H503">
        <v>1</v>
      </c>
      <c r="I503">
        <v>1.595</v>
      </c>
      <c r="J503">
        <v>33.494999999999997</v>
      </c>
      <c r="K503" s="1">
        <v>43470</v>
      </c>
      <c r="L503" s="2">
        <v>0.52777777777777779</v>
      </c>
      <c r="M503" t="s">
        <v>23</v>
      </c>
      <c r="N503">
        <v>31.9</v>
      </c>
      <c r="O503">
        <v>4.7619047620000003</v>
      </c>
      <c r="P503">
        <v>1.595</v>
      </c>
      <c r="Q503">
        <v>9.1</v>
      </c>
    </row>
    <row r="504" spans="1:17" x14ac:dyDescent="0.3">
      <c r="A504" t="s">
        <v>538</v>
      </c>
      <c r="B504" t="s">
        <v>25</v>
      </c>
      <c r="C504" t="s">
        <v>26</v>
      </c>
      <c r="D504" t="s">
        <v>27</v>
      </c>
      <c r="E504" t="s">
        <v>31</v>
      </c>
      <c r="F504" t="s">
        <v>32</v>
      </c>
      <c r="G504">
        <v>69.400000000000006</v>
      </c>
      <c r="H504">
        <v>2</v>
      </c>
      <c r="I504">
        <v>6.94</v>
      </c>
      <c r="J504">
        <v>145.74</v>
      </c>
      <c r="K504" s="1">
        <v>43492</v>
      </c>
      <c r="L504" s="2">
        <v>0.82500000000000007</v>
      </c>
      <c r="M504" t="s">
        <v>23</v>
      </c>
      <c r="N504">
        <v>138.80000000000001</v>
      </c>
      <c r="O504">
        <v>4.7619047620000003</v>
      </c>
      <c r="P504">
        <v>6.94</v>
      </c>
      <c r="Q504">
        <v>9</v>
      </c>
    </row>
    <row r="505" spans="1:17" x14ac:dyDescent="0.3">
      <c r="A505" t="s">
        <v>539</v>
      </c>
      <c r="B505" t="s">
        <v>42</v>
      </c>
      <c r="C505" t="s">
        <v>43</v>
      </c>
      <c r="D505" t="s">
        <v>27</v>
      </c>
      <c r="E505" t="s">
        <v>21</v>
      </c>
      <c r="F505" t="s">
        <v>36</v>
      </c>
      <c r="G505">
        <v>93.31</v>
      </c>
      <c r="H505">
        <v>2</v>
      </c>
      <c r="I505">
        <v>9.3309999999999995</v>
      </c>
      <c r="J505">
        <v>195.95099999999999</v>
      </c>
      <c r="K505" s="1">
        <v>43549</v>
      </c>
      <c r="L505" s="2">
        <v>0.74513888888888891</v>
      </c>
      <c r="M505" t="s">
        <v>29</v>
      </c>
      <c r="N505">
        <v>186.62</v>
      </c>
      <c r="O505">
        <v>4.7619047620000003</v>
      </c>
      <c r="P505">
        <v>9.3309999999999995</v>
      </c>
      <c r="Q505">
        <v>6.3</v>
      </c>
    </row>
    <row r="506" spans="1:17" x14ac:dyDescent="0.3">
      <c r="A506" t="s">
        <v>540</v>
      </c>
      <c r="B506" t="s">
        <v>42</v>
      </c>
      <c r="C506" t="s">
        <v>43</v>
      </c>
      <c r="D506" t="s">
        <v>27</v>
      </c>
      <c r="E506" t="s">
        <v>31</v>
      </c>
      <c r="F506" t="s">
        <v>36</v>
      </c>
      <c r="G506">
        <v>88.45</v>
      </c>
      <c r="H506">
        <v>1</v>
      </c>
      <c r="I506">
        <v>4.4225000000000003</v>
      </c>
      <c r="J506">
        <v>92.872500000000002</v>
      </c>
      <c r="K506" s="1">
        <v>43521</v>
      </c>
      <c r="L506" s="2">
        <v>0.69166666666666676</v>
      </c>
      <c r="M506" t="s">
        <v>33</v>
      </c>
      <c r="N506">
        <v>88.45</v>
      </c>
      <c r="O506">
        <v>4.7619047620000003</v>
      </c>
      <c r="P506">
        <v>4.4225000000000003</v>
      </c>
      <c r="Q506">
        <v>9.5</v>
      </c>
    </row>
    <row r="507" spans="1:17" x14ac:dyDescent="0.3">
      <c r="A507" t="s">
        <v>541</v>
      </c>
      <c r="B507" t="s">
        <v>18</v>
      </c>
      <c r="C507" t="s">
        <v>19</v>
      </c>
      <c r="D507" t="s">
        <v>20</v>
      </c>
      <c r="E507" t="s">
        <v>31</v>
      </c>
      <c r="F507" t="s">
        <v>28</v>
      </c>
      <c r="G507">
        <v>24.18</v>
      </c>
      <c r="H507">
        <v>8</v>
      </c>
      <c r="I507">
        <v>9.6720000000000006</v>
      </c>
      <c r="J507">
        <v>203.11199999999999</v>
      </c>
      <c r="K507" s="1">
        <v>43493</v>
      </c>
      <c r="L507" s="2">
        <v>0.87083333333333324</v>
      </c>
      <c r="M507" t="s">
        <v>23</v>
      </c>
      <c r="N507">
        <v>193.44</v>
      </c>
      <c r="O507">
        <v>4.7619047620000003</v>
      </c>
      <c r="P507">
        <v>9.6720000000000006</v>
      </c>
      <c r="Q507">
        <v>9.8000000000000007</v>
      </c>
    </row>
    <row r="508" spans="1:17" x14ac:dyDescent="0.3">
      <c r="A508" t="s">
        <v>542</v>
      </c>
      <c r="B508" t="s">
        <v>42</v>
      </c>
      <c r="C508" t="s">
        <v>43</v>
      </c>
      <c r="D508" t="s">
        <v>20</v>
      </c>
      <c r="E508" t="s">
        <v>21</v>
      </c>
      <c r="F508" t="s">
        <v>36</v>
      </c>
      <c r="G508">
        <v>48.5</v>
      </c>
      <c r="H508">
        <v>3</v>
      </c>
      <c r="I508">
        <v>7.2750000000000004</v>
      </c>
      <c r="J508">
        <v>152.77500000000001</v>
      </c>
      <c r="K508" s="1">
        <v>43473</v>
      </c>
      <c r="L508" s="2">
        <v>0.53472222222222221</v>
      </c>
      <c r="M508" t="s">
        <v>29</v>
      </c>
      <c r="N508">
        <v>145.5</v>
      </c>
      <c r="O508">
        <v>4.7619047620000003</v>
      </c>
      <c r="P508">
        <v>7.2750000000000004</v>
      </c>
      <c r="Q508">
        <v>6.7</v>
      </c>
    </row>
    <row r="509" spans="1:17" x14ac:dyDescent="0.3">
      <c r="A509" t="s">
        <v>543</v>
      </c>
      <c r="B509" t="s">
        <v>42</v>
      </c>
      <c r="C509" t="s">
        <v>43</v>
      </c>
      <c r="D509" t="s">
        <v>27</v>
      </c>
      <c r="E509" t="s">
        <v>21</v>
      </c>
      <c r="F509" t="s">
        <v>44</v>
      </c>
      <c r="G509">
        <v>84.05</v>
      </c>
      <c r="H509">
        <v>6</v>
      </c>
      <c r="I509">
        <v>25.215</v>
      </c>
      <c r="J509">
        <v>529.51499999999999</v>
      </c>
      <c r="K509" s="1">
        <v>43494</v>
      </c>
      <c r="L509" s="2">
        <v>0.45</v>
      </c>
      <c r="M509" t="s">
        <v>33</v>
      </c>
      <c r="N509">
        <v>504.3</v>
      </c>
      <c r="O509">
        <v>4.7619047620000003</v>
      </c>
      <c r="P509">
        <v>25.215</v>
      </c>
      <c r="Q509">
        <v>7.7</v>
      </c>
    </row>
    <row r="510" spans="1:17" x14ac:dyDescent="0.3">
      <c r="A510" t="s">
        <v>544</v>
      </c>
      <c r="B510" t="s">
        <v>42</v>
      </c>
      <c r="C510" t="s">
        <v>43</v>
      </c>
      <c r="D510" t="s">
        <v>20</v>
      </c>
      <c r="E510" t="s">
        <v>31</v>
      </c>
      <c r="F510" t="s">
        <v>22</v>
      </c>
      <c r="G510">
        <v>61.29</v>
      </c>
      <c r="H510">
        <v>5</v>
      </c>
      <c r="I510">
        <v>15.3225</v>
      </c>
      <c r="J510">
        <v>321.77249999999998</v>
      </c>
      <c r="K510" s="1">
        <v>43553</v>
      </c>
      <c r="L510" s="2">
        <v>0.60277777777777775</v>
      </c>
      <c r="M510" t="s">
        <v>29</v>
      </c>
      <c r="N510">
        <v>306.45</v>
      </c>
      <c r="O510">
        <v>4.7619047620000003</v>
      </c>
      <c r="P510">
        <v>15.3225</v>
      </c>
      <c r="Q510">
        <v>7</v>
      </c>
    </row>
    <row r="511" spans="1:17" x14ac:dyDescent="0.3">
      <c r="A511" t="s">
        <v>545</v>
      </c>
      <c r="B511" t="s">
        <v>25</v>
      </c>
      <c r="C511" t="s">
        <v>26</v>
      </c>
      <c r="D511" t="s">
        <v>20</v>
      </c>
      <c r="E511" t="s">
        <v>21</v>
      </c>
      <c r="F511" t="s">
        <v>32</v>
      </c>
      <c r="G511">
        <v>15.95</v>
      </c>
      <c r="H511">
        <v>6</v>
      </c>
      <c r="I511">
        <v>4.7850000000000001</v>
      </c>
      <c r="J511">
        <v>100.485</v>
      </c>
      <c r="K511" s="1">
        <v>43505</v>
      </c>
      <c r="L511" s="2">
        <v>0.71875</v>
      </c>
      <c r="M511" t="s">
        <v>33</v>
      </c>
      <c r="N511">
        <v>95.7</v>
      </c>
      <c r="O511">
        <v>4.7619047620000003</v>
      </c>
      <c r="P511">
        <v>4.7850000000000001</v>
      </c>
      <c r="Q511">
        <v>5.0999999999999996</v>
      </c>
    </row>
    <row r="512" spans="1:17" x14ac:dyDescent="0.3">
      <c r="A512" t="s">
        <v>546</v>
      </c>
      <c r="B512" t="s">
        <v>42</v>
      </c>
      <c r="C512" t="s">
        <v>43</v>
      </c>
      <c r="D512" t="s">
        <v>20</v>
      </c>
      <c r="E512" t="s">
        <v>21</v>
      </c>
      <c r="F512" t="s">
        <v>36</v>
      </c>
      <c r="G512">
        <v>90.74</v>
      </c>
      <c r="H512">
        <v>7</v>
      </c>
      <c r="I512">
        <v>31.759</v>
      </c>
      <c r="J512">
        <v>666.93899999999996</v>
      </c>
      <c r="K512" s="1">
        <v>43481</v>
      </c>
      <c r="L512" s="2">
        <v>0.75208333333333333</v>
      </c>
      <c r="M512" t="s">
        <v>33</v>
      </c>
      <c r="N512">
        <v>635.17999999999995</v>
      </c>
      <c r="O512">
        <v>4.7619047620000003</v>
      </c>
      <c r="P512">
        <v>31.759</v>
      </c>
      <c r="Q512">
        <v>6.2</v>
      </c>
    </row>
    <row r="513" spans="1:17" x14ac:dyDescent="0.3">
      <c r="A513" t="s">
        <v>547</v>
      </c>
      <c r="B513" t="s">
        <v>18</v>
      </c>
      <c r="C513" t="s">
        <v>19</v>
      </c>
      <c r="D513" t="s">
        <v>27</v>
      </c>
      <c r="E513" t="s">
        <v>21</v>
      </c>
      <c r="F513" t="s">
        <v>32</v>
      </c>
      <c r="G513">
        <v>42.91</v>
      </c>
      <c r="H513">
        <v>5</v>
      </c>
      <c r="I513">
        <v>10.727499999999999</v>
      </c>
      <c r="J513">
        <v>225.2775</v>
      </c>
      <c r="K513" s="1">
        <v>43470</v>
      </c>
      <c r="L513" s="2">
        <v>0.7284722222222223</v>
      </c>
      <c r="M513" t="s">
        <v>23</v>
      </c>
      <c r="N513">
        <v>214.55</v>
      </c>
      <c r="O513">
        <v>4.7619047620000003</v>
      </c>
      <c r="P513">
        <v>10.727499999999999</v>
      </c>
      <c r="Q513">
        <v>6.1</v>
      </c>
    </row>
    <row r="514" spans="1:17" x14ac:dyDescent="0.3">
      <c r="A514" t="s">
        <v>548</v>
      </c>
      <c r="B514" t="s">
        <v>18</v>
      </c>
      <c r="C514" t="s">
        <v>19</v>
      </c>
      <c r="D514" t="s">
        <v>27</v>
      </c>
      <c r="E514" t="s">
        <v>21</v>
      </c>
      <c r="F514" t="s">
        <v>46</v>
      </c>
      <c r="G514">
        <v>54.28</v>
      </c>
      <c r="H514">
        <v>7</v>
      </c>
      <c r="I514">
        <v>18.998000000000001</v>
      </c>
      <c r="J514">
        <v>398.95800000000003</v>
      </c>
      <c r="K514" s="1">
        <v>43492</v>
      </c>
      <c r="L514" s="2">
        <v>0.75347222222222221</v>
      </c>
      <c r="M514" t="s">
        <v>23</v>
      </c>
      <c r="N514">
        <v>379.96</v>
      </c>
      <c r="O514">
        <v>4.7619047620000003</v>
      </c>
      <c r="P514">
        <v>18.998000000000001</v>
      </c>
      <c r="Q514">
        <v>9.3000000000000007</v>
      </c>
    </row>
    <row r="515" spans="1:17" x14ac:dyDescent="0.3">
      <c r="A515" t="s">
        <v>549</v>
      </c>
      <c r="B515" t="s">
        <v>18</v>
      </c>
      <c r="C515" t="s">
        <v>19</v>
      </c>
      <c r="D515" t="s">
        <v>27</v>
      </c>
      <c r="E515" t="s">
        <v>31</v>
      </c>
      <c r="F515" t="s">
        <v>28</v>
      </c>
      <c r="G515">
        <v>99.55</v>
      </c>
      <c r="H515">
        <v>7</v>
      </c>
      <c r="I515">
        <v>34.842500000000001</v>
      </c>
      <c r="J515">
        <v>731.6925</v>
      </c>
      <c r="K515" s="1">
        <v>43538</v>
      </c>
      <c r="L515" s="2">
        <v>0.50486111111111109</v>
      </c>
      <c r="M515" t="s">
        <v>29</v>
      </c>
      <c r="N515">
        <v>696.85</v>
      </c>
      <c r="O515">
        <v>4.7619047620000003</v>
      </c>
      <c r="P515">
        <v>34.842500000000001</v>
      </c>
      <c r="Q515">
        <v>7.6</v>
      </c>
    </row>
    <row r="516" spans="1:17" x14ac:dyDescent="0.3">
      <c r="A516" t="s">
        <v>550</v>
      </c>
      <c r="B516" t="s">
        <v>25</v>
      </c>
      <c r="C516" t="s">
        <v>26</v>
      </c>
      <c r="D516" t="s">
        <v>20</v>
      </c>
      <c r="E516" t="s">
        <v>31</v>
      </c>
      <c r="F516" t="s">
        <v>36</v>
      </c>
      <c r="G516">
        <v>58.39</v>
      </c>
      <c r="H516">
        <v>7</v>
      </c>
      <c r="I516">
        <v>20.436499999999999</v>
      </c>
      <c r="J516">
        <v>429.16649999999998</v>
      </c>
      <c r="K516" s="1">
        <v>43519</v>
      </c>
      <c r="L516" s="2">
        <v>0.8256944444444444</v>
      </c>
      <c r="M516" t="s">
        <v>33</v>
      </c>
      <c r="N516">
        <v>408.73</v>
      </c>
      <c r="O516">
        <v>4.7619047620000003</v>
      </c>
      <c r="P516">
        <v>20.436499999999999</v>
      </c>
      <c r="Q516">
        <v>8.1999999999999993</v>
      </c>
    </row>
    <row r="517" spans="1:17" x14ac:dyDescent="0.3">
      <c r="A517" t="s">
        <v>551</v>
      </c>
      <c r="B517" t="s">
        <v>25</v>
      </c>
      <c r="C517" t="s">
        <v>26</v>
      </c>
      <c r="D517" t="s">
        <v>20</v>
      </c>
      <c r="E517" t="s">
        <v>21</v>
      </c>
      <c r="F517" t="s">
        <v>46</v>
      </c>
      <c r="G517">
        <v>51.47</v>
      </c>
      <c r="H517">
        <v>1</v>
      </c>
      <c r="I517">
        <v>2.5735000000000001</v>
      </c>
      <c r="J517">
        <v>54.043500000000002</v>
      </c>
      <c r="K517" s="1">
        <v>43542</v>
      </c>
      <c r="L517" s="2">
        <v>0.66111111111111109</v>
      </c>
      <c r="M517" t="s">
        <v>23</v>
      </c>
      <c r="N517">
        <v>51.47</v>
      </c>
      <c r="O517">
        <v>4.7619047620000003</v>
      </c>
      <c r="P517">
        <v>2.5735000000000001</v>
      </c>
      <c r="Q517">
        <v>8.5</v>
      </c>
    </row>
    <row r="518" spans="1:17" x14ac:dyDescent="0.3">
      <c r="A518" t="s">
        <v>552</v>
      </c>
      <c r="B518" t="s">
        <v>42</v>
      </c>
      <c r="C518" t="s">
        <v>43</v>
      </c>
      <c r="D518" t="s">
        <v>20</v>
      </c>
      <c r="E518" t="s">
        <v>31</v>
      </c>
      <c r="F518" t="s">
        <v>22</v>
      </c>
      <c r="G518">
        <v>54.86</v>
      </c>
      <c r="H518">
        <v>5</v>
      </c>
      <c r="I518">
        <v>13.715</v>
      </c>
      <c r="J518">
        <v>288.01499999999999</v>
      </c>
      <c r="K518" s="1">
        <v>43553</v>
      </c>
      <c r="L518" s="2">
        <v>0.70000000000000007</v>
      </c>
      <c r="M518" t="s">
        <v>23</v>
      </c>
      <c r="N518">
        <v>274.3</v>
      </c>
      <c r="O518">
        <v>4.7619047620000003</v>
      </c>
      <c r="P518">
        <v>13.715</v>
      </c>
      <c r="Q518">
        <v>9.8000000000000007</v>
      </c>
    </row>
    <row r="519" spans="1:17" x14ac:dyDescent="0.3">
      <c r="A519" t="s">
        <v>553</v>
      </c>
      <c r="B519" t="s">
        <v>25</v>
      </c>
      <c r="C519" t="s">
        <v>26</v>
      </c>
      <c r="D519" t="s">
        <v>20</v>
      </c>
      <c r="E519" t="s">
        <v>31</v>
      </c>
      <c r="F519" t="s">
        <v>32</v>
      </c>
      <c r="G519">
        <v>39.39</v>
      </c>
      <c r="H519">
        <v>5</v>
      </c>
      <c r="I519">
        <v>9.8475000000000001</v>
      </c>
      <c r="J519">
        <v>206.79750000000001</v>
      </c>
      <c r="K519" s="1">
        <v>43487</v>
      </c>
      <c r="L519" s="2">
        <v>0.8652777777777777</v>
      </c>
      <c r="M519" t="s">
        <v>33</v>
      </c>
      <c r="N519">
        <v>196.95</v>
      </c>
      <c r="O519">
        <v>4.7619047620000003</v>
      </c>
      <c r="P519">
        <v>9.8475000000000001</v>
      </c>
      <c r="Q519">
        <v>8.6999999999999993</v>
      </c>
    </row>
    <row r="520" spans="1:17" x14ac:dyDescent="0.3">
      <c r="A520" t="s">
        <v>554</v>
      </c>
      <c r="B520" t="s">
        <v>18</v>
      </c>
      <c r="C520" t="s">
        <v>19</v>
      </c>
      <c r="D520" t="s">
        <v>27</v>
      </c>
      <c r="E520" t="s">
        <v>31</v>
      </c>
      <c r="F520" t="s">
        <v>32</v>
      </c>
      <c r="G520">
        <v>34.729999999999997</v>
      </c>
      <c r="H520">
        <v>2</v>
      </c>
      <c r="I520">
        <v>3.4729999999999999</v>
      </c>
      <c r="J520">
        <v>72.933000000000007</v>
      </c>
      <c r="K520" s="1">
        <v>43525</v>
      </c>
      <c r="L520" s="2">
        <v>0.7597222222222223</v>
      </c>
      <c r="M520" t="s">
        <v>23</v>
      </c>
      <c r="N520">
        <v>69.459999999999994</v>
      </c>
      <c r="O520">
        <v>4.7619047620000003</v>
      </c>
      <c r="P520">
        <v>3.4729999999999999</v>
      </c>
      <c r="Q520">
        <v>9.6999999999999993</v>
      </c>
    </row>
    <row r="521" spans="1:17" x14ac:dyDescent="0.3">
      <c r="A521" t="s">
        <v>555</v>
      </c>
      <c r="B521" t="s">
        <v>25</v>
      </c>
      <c r="C521" t="s">
        <v>26</v>
      </c>
      <c r="D521" t="s">
        <v>20</v>
      </c>
      <c r="E521" t="s">
        <v>31</v>
      </c>
      <c r="F521" t="s">
        <v>36</v>
      </c>
      <c r="G521">
        <v>71.92</v>
      </c>
      <c r="H521">
        <v>5</v>
      </c>
      <c r="I521">
        <v>17.98</v>
      </c>
      <c r="J521">
        <v>377.58</v>
      </c>
      <c r="K521" s="1">
        <v>43482</v>
      </c>
      <c r="L521" s="2">
        <v>0.62847222222222221</v>
      </c>
      <c r="M521" t="s">
        <v>33</v>
      </c>
      <c r="N521">
        <v>359.6</v>
      </c>
      <c r="O521">
        <v>4.7619047620000003</v>
      </c>
      <c r="P521">
        <v>17.98</v>
      </c>
      <c r="Q521">
        <v>4.3</v>
      </c>
    </row>
    <row r="522" spans="1:17" x14ac:dyDescent="0.3">
      <c r="A522" t="s">
        <v>556</v>
      </c>
      <c r="B522" t="s">
        <v>42</v>
      </c>
      <c r="C522" t="s">
        <v>43</v>
      </c>
      <c r="D522" t="s">
        <v>27</v>
      </c>
      <c r="E522" t="s">
        <v>21</v>
      </c>
      <c r="F522" t="s">
        <v>28</v>
      </c>
      <c r="G522">
        <v>45.71</v>
      </c>
      <c r="H522">
        <v>3</v>
      </c>
      <c r="I522">
        <v>6.8564999999999996</v>
      </c>
      <c r="J522">
        <v>143.98650000000001</v>
      </c>
      <c r="K522" s="1">
        <v>43550</v>
      </c>
      <c r="L522" s="2">
        <v>0.44027777777777777</v>
      </c>
      <c r="M522" t="s">
        <v>33</v>
      </c>
      <c r="N522">
        <v>137.13</v>
      </c>
      <c r="O522">
        <v>4.7619047620000003</v>
      </c>
      <c r="P522">
        <v>6.8564999999999996</v>
      </c>
      <c r="Q522">
        <v>7.7</v>
      </c>
    </row>
    <row r="523" spans="1:17" x14ac:dyDescent="0.3">
      <c r="A523" t="s">
        <v>557</v>
      </c>
      <c r="B523" t="s">
        <v>25</v>
      </c>
      <c r="C523" t="s">
        <v>26</v>
      </c>
      <c r="D523" t="s">
        <v>20</v>
      </c>
      <c r="E523" t="s">
        <v>21</v>
      </c>
      <c r="F523" t="s">
        <v>32</v>
      </c>
      <c r="G523">
        <v>83.17</v>
      </c>
      <c r="H523">
        <v>6</v>
      </c>
      <c r="I523">
        <v>24.951000000000001</v>
      </c>
      <c r="J523">
        <v>523.971</v>
      </c>
      <c r="K523" s="1">
        <v>43544</v>
      </c>
      <c r="L523" s="2">
        <v>0.47430555555555554</v>
      </c>
      <c r="M523" t="s">
        <v>29</v>
      </c>
      <c r="N523">
        <v>499.02</v>
      </c>
      <c r="O523">
        <v>4.7619047620000003</v>
      </c>
      <c r="P523">
        <v>24.951000000000001</v>
      </c>
      <c r="Q523">
        <v>7.3</v>
      </c>
    </row>
    <row r="524" spans="1:17" x14ac:dyDescent="0.3">
      <c r="A524" t="s">
        <v>558</v>
      </c>
      <c r="B524" t="s">
        <v>18</v>
      </c>
      <c r="C524" t="s">
        <v>19</v>
      </c>
      <c r="D524" t="s">
        <v>20</v>
      </c>
      <c r="E524" t="s">
        <v>21</v>
      </c>
      <c r="F524" t="s">
        <v>32</v>
      </c>
      <c r="G524">
        <v>37.44</v>
      </c>
      <c r="H524">
        <v>6</v>
      </c>
      <c r="I524">
        <v>11.231999999999999</v>
      </c>
      <c r="J524">
        <v>235.87200000000001</v>
      </c>
      <c r="K524" s="1">
        <v>43502</v>
      </c>
      <c r="L524" s="2">
        <v>0.57986111111111105</v>
      </c>
      <c r="M524" t="s">
        <v>33</v>
      </c>
      <c r="N524">
        <v>224.64</v>
      </c>
      <c r="O524">
        <v>4.7619047620000003</v>
      </c>
      <c r="P524">
        <v>11.231999999999999</v>
      </c>
      <c r="Q524">
        <v>5.9</v>
      </c>
    </row>
    <row r="525" spans="1:17" x14ac:dyDescent="0.3">
      <c r="A525" t="s">
        <v>559</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3">
      <c r="A526" t="s">
        <v>560</v>
      </c>
      <c r="B526" t="s">
        <v>18</v>
      </c>
      <c r="C526" t="s">
        <v>19</v>
      </c>
      <c r="D526" t="s">
        <v>27</v>
      </c>
      <c r="E526" t="s">
        <v>31</v>
      </c>
      <c r="F526" t="s">
        <v>44</v>
      </c>
      <c r="G526">
        <v>81.709999999999994</v>
      </c>
      <c r="H526">
        <v>6</v>
      </c>
      <c r="I526">
        <v>24.513000000000002</v>
      </c>
      <c r="J526">
        <v>514.77300000000002</v>
      </c>
      <c r="K526" s="1">
        <v>43492</v>
      </c>
      <c r="L526" s="2">
        <v>0.60833333333333328</v>
      </c>
      <c r="M526" t="s">
        <v>33</v>
      </c>
      <c r="N526">
        <v>490.26</v>
      </c>
      <c r="O526">
        <v>4.7619047620000003</v>
      </c>
      <c r="P526">
        <v>24.513000000000002</v>
      </c>
      <c r="Q526">
        <v>8</v>
      </c>
    </row>
    <row r="527" spans="1:17" x14ac:dyDescent="0.3">
      <c r="A527" t="s">
        <v>561</v>
      </c>
      <c r="B527" t="s">
        <v>18</v>
      </c>
      <c r="C527" t="s">
        <v>19</v>
      </c>
      <c r="D527" t="s">
        <v>20</v>
      </c>
      <c r="E527" t="s">
        <v>21</v>
      </c>
      <c r="F527" t="s">
        <v>36</v>
      </c>
      <c r="G527">
        <v>91.41</v>
      </c>
      <c r="H527">
        <v>5</v>
      </c>
      <c r="I527">
        <v>22.852499999999999</v>
      </c>
      <c r="J527">
        <v>479.90249999999997</v>
      </c>
      <c r="K527" s="1">
        <v>43521</v>
      </c>
      <c r="L527" s="2">
        <v>0.66875000000000007</v>
      </c>
      <c r="M527" t="s">
        <v>23</v>
      </c>
      <c r="N527">
        <v>457.05</v>
      </c>
      <c r="O527">
        <v>4.7619047620000003</v>
      </c>
      <c r="P527">
        <v>22.852499999999999</v>
      </c>
      <c r="Q527">
        <v>7.1</v>
      </c>
    </row>
    <row r="528" spans="1:17" x14ac:dyDescent="0.3">
      <c r="A528" t="s">
        <v>562</v>
      </c>
      <c r="B528" t="s">
        <v>42</v>
      </c>
      <c r="C528" t="s">
        <v>43</v>
      </c>
      <c r="D528" t="s">
        <v>27</v>
      </c>
      <c r="E528" t="s">
        <v>31</v>
      </c>
      <c r="F528" t="s">
        <v>46</v>
      </c>
      <c r="G528">
        <v>39.21</v>
      </c>
      <c r="H528">
        <v>4</v>
      </c>
      <c r="I528">
        <v>7.8419999999999996</v>
      </c>
      <c r="J528">
        <v>164.68199999999999</v>
      </c>
      <c r="K528" s="1">
        <v>43481</v>
      </c>
      <c r="L528" s="2">
        <v>0.8354166666666667</v>
      </c>
      <c r="M528" t="s">
        <v>33</v>
      </c>
      <c r="N528">
        <v>156.84</v>
      </c>
      <c r="O528">
        <v>4.7619047620000003</v>
      </c>
      <c r="P528">
        <v>7.8419999999999996</v>
      </c>
      <c r="Q528">
        <v>9</v>
      </c>
    </row>
    <row r="529" spans="1:17" x14ac:dyDescent="0.3">
      <c r="A529" t="s">
        <v>563</v>
      </c>
      <c r="B529" t="s">
        <v>42</v>
      </c>
      <c r="C529" t="s">
        <v>43</v>
      </c>
      <c r="D529" t="s">
        <v>20</v>
      </c>
      <c r="E529" t="s">
        <v>31</v>
      </c>
      <c r="F529" t="s">
        <v>46</v>
      </c>
      <c r="G529">
        <v>59.86</v>
      </c>
      <c r="H529">
        <v>2</v>
      </c>
      <c r="I529">
        <v>5.9859999999999998</v>
      </c>
      <c r="J529">
        <v>125.706</v>
      </c>
      <c r="K529" s="1">
        <v>43478</v>
      </c>
      <c r="L529" s="2">
        <v>0.62152777777777779</v>
      </c>
      <c r="M529" t="s">
        <v>23</v>
      </c>
      <c r="N529">
        <v>119.72</v>
      </c>
      <c r="O529">
        <v>4.7619047620000003</v>
      </c>
      <c r="P529">
        <v>5.9859999999999998</v>
      </c>
      <c r="Q529">
        <v>6.7</v>
      </c>
    </row>
    <row r="530" spans="1:17" x14ac:dyDescent="0.3">
      <c r="A530" t="s">
        <v>564</v>
      </c>
      <c r="B530" t="s">
        <v>42</v>
      </c>
      <c r="C530" t="s">
        <v>43</v>
      </c>
      <c r="D530" t="s">
        <v>20</v>
      </c>
      <c r="E530" t="s">
        <v>21</v>
      </c>
      <c r="F530" t="s">
        <v>44</v>
      </c>
      <c r="G530">
        <v>54.36</v>
      </c>
      <c r="H530">
        <v>10</v>
      </c>
      <c r="I530">
        <v>27.18</v>
      </c>
      <c r="J530">
        <v>570.78</v>
      </c>
      <c r="K530" s="1">
        <v>43503</v>
      </c>
      <c r="L530" s="2">
        <v>0.4777777777777778</v>
      </c>
      <c r="M530" t="s">
        <v>33</v>
      </c>
      <c r="N530">
        <v>543.6</v>
      </c>
      <c r="O530">
        <v>4.7619047620000003</v>
      </c>
      <c r="P530">
        <v>27.18</v>
      </c>
      <c r="Q530">
        <v>6.1</v>
      </c>
    </row>
    <row r="531" spans="1:17" x14ac:dyDescent="0.3">
      <c r="A531" t="s">
        <v>565</v>
      </c>
      <c r="B531" t="s">
        <v>18</v>
      </c>
      <c r="C531" t="s">
        <v>19</v>
      </c>
      <c r="D531" t="s">
        <v>27</v>
      </c>
      <c r="E531" t="s">
        <v>31</v>
      </c>
      <c r="F531" t="s">
        <v>36</v>
      </c>
      <c r="G531">
        <v>98.09</v>
      </c>
      <c r="H531">
        <v>9</v>
      </c>
      <c r="I531">
        <v>44.140500000000003</v>
      </c>
      <c r="J531">
        <v>926.95050000000003</v>
      </c>
      <c r="K531" s="1">
        <v>43513</v>
      </c>
      <c r="L531" s="2">
        <v>0.82013888888888886</v>
      </c>
      <c r="M531" t="s">
        <v>29</v>
      </c>
      <c r="N531">
        <v>882.81</v>
      </c>
      <c r="O531">
        <v>4.7619047620000003</v>
      </c>
      <c r="P531">
        <v>44.140500000000003</v>
      </c>
      <c r="Q531">
        <v>9.3000000000000007</v>
      </c>
    </row>
    <row r="532" spans="1:17" x14ac:dyDescent="0.3">
      <c r="A532" t="s">
        <v>566</v>
      </c>
      <c r="B532" t="s">
        <v>18</v>
      </c>
      <c r="C532" t="s">
        <v>19</v>
      </c>
      <c r="D532" t="s">
        <v>27</v>
      </c>
      <c r="E532" t="s">
        <v>31</v>
      </c>
      <c r="F532" t="s">
        <v>22</v>
      </c>
      <c r="G532">
        <v>25.43</v>
      </c>
      <c r="H532">
        <v>6</v>
      </c>
      <c r="I532">
        <v>7.6289999999999996</v>
      </c>
      <c r="J532">
        <v>160.209</v>
      </c>
      <c r="K532" s="1">
        <v>43508</v>
      </c>
      <c r="L532" s="2">
        <v>0.79236111111111107</v>
      </c>
      <c r="M532" t="s">
        <v>23</v>
      </c>
      <c r="N532">
        <v>152.58000000000001</v>
      </c>
      <c r="O532">
        <v>4.7619047620000003</v>
      </c>
      <c r="P532">
        <v>7.6289999999999996</v>
      </c>
      <c r="Q532">
        <v>7</v>
      </c>
    </row>
    <row r="533" spans="1:17" x14ac:dyDescent="0.3">
      <c r="A533" t="s">
        <v>567</v>
      </c>
      <c r="B533" t="s">
        <v>18</v>
      </c>
      <c r="C533" t="s">
        <v>19</v>
      </c>
      <c r="D533" t="s">
        <v>20</v>
      </c>
      <c r="E533" t="s">
        <v>31</v>
      </c>
      <c r="F533" t="s">
        <v>46</v>
      </c>
      <c r="G533">
        <v>86.68</v>
      </c>
      <c r="H533">
        <v>8</v>
      </c>
      <c r="I533">
        <v>34.671999999999997</v>
      </c>
      <c r="J533">
        <v>728.11199999999997</v>
      </c>
      <c r="K533" s="1">
        <v>43489</v>
      </c>
      <c r="L533" s="2">
        <v>0.75277777777777777</v>
      </c>
      <c r="M533" t="s">
        <v>33</v>
      </c>
      <c r="N533">
        <v>693.44</v>
      </c>
      <c r="O533">
        <v>4.7619047620000003</v>
      </c>
      <c r="P533">
        <v>34.671999999999997</v>
      </c>
      <c r="Q533">
        <v>7.2</v>
      </c>
    </row>
    <row r="534" spans="1:17" x14ac:dyDescent="0.3">
      <c r="A534" t="s">
        <v>568</v>
      </c>
      <c r="B534" t="s">
        <v>42</v>
      </c>
      <c r="C534" t="s">
        <v>43</v>
      </c>
      <c r="D534" t="s">
        <v>27</v>
      </c>
      <c r="E534" t="s">
        <v>31</v>
      </c>
      <c r="F534" t="s">
        <v>28</v>
      </c>
      <c r="G534">
        <v>22.95</v>
      </c>
      <c r="H534">
        <v>10</v>
      </c>
      <c r="I534">
        <v>11.475</v>
      </c>
      <c r="J534">
        <v>240.97499999999999</v>
      </c>
      <c r="K534" s="1">
        <v>43502</v>
      </c>
      <c r="L534" s="2">
        <v>0.80555555555555547</v>
      </c>
      <c r="M534" t="s">
        <v>23</v>
      </c>
      <c r="N534">
        <v>229.5</v>
      </c>
      <c r="O534">
        <v>4.7619047620000003</v>
      </c>
      <c r="P534">
        <v>11.475</v>
      </c>
      <c r="Q534">
        <v>8.1999999999999993</v>
      </c>
    </row>
    <row r="535" spans="1:17" x14ac:dyDescent="0.3">
      <c r="A535" t="s">
        <v>569</v>
      </c>
      <c r="B535" t="s">
        <v>25</v>
      </c>
      <c r="C535" t="s">
        <v>26</v>
      </c>
      <c r="D535" t="s">
        <v>27</v>
      </c>
      <c r="E535" t="s">
        <v>21</v>
      </c>
      <c r="F535" t="s">
        <v>44</v>
      </c>
      <c r="G535">
        <v>16.309999999999999</v>
      </c>
      <c r="H535">
        <v>9</v>
      </c>
      <c r="I535">
        <v>7.3395000000000001</v>
      </c>
      <c r="J535">
        <v>154.12950000000001</v>
      </c>
      <c r="K535" s="1">
        <v>43550</v>
      </c>
      <c r="L535" s="2">
        <v>0.4381944444444445</v>
      </c>
      <c r="M535" t="s">
        <v>23</v>
      </c>
      <c r="N535">
        <v>146.79</v>
      </c>
      <c r="O535">
        <v>4.7619047620000003</v>
      </c>
      <c r="P535">
        <v>7.3395000000000001</v>
      </c>
      <c r="Q535">
        <v>8.4</v>
      </c>
    </row>
    <row r="536" spans="1:17" x14ac:dyDescent="0.3">
      <c r="A536" t="s">
        <v>570</v>
      </c>
      <c r="B536" t="s">
        <v>18</v>
      </c>
      <c r="C536" t="s">
        <v>19</v>
      </c>
      <c r="D536" t="s">
        <v>27</v>
      </c>
      <c r="E536" t="s">
        <v>21</v>
      </c>
      <c r="F536" t="s">
        <v>32</v>
      </c>
      <c r="G536">
        <v>28.32</v>
      </c>
      <c r="H536">
        <v>5</v>
      </c>
      <c r="I536">
        <v>7.08</v>
      </c>
      <c r="J536">
        <v>148.68</v>
      </c>
      <c r="K536" s="1">
        <v>43535</v>
      </c>
      <c r="L536" s="2">
        <v>0.56111111111111112</v>
      </c>
      <c r="M536" t="s">
        <v>23</v>
      </c>
      <c r="N536">
        <v>141.6</v>
      </c>
      <c r="O536">
        <v>4.7619047620000003</v>
      </c>
      <c r="P536">
        <v>7.08</v>
      </c>
      <c r="Q536">
        <v>6.2</v>
      </c>
    </row>
    <row r="537" spans="1:17" x14ac:dyDescent="0.3">
      <c r="A537" t="s">
        <v>571</v>
      </c>
      <c r="B537" t="s">
        <v>25</v>
      </c>
      <c r="C537" t="s">
        <v>26</v>
      </c>
      <c r="D537" t="s">
        <v>27</v>
      </c>
      <c r="E537" t="s">
        <v>31</v>
      </c>
      <c r="F537" t="s">
        <v>32</v>
      </c>
      <c r="G537">
        <v>16.670000000000002</v>
      </c>
      <c r="H537">
        <v>7</v>
      </c>
      <c r="I537">
        <v>5.8345000000000002</v>
      </c>
      <c r="J537">
        <v>122.5245</v>
      </c>
      <c r="K537" s="1">
        <v>43503</v>
      </c>
      <c r="L537" s="2">
        <v>0.48333333333333334</v>
      </c>
      <c r="M537" t="s">
        <v>23</v>
      </c>
      <c r="N537">
        <v>116.69</v>
      </c>
      <c r="O537">
        <v>4.7619047620000003</v>
      </c>
      <c r="P537">
        <v>5.8345000000000002</v>
      </c>
      <c r="Q537">
        <v>7.4</v>
      </c>
    </row>
    <row r="538" spans="1:17" x14ac:dyDescent="0.3">
      <c r="A538" t="s">
        <v>572</v>
      </c>
      <c r="B538" t="s">
        <v>42</v>
      </c>
      <c r="C538" t="s">
        <v>43</v>
      </c>
      <c r="D538" t="s">
        <v>20</v>
      </c>
      <c r="E538" t="s">
        <v>21</v>
      </c>
      <c r="F538" t="s">
        <v>46</v>
      </c>
      <c r="G538">
        <v>73.959999999999994</v>
      </c>
      <c r="H538">
        <v>1</v>
      </c>
      <c r="I538">
        <v>3.698</v>
      </c>
      <c r="J538">
        <v>77.658000000000001</v>
      </c>
      <c r="K538" s="1">
        <v>43470</v>
      </c>
      <c r="L538" s="2">
        <v>0.48055555555555557</v>
      </c>
      <c r="M538" t="s">
        <v>33</v>
      </c>
      <c r="N538">
        <v>73.959999999999994</v>
      </c>
      <c r="O538">
        <v>4.7619047620000003</v>
      </c>
      <c r="P538">
        <v>3.698</v>
      </c>
      <c r="Q538">
        <v>5</v>
      </c>
    </row>
    <row r="539" spans="1:17" x14ac:dyDescent="0.3">
      <c r="A539" t="s">
        <v>573</v>
      </c>
      <c r="B539" t="s">
        <v>18</v>
      </c>
      <c r="C539" t="s">
        <v>19</v>
      </c>
      <c r="D539" t="s">
        <v>27</v>
      </c>
      <c r="E539" t="s">
        <v>31</v>
      </c>
      <c r="F539" t="s">
        <v>32</v>
      </c>
      <c r="G539">
        <v>97.94</v>
      </c>
      <c r="H539">
        <v>1</v>
      </c>
      <c r="I539">
        <v>4.8970000000000002</v>
      </c>
      <c r="J539">
        <v>102.837</v>
      </c>
      <c r="K539" s="1">
        <v>43531</v>
      </c>
      <c r="L539" s="2">
        <v>0.48888888888888887</v>
      </c>
      <c r="M539" t="s">
        <v>23</v>
      </c>
      <c r="N539">
        <v>97.94</v>
      </c>
      <c r="O539">
        <v>4.7619047620000003</v>
      </c>
      <c r="P539">
        <v>4.8970000000000002</v>
      </c>
      <c r="Q539">
        <v>6.9</v>
      </c>
    </row>
    <row r="540" spans="1:17" x14ac:dyDescent="0.3">
      <c r="A540" t="s">
        <v>574</v>
      </c>
      <c r="B540" t="s">
        <v>18</v>
      </c>
      <c r="C540" t="s">
        <v>19</v>
      </c>
      <c r="D540" t="s">
        <v>27</v>
      </c>
      <c r="E540" t="s">
        <v>21</v>
      </c>
      <c r="F540" t="s">
        <v>46</v>
      </c>
      <c r="G540">
        <v>73.05</v>
      </c>
      <c r="H540">
        <v>4</v>
      </c>
      <c r="I540">
        <v>14.61</v>
      </c>
      <c r="J540">
        <v>306.81</v>
      </c>
      <c r="K540" s="1">
        <v>43521</v>
      </c>
      <c r="L540" s="2">
        <v>0.71944444444444444</v>
      </c>
      <c r="M540" t="s">
        <v>33</v>
      </c>
      <c r="N540">
        <v>292.2</v>
      </c>
      <c r="O540">
        <v>4.7619047620000003</v>
      </c>
      <c r="P540">
        <v>14.61</v>
      </c>
      <c r="Q540">
        <v>4.9000000000000004</v>
      </c>
    </row>
    <row r="541" spans="1:17" x14ac:dyDescent="0.3">
      <c r="A541" t="s">
        <v>575</v>
      </c>
      <c r="B541" t="s">
        <v>25</v>
      </c>
      <c r="C541" t="s">
        <v>26</v>
      </c>
      <c r="D541" t="s">
        <v>20</v>
      </c>
      <c r="E541" t="s">
        <v>21</v>
      </c>
      <c r="F541" t="s">
        <v>44</v>
      </c>
      <c r="G541">
        <v>87.48</v>
      </c>
      <c r="H541">
        <v>6</v>
      </c>
      <c r="I541">
        <v>26.244</v>
      </c>
      <c r="J541">
        <v>551.12400000000002</v>
      </c>
      <c r="K541" s="1">
        <v>43497</v>
      </c>
      <c r="L541" s="2">
        <v>0.77986111111111101</v>
      </c>
      <c r="M541" t="s">
        <v>23</v>
      </c>
      <c r="N541">
        <v>524.88</v>
      </c>
      <c r="O541">
        <v>4.7619047620000003</v>
      </c>
      <c r="P541">
        <v>26.244</v>
      </c>
      <c r="Q541">
        <v>5.0999999999999996</v>
      </c>
    </row>
    <row r="542" spans="1:17" x14ac:dyDescent="0.3">
      <c r="A542" t="s">
        <v>576</v>
      </c>
      <c r="B542" t="s">
        <v>18</v>
      </c>
      <c r="C542" t="s">
        <v>19</v>
      </c>
      <c r="D542" t="s">
        <v>27</v>
      </c>
      <c r="E542" t="s">
        <v>31</v>
      </c>
      <c r="F542" t="s">
        <v>32</v>
      </c>
      <c r="G542">
        <v>30.68</v>
      </c>
      <c r="H542">
        <v>3</v>
      </c>
      <c r="I542">
        <v>4.6020000000000003</v>
      </c>
      <c r="J542">
        <v>96.641999999999996</v>
      </c>
      <c r="K542" s="1">
        <v>43487</v>
      </c>
      <c r="L542" s="2">
        <v>0.45833333333333331</v>
      </c>
      <c r="M542" t="s">
        <v>23</v>
      </c>
      <c r="N542">
        <v>92.04</v>
      </c>
      <c r="O542">
        <v>4.7619047620000003</v>
      </c>
      <c r="P542">
        <v>4.6020000000000003</v>
      </c>
      <c r="Q542">
        <v>9.1</v>
      </c>
    </row>
    <row r="543" spans="1:17" x14ac:dyDescent="0.3">
      <c r="A543" t="s">
        <v>577</v>
      </c>
      <c r="B543" t="s">
        <v>25</v>
      </c>
      <c r="C543" t="s">
        <v>26</v>
      </c>
      <c r="D543" t="s">
        <v>20</v>
      </c>
      <c r="E543" t="s">
        <v>31</v>
      </c>
      <c r="F543" t="s">
        <v>22</v>
      </c>
      <c r="G543">
        <v>75.88</v>
      </c>
      <c r="H543">
        <v>1</v>
      </c>
      <c r="I543">
        <v>3.794</v>
      </c>
      <c r="J543">
        <v>79.674000000000007</v>
      </c>
      <c r="K543" s="1">
        <v>43468</v>
      </c>
      <c r="L543" s="2">
        <v>0.4375</v>
      </c>
      <c r="M543" t="s">
        <v>33</v>
      </c>
      <c r="N543">
        <v>75.88</v>
      </c>
      <c r="O543">
        <v>4.7619047620000003</v>
      </c>
      <c r="P543">
        <v>3.794</v>
      </c>
      <c r="Q543">
        <v>7.1</v>
      </c>
    </row>
    <row r="544" spans="1:17" x14ac:dyDescent="0.3">
      <c r="A544" t="s">
        <v>578</v>
      </c>
      <c r="B544" t="s">
        <v>42</v>
      </c>
      <c r="C544" t="s">
        <v>43</v>
      </c>
      <c r="D544" t="s">
        <v>20</v>
      </c>
      <c r="E544" t="s">
        <v>21</v>
      </c>
      <c r="F544" t="s">
        <v>36</v>
      </c>
      <c r="G544">
        <v>20.18</v>
      </c>
      <c r="H544">
        <v>4</v>
      </c>
      <c r="I544">
        <v>4.0359999999999996</v>
      </c>
      <c r="J544">
        <v>84.756</v>
      </c>
      <c r="K544" s="1">
        <v>43509</v>
      </c>
      <c r="L544" s="2">
        <v>0.50972222222222219</v>
      </c>
      <c r="M544" t="s">
        <v>33</v>
      </c>
      <c r="N544">
        <v>80.72</v>
      </c>
      <c r="O544">
        <v>4.7619047620000003</v>
      </c>
      <c r="P544">
        <v>4.0359999999999996</v>
      </c>
      <c r="Q544">
        <v>5</v>
      </c>
    </row>
    <row r="545" spans="1:17" x14ac:dyDescent="0.3">
      <c r="A545" t="s">
        <v>579</v>
      </c>
      <c r="B545" t="s">
        <v>25</v>
      </c>
      <c r="C545" t="s">
        <v>26</v>
      </c>
      <c r="D545" t="s">
        <v>20</v>
      </c>
      <c r="E545" t="s">
        <v>31</v>
      </c>
      <c r="F545" t="s">
        <v>28</v>
      </c>
      <c r="G545">
        <v>18.77</v>
      </c>
      <c r="H545">
        <v>6</v>
      </c>
      <c r="I545">
        <v>5.6310000000000002</v>
      </c>
      <c r="J545">
        <v>118.251</v>
      </c>
      <c r="K545" s="1">
        <v>43493</v>
      </c>
      <c r="L545" s="2">
        <v>0.69652777777777775</v>
      </c>
      <c r="M545" t="s">
        <v>33</v>
      </c>
      <c r="N545">
        <v>112.62</v>
      </c>
      <c r="O545">
        <v>4.7619047620000003</v>
      </c>
      <c r="P545">
        <v>5.6310000000000002</v>
      </c>
      <c r="Q545">
        <v>5.5</v>
      </c>
    </row>
    <row r="546" spans="1:17" x14ac:dyDescent="0.3">
      <c r="A546" t="s">
        <v>580</v>
      </c>
      <c r="B546" t="s">
        <v>42</v>
      </c>
      <c r="C546" t="s">
        <v>43</v>
      </c>
      <c r="D546" t="s">
        <v>27</v>
      </c>
      <c r="E546" t="s">
        <v>21</v>
      </c>
      <c r="F546" t="s">
        <v>44</v>
      </c>
      <c r="G546">
        <v>71.2</v>
      </c>
      <c r="H546">
        <v>1</v>
      </c>
      <c r="I546">
        <v>3.56</v>
      </c>
      <c r="J546">
        <v>74.760000000000005</v>
      </c>
      <c r="K546" s="1">
        <v>43470</v>
      </c>
      <c r="L546" s="2">
        <v>0.86111111111111116</v>
      </c>
      <c r="M546" t="s">
        <v>33</v>
      </c>
      <c r="N546">
        <v>71.2</v>
      </c>
      <c r="O546">
        <v>4.7619047620000003</v>
      </c>
      <c r="P546">
        <v>3.56</v>
      </c>
      <c r="Q546">
        <v>9.1999999999999993</v>
      </c>
    </row>
    <row r="547" spans="1:17" x14ac:dyDescent="0.3">
      <c r="A547" t="s">
        <v>581</v>
      </c>
      <c r="B547" t="s">
        <v>42</v>
      </c>
      <c r="C547" t="s">
        <v>43</v>
      </c>
      <c r="D547" t="s">
        <v>20</v>
      </c>
      <c r="E547" t="s">
        <v>31</v>
      </c>
      <c r="F547" t="s">
        <v>32</v>
      </c>
      <c r="G547">
        <v>38.81</v>
      </c>
      <c r="H547">
        <v>4</v>
      </c>
      <c r="I547">
        <v>7.7619999999999996</v>
      </c>
      <c r="J547">
        <v>163.00200000000001</v>
      </c>
      <c r="K547" s="1">
        <v>43543</v>
      </c>
      <c r="L547" s="2">
        <v>0.56944444444444442</v>
      </c>
      <c r="M547" t="s">
        <v>23</v>
      </c>
      <c r="N547">
        <v>155.24</v>
      </c>
      <c r="O547">
        <v>4.7619047620000003</v>
      </c>
      <c r="P547">
        <v>7.7619999999999996</v>
      </c>
      <c r="Q547">
        <v>4.9000000000000004</v>
      </c>
    </row>
    <row r="548" spans="1:17" x14ac:dyDescent="0.3">
      <c r="A548" t="s">
        <v>582</v>
      </c>
      <c r="B548" t="s">
        <v>18</v>
      </c>
      <c r="C548" t="s">
        <v>19</v>
      </c>
      <c r="D548" t="s">
        <v>27</v>
      </c>
      <c r="E548" t="s">
        <v>21</v>
      </c>
      <c r="F548" t="s">
        <v>46</v>
      </c>
      <c r="G548">
        <v>29.42</v>
      </c>
      <c r="H548">
        <v>10</v>
      </c>
      <c r="I548">
        <v>14.71</v>
      </c>
      <c r="J548">
        <v>308.91000000000003</v>
      </c>
      <c r="K548" s="1">
        <v>43477</v>
      </c>
      <c r="L548" s="2">
        <v>0.68263888888888891</v>
      </c>
      <c r="M548" t="s">
        <v>23</v>
      </c>
      <c r="N548">
        <v>294.2</v>
      </c>
      <c r="O548">
        <v>4.7619047620000003</v>
      </c>
      <c r="P548">
        <v>14.71</v>
      </c>
      <c r="Q548">
        <v>8.9</v>
      </c>
    </row>
    <row r="549" spans="1:17" x14ac:dyDescent="0.3">
      <c r="A549" t="s">
        <v>583</v>
      </c>
      <c r="B549" t="s">
        <v>18</v>
      </c>
      <c r="C549" t="s">
        <v>19</v>
      </c>
      <c r="D549" t="s">
        <v>27</v>
      </c>
      <c r="E549" t="s">
        <v>31</v>
      </c>
      <c r="F549" t="s">
        <v>36</v>
      </c>
      <c r="G549">
        <v>60.95</v>
      </c>
      <c r="H549">
        <v>9</v>
      </c>
      <c r="I549">
        <v>27.427499999999998</v>
      </c>
      <c r="J549">
        <v>575.97749999999996</v>
      </c>
      <c r="K549" s="1">
        <v>43472</v>
      </c>
      <c r="L549" s="2">
        <v>0.50555555555555554</v>
      </c>
      <c r="M549" t="s">
        <v>33</v>
      </c>
      <c r="N549">
        <v>548.54999999999995</v>
      </c>
      <c r="O549">
        <v>4.7619047620000003</v>
      </c>
      <c r="P549">
        <v>27.427499999999998</v>
      </c>
      <c r="Q549">
        <v>6</v>
      </c>
    </row>
    <row r="550" spans="1:17" x14ac:dyDescent="0.3">
      <c r="A550" t="s">
        <v>584</v>
      </c>
      <c r="B550" t="s">
        <v>42</v>
      </c>
      <c r="C550" t="s">
        <v>43</v>
      </c>
      <c r="D550" t="s">
        <v>27</v>
      </c>
      <c r="E550" t="s">
        <v>21</v>
      </c>
      <c r="F550" t="s">
        <v>36</v>
      </c>
      <c r="G550">
        <v>51.54</v>
      </c>
      <c r="H550">
        <v>5</v>
      </c>
      <c r="I550">
        <v>12.885</v>
      </c>
      <c r="J550">
        <v>270.58499999999998</v>
      </c>
      <c r="K550" s="1">
        <v>43491</v>
      </c>
      <c r="L550" s="2">
        <v>0.73958333333333337</v>
      </c>
      <c r="M550" t="s">
        <v>29</v>
      </c>
      <c r="N550">
        <v>257.7</v>
      </c>
      <c r="O550">
        <v>4.7619047620000003</v>
      </c>
      <c r="P550">
        <v>12.885</v>
      </c>
      <c r="Q550">
        <v>4.2</v>
      </c>
    </row>
    <row r="551" spans="1:17" x14ac:dyDescent="0.3">
      <c r="A551" t="s">
        <v>585</v>
      </c>
      <c r="B551" t="s">
        <v>18</v>
      </c>
      <c r="C551" t="s">
        <v>19</v>
      </c>
      <c r="D551" t="s">
        <v>27</v>
      </c>
      <c r="E551" t="s">
        <v>21</v>
      </c>
      <c r="F551" t="s">
        <v>28</v>
      </c>
      <c r="G551">
        <v>66.06</v>
      </c>
      <c r="H551">
        <v>6</v>
      </c>
      <c r="I551">
        <v>19.818000000000001</v>
      </c>
      <c r="J551">
        <v>416.178</v>
      </c>
      <c r="K551" s="1">
        <v>43488</v>
      </c>
      <c r="L551" s="2">
        <v>0.43611111111111112</v>
      </c>
      <c r="M551" t="s">
        <v>29</v>
      </c>
      <c r="N551">
        <v>396.36</v>
      </c>
      <c r="O551">
        <v>4.7619047620000003</v>
      </c>
      <c r="P551">
        <v>19.818000000000001</v>
      </c>
      <c r="Q551">
        <v>7.3</v>
      </c>
    </row>
    <row r="552" spans="1:17" x14ac:dyDescent="0.3">
      <c r="A552" t="s">
        <v>586</v>
      </c>
      <c r="B552" t="s">
        <v>42</v>
      </c>
      <c r="C552" t="s">
        <v>43</v>
      </c>
      <c r="D552" t="s">
        <v>27</v>
      </c>
      <c r="E552" t="s">
        <v>31</v>
      </c>
      <c r="F552" t="s">
        <v>46</v>
      </c>
      <c r="G552">
        <v>57.27</v>
      </c>
      <c r="H552">
        <v>3</v>
      </c>
      <c r="I552">
        <v>8.5905000000000005</v>
      </c>
      <c r="J552">
        <v>180.40049999999999</v>
      </c>
      <c r="K552" s="1">
        <v>43505</v>
      </c>
      <c r="L552" s="2">
        <v>0.85486111111111107</v>
      </c>
      <c r="M552" t="s">
        <v>23</v>
      </c>
      <c r="N552">
        <v>171.81</v>
      </c>
      <c r="O552">
        <v>4.7619047620000003</v>
      </c>
      <c r="P552">
        <v>8.5905000000000005</v>
      </c>
      <c r="Q552">
        <v>6.5</v>
      </c>
    </row>
    <row r="553" spans="1:17" x14ac:dyDescent="0.3">
      <c r="A553" t="s">
        <v>587</v>
      </c>
      <c r="B553" t="s">
        <v>42</v>
      </c>
      <c r="C553" t="s">
        <v>43</v>
      </c>
      <c r="D553" t="s">
        <v>27</v>
      </c>
      <c r="E553" t="s">
        <v>21</v>
      </c>
      <c r="F553" t="s">
        <v>46</v>
      </c>
      <c r="G553">
        <v>54.31</v>
      </c>
      <c r="H553">
        <v>9</v>
      </c>
      <c r="I553">
        <v>24.439499999999999</v>
      </c>
      <c r="J553">
        <v>513.22950000000003</v>
      </c>
      <c r="K553" s="1">
        <v>43518</v>
      </c>
      <c r="L553" s="2">
        <v>0.45069444444444445</v>
      </c>
      <c r="M553" t="s">
        <v>29</v>
      </c>
      <c r="N553">
        <v>488.79</v>
      </c>
      <c r="O553">
        <v>4.7619047620000003</v>
      </c>
      <c r="P553">
        <v>24.439499999999999</v>
      </c>
      <c r="Q553">
        <v>8.9</v>
      </c>
    </row>
    <row r="554" spans="1:17" x14ac:dyDescent="0.3">
      <c r="A554" t="s">
        <v>588</v>
      </c>
      <c r="B554" t="s">
        <v>42</v>
      </c>
      <c r="C554" t="s">
        <v>43</v>
      </c>
      <c r="D554" t="s">
        <v>27</v>
      </c>
      <c r="E554" t="s">
        <v>21</v>
      </c>
      <c r="F554" t="s">
        <v>22</v>
      </c>
      <c r="G554">
        <v>58.24</v>
      </c>
      <c r="H554">
        <v>9</v>
      </c>
      <c r="I554">
        <v>26.207999999999998</v>
      </c>
      <c r="J554">
        <v>550.36800000000005</v>
      </c>
      <c r="K554" s="1">
        <v>43501</v>
      </c>
      <c r="L554" s="2">
        <v>0.52361111111111114</v>
      </c>
      <c r="M554" t="s">
        <v>29</v>
      </c>
      <c r="N554">
        <v>524.16</v>
      </c>
      <c r="O554">
        <v>4.7619047620000003</v>
      </c>
      <c r="P554">
        <v>26.207999999999998</v>
      </c>
      <c r="Q554">
        <v>9.6999999999999993</v>
      </c>
    </row>
    <row r="555" spans="1:17" x14ac:dyDescent="0.3">
      <c r="A555" t="s">
        <v>589</v>
      </c>
      <c r="B555" t="s">
        <v>25</v>
      </c>
      <c r="C555" t="s">
        <v>26</v>
      </c>
      <c r="D555" t="s">
        <v>27</v>
      </c>
      <c r="E555" t="s">
        <v>31</v>
      </c>
      <c r="F555" t="s">
        <v>28</v>
      </c>
      <c r="G555">
        <v>22.21</v>
      </c>
      <c r="H555">
        <v>6</v>
      </c>
      <c r="I555">
        <v>6.6630000000000003</v>
      </c>
      <c r="J555">
        <v>139.923</v>
      </c>
      <c r="K555" s="1">
        <v>43531</v>
      </c>
      <c r="L555" s="2">
        <v>0.43263888888888885</v>
      </c>
      <c r="M555" t="s">
        <v>33</v>
      </c>
      <c r="N555">
        <v>133.26</v>
      </c>
      <c r="O555">
        <v>4.7619047620000003</v>
      </c>
      <c r="P555">
        <v>6.6630000000000003</v>
      </c>
      <c r="Q555">
        <v>8.6</v>
      </c>
    </row>
    <row r="556" spans="1:17" x14ac:dyDescent="0.3">
      <c r="A556" t="s">
        <v>590</v>
      </c>
      <c r="B556" t="s">
        <v>18</v>
      </c>
      <c r="C556" t="s">
        <v>19</v>
      </c>
      <c r="D556" t="s">
        <v>20</v>
      </c>
      <c r="E556" t="s">
        <v>31</v>
      </c>
      <c r="F556" t="s">
        <v>28</v>
      </c>
      <c r="G556">
        <v>19.32</v>
      </c>
      <c r="H556">
        <v>7</v>
      </c>
      <c r="I556">
        <v>6.7619999999999996</v>
      </c>
      <c r="J556">
        <v>142.00200000000001</v>
      </c>
      <c r="K556" s="1">
        <v>43549</v>
      </c>
      <c r="L556" s="2">
        <v>0.78541666666666676</v>
      </c>
      <c r="M556" t="s">
        <v>29</v>
      </c>
      <c r="N556">
        <v>135.24</v>
      </c>
      <c r="O556">
        <v>4.7619047620000003</v>
      </c>
      <c r="P556">
        <v>6.7619999999999996</v>
      </c>
      <c r="Q556">
        <v>6.9</v>
      </c>
    </row>
    <row r="557" spans="1:17" x14ac:dyDescent="0.3">
      <c r="A557" t="s">
        <v>591</v>
      </c>
      <c r="B557" t="s">
        <v>42</v>
      </c>
      <c r="C557" t="s">
        <v>43</v>
      </c>
      <c r="D557" t="s">
        <v>27</v>
      </c>
      <c r="E557" t="s">
        <v>31</v>
      </c>
      <c r="F557" t="s">
        <v>32</v>
      </c>
      <c r="G557">
        <v>37.479999999999997</v>
      </c>
      <c r="H557">
        <v>3</v>
      </c>
      <c r="I557">
        <v>5.6219999999999999</v>
      </c>
      <c r="J557">
        <v>118.062</v>
      </c>
      <c r="K557" s="1">
        <v>43485</v>
      </c>
      <c r="L557" s="2">
        <v>0.57291666666666663</v>
      </c>
      <c r="M557" t="s">
        <v>33</v>
      </c>
      <c r="N557">
        <v>112.44</v>
      </c>
      <c r="O557">
        <v>4.7619047620000003</v>
      </c>
      <c r="P557">
        <v>5.6219999999999999</v>
      </c>
      <c r="Q557">
        <v>7.7</v>
      </c>
    </row>
    <row r="558" spans="1:17" x14ac:dyDescent="0.3">
      <c r="A558" t="s">
        <v>592</v>
      </c>
      <c r="B558" t="s">
        <v>42</v>
      </c>
      <c r="C558" t="s">
        <v>43</v>
      </c>
      <c r="D558" t="s">
        <v>20</v>
      </c>
      <c r="E558" t="s">
        <v>21</v>
      </c>
      <c r="F558" t="s">
        <v>46</v>
      </c>
      <c r="G558">
        <v>72.040000000000006</v>
      </c>
      <c r="H558">
        <v>2</v>
      </c>
      <c r="I558">
        <v>7.2039999999999997</v>
      </c>
      <c r="J558">
        <v>151.28399999999999</v>
      </c>
      <c r="K558" s="1">
        <v>43500</v>
      </c>
      <c r="L558" s="2">
        <v>0.81805555555555554</v>
      </c>
      <c r="M558" t="s">
        <v>29</v>
      </c>
      <c r="N558">
        <v>144.08000000000001</v>
      </c>
      <c r="O558">
        <v>4.7619047620000003</v>
      </c>
      <c r="P558">
        <v>7.2039999999999997</v>
      </c>
      <c r="Q558">
        <v>9.5</v>
      </c>
    </row>
    <row r="559" spans="1:17" x14ac:dyDescent="0.3">
      <c r="A559" t="s">
        <v>593</v>
      </c>
      <c r="B559" t="s">
        <v>25</v>
      </c>
      <c r="C559" t="s">
        <v>26</v>
      </c>
      <c r="D559" t="s">
        <v>20</v>
      </c>
      <c r="E559" t="s">
        <v>21</v>
      </c>
      <c r="F559" t="s">
        <v>44</v>
      </c>
      <c r="G559">
        <v>98.52</v>
      </c>
      <c r="H559">
        <v>10</v>
      </c>
      <c r="I559">
        <v>49.26</v>
      </c>
      <c r="J559">
        <v>1034.46</v>
      </c>
      <c r="K559" s="1">
        <v>43495</v>
      </c>
      <c r="L559" s="2">
        <v>0.84930555555555554</v>
      </c>
      <c r="M559" t="s">
        <v>23</v>
      </c>
      <c r="N559">
        <v>985.2</v>
      </c>
      <c r="O559">
        <v>4.7619047620000003</v>
      </c>
      <c r="P559">
        <v>49.26</v>
      </c>
      <c r="Q559">
        <v>4.5</v>
      </c>
    </row>
    <row r="560" spans="1:17" x14ac:dyDescent="0.3">
      <c r="A560" t="s">
        <v>594</v>
      </c>
      <c r="B560" t="s">
        <v>18</v>
      </c>
      <c r="C560" t="s">
        <v>19</v>
      </c>
      <c r="D560" t="s">
        <v>20</v>
      </c>
      <c r="E560" t="s">
        <v>31</v>
      </c>
      <c r="F560" t="s">
        <v>44</v>
      </c>
      <c r="G560">
        <v>41.66</v>
      </c>
      <c r="H560">
        <v>6</v>
      </c>
      <c r="I560">
        <v>12.497999999999999</v>
      </c>
      <c r="J560">
        <v>262.45800000000003</v>
      </c>
      <c r="K560" s="1">
        <v>43467</v>
      </c>
      <c r="L560" s="2">
        <v>0.64166666666666672</v>
      </c>
      <c r="M560" t="s">
        <v>23</v>
      </c>
      <c r="N560">
        <v>249.96</v>
      </c>
      <c r="O560">
        <v>4.7619047620000003</v>
      </c>
      <c r="P560">
        <v>12.497999999999999</v>
      </c>
      <c r="Q560">
        <v>5.6</v>
      </c>
    </row>
    <row r="561" spans="1:17" x14ac:dyDescent="0.3">
      <c r="A561" t="s">
        <v>595</v>
      </c>
      <c r="B561" t="s">
        <v>18</v>
      </c>
      <c r="C561" t="s">
        <v>19</v>
      </c>
      <c r="D561" t="s">
        <v>20</v>
      </c>
      <c r="E561" t="s">
        <v>21</v>
      </c>
      <c r="F561" t="s">
        <v>32</v>
      </c>
      <c r="G561">
        <v>72.42</v>
      </c>
      <c r="H561">
        <v>3</v>
      </c>
      <c r="I561">
        <v>10.863</v>
      </c>
      <c r="J561">
        <v>228.12299999999999</v>
      </c>
      <c r="K561" s="1">
        <v>43553</v>
      </c>
      <c r="L561" s="2">
        <v>0.70416666666666661</v>
      </c>
      <c r="M561" t="s">
        <v>23</v>
      </c>
      <c r="N561">
        <v>217.26</v>
      </c>
      <c r="O561">
        <v>4.7619047620000003</v>
      </c>
      <c r="P561">
        <v>10.863</v>
      </c>
      <c r="Q561">
        <v>8.1999999999999993</v>
      </c>
    </row>
    <row r="562" spans="1:17" x14ac:dyDescent="0.3">
      <c r="A562" t="s">
        <v>596</v>
      </c>
      <c r="B562" t="s">
        <v>42</v>
      </c>
      <c r="C562" t="s">
        <v>43</v>
      </c>
      <c r="D562" t="s">
        <v>27</v>
      </c>
      <c r="E562" t="s">
        <v>31</v>
      </c>
      <c r="F562" t="s">
        <v>28</v>
      </c>
      <c r="G562">
        <v>21.58</v>
      </c>
      <c r="H562">
        <v>9</v>
      </c>
      <c r="I562">
        <v>9.7110000000000003</v>
      </c>
      <c r="J562">
        <v>203.93100000000001</v>
      </c>
      <c r="K562" s="1">
        <v>43538</v>
      </c>
      <c r="L562" s="2">
        <v>0.52222222222222225</v>
      </c>
      <c r="M562" t="s">
        <v>29</v>
      </c>
      <c r="N562">
        <v>194.22</v>
      </c>
      <c r="O562">
        <v>4.7619047620000003</v>
      </c>
      <c r="P562">
        <v>9.7110000000000003</v>
      </c>
      <c r="Q562">
        <v>7.3</v>
      </c>
    </row>
    <row r="563" spans="1:17" x14ac:dyDescent="0.3">
      <c r="A563" t="s">
        <v>597</v>
      </c>
      <c r="B563" t="s">
        <v>25</v>
      </c>
      <c r="C563" t="s">
        <v>26</v>
      </c>
      <c r="D563" t="s">
        <v>27</v>
      </c>
      <c r="E563" t="s">
        <v>31</v>
      </c>
      <c r="F563" t="s">
        <v>44</v>
      </c>
      <c r="G563">
        <v>89.2</v>
      </c>
      <c r="H563">
        <v>10</v>
      </c>
      <c r="I563">
        <v>44.6</v>
      </c>
      <c r="J563">
        <v>936.6</v>
      </c>
      <c r="K563" s="1">
        <v>43507</v>
      </c>
      <c r="L563" s="2">
        <v>0.65416666666666667</v>
      </c>
      <c r="M563" t="s">
        <v>33</v>
      </c>
      <c r="N563">
        <v>892</v>
      </c>
      <c r="O563">
        <v>4.7619047620000003</v>
      </c>
      <c r="P563">
        <v>44.6</v>
      </c>
      <c r="Q563">
        <v>4.4000000000000004</v>
      </c>
    </row>
    <row r="564" spans="1:17" x14ac:dyDescent="0.3">
      <c r="A564" t="s">
        <v>598</v>
      </c>
      <c r="B564" t="s">
        <v>42</v>
      </c>
      <c r="C564" t="s">
        <v>43</v>
      </c>
      <c r="D564" t="s">
        <v>27</v>
      </c>
      <c r="E564" t="s">
        <v>21</v>
      </c>
      <c r="F564" t="s">
        <v>28</v>
      </c>
      <c r="G564">
        <v>42.42</v>
      </c>
      <c r="H564">
        <v>8</v>
      </c>
      <c r="I564">
        <v>16.968</v>
      </c>
      <c r="J564">
        <v>356.32799999999997</v>
      </c>
      <c r="K564" s="1">
        <v>43495</v>
      </c>
      <c r="L564" s="2">
        <v>0.58194444444444449</v>
      </c>
      <c r="M564" t="s">
        <v>23</v>
      </c>
      <c r="N564">
        <v>339.36</v>
      </c>
      <c r="O564">
        <v>4.7619047620000003</v>
      </c>
      <c r="P564">
        <v>16.968</v>
      </c>
      <c r="Q564">
        <v>5.7</v>
      </c>
    </row>
    <row r="565" spans="1:17" x14ac:dyDescent="0.3">
      <c r="A565" t="s">
        <v>599</v>
      </c>
      <c r="B565" t="s">
        <v>18</v>
      </c>
      <c r="C565" t="s">
        <v>19</v>
      </c>
      <c r="D565" t="s">
        <v>20</v>
      </c>
      <c r="E565" t="s">
        <v>31</v>
      </c>
      <c r="F565" t="s">
        <v>28</v>
      </c>
      <c r="G565">
        <v>74.510000000000005</v>
      </c>
      <c r="H565">
        <v>6</v>
      </c>
      <c r="I565">
        <v>22.353000000000002</v>
      </c>
      <c r="J565">
        <v>469.41300000000001</v>
      </c>
      <c r="K565" s="1">
        <v>43544</v>
      </c>
      <c r="L565" s="2">
        <v>0.63055555555555554</v>
      </c>
      <c r="M565" t="s">
        <v>23</v>
      </c>
      <c r="N565">
        <v>447.06</v>
      </c>
      <c r="O565">
        <v>4.7619047620000003</v>
      </c>
      <c r="P565">
        <v>22.353000000000002</v>
      </c>
      <c r="Q565">
        <v>5</v>
      </c>
    </row>
    <row r="566" spans="1:17" x14ac:dyDescent="0.3">
      <c r="A566" t="s">
        <v>600</v>
      </c>
      <c r="B566" t="s">
        <v>42</v>
      </c>
      <c r="C566" t="s">
        <v>43</v>
      </c>
      <c r="D566" t="s">
        <v>27</v>
      </c>
      <c r="E566" t="s">
        <v>31</v>
      </c>
      <c r="F566" t="s">
        <v>46</v>
      </c>
      <c r="G566">
        <v>99.25</v>
      </c>
      <c r="H566">
        <v>2</v>
      </c>
      <c r="I566">
        <v>9.9250000000000007</v>
      </c>
      <c r="J566">
        <v>208.42500000000001</v>
      </c>
      <c r="K566" s="1">
        <v>43544</v>
      </c>
      <c r="L566" s="2">
        <v>0.54305555555555551</v>
      </c>
      <c r="M566" t="s">
        <v>29</v>
      </c>
      <c r="N566">
        <v>198.5</v>
      </c>
      <c r="O566">
        <v>4.7619047620000003</v>
      </c>
      <c r="P566">
        <v>9.9250000000000007</v>
      </c>
      <c r="Q566">
        <v>9</v>
      </c>
    </row>
    <row r="567" spans="1:17" x14ac:dyDescent="0.3">
      <c r="A567" t="s">
        <v>601</v>
      </c>
      <c r="B567" t="s">
        <v>18</v>
      </c>
      <c r="C567" t="s">
        <v>19</v>
      </c>
      <c r="D567" t="s">
        <v>27</v>
      </c>
      <c r="E567" t="s">
        <v>21</v>
      </c>
      <c r="F567" t="s">
        <v>44</v>
      </c>
      <c r="G567">
        <v>81.209999999999994</v>
      </c>
      <c r="H567">
        <v>10</v>
      </c>
      <c r="I567">
        <v>40.604999999999997</v>
      </c>
      <c r="J567">
        <v>852.70500000000004</v>
      </c>
      <c r="K567" s="1">
        <v>43482</v>
      </c>
      <c r="L567" s="2">
        <v>0.54236111111111118</v>
      </c>
      <c r="M567" t="s">
        <v>33</v>
      </c>
      <c r="N567">
        <v>812.1</v>
      </c>
      <c r="O567">
        <v>4.7619047620000003</v>
      </c>
      <c r="P567">
        <v>40.604999999999997</v>
      </c>
      <c r="Q567">
        <v>6.3</v>
      </c>
    </row>
    <row r="568" spans="1:17" x14ac:dyDescent="0.3">
      <c r="A568" t="s">
        <v>602</v>
      </c>
      <c r="B568" t="s">
        <v>25</v>
      </c>
      <c r="C568" t="s">
        <v>26</v>
      </c>
      <c r="D568" t="s">
        <v>27</v>
      </c>
      <c r="E568" t="s">
        <v>21</v>
      </c>
      <c r="F568" t="s">
        <v>36</v>
      </c>
      <c r="G568">
        <v>49.33</v>
      </c>
      <c r="H568">
        <v>10</v>
      </c>
      <c r="I568">
        <v>24.664999999999999</v>
      </c>
      <c r="J568">
        <v>517.96500000000003</v>
      </c>
      <c r="K568" s="1">
        <v>43499</v>
      </c>
      <c r="L568" s="2">
        <v>0.69444444444444453</v>
      </c>
      <c r="M568" t="s">
        <v>33</v>
      </c>
      <c r="N568">
        <v>493.3</v>
      </c>
      <c r="O568">
        <v>4.7619047620000003</v>
      </c>
      <c r="P568">
        <v>24.664999999999999</v>
      </c>
      <c r="Q568">
        <v>9.4</v>
      </c>
    </row>
    <row r="569" spans="1:17" x14ac:dyDescent="0.3">
      <c r="A569" t="s">
        <v>603</v>
      </c>
      <c r="B569" t="s">
        <v>18</v>
      </c>
      <c r="C569" t="s">
        <v>19</v>
      </c>
      <c r="D569" t="s">
        <v>27</v>
      </c>
      <c r="E569" t="s">
        <v>21</v>
      </c>
      <c r="F569" t="s">
        <v>46</v>
      </c>
      <c r="G569">
        <v>65.739999999999995</v>
      </c>
      <c r="H569">
        <v>9</v>
      </c>
      <c r="I569">
        <v>29.582999999999998</v>
      </c>
      <c r="J569">
        <v>621.24300000000005</v>
      </c>
      <c r="K569" s="1">
        <v>43466</v>
      </c>
      <c r="L569" s="2">
        <v>0.57986111111111105</v>
      </c>
      <c r="M569" t="s">
        <v>29</v>
      </c>
      <c r="N569">
        <v>591.66</v>
      </c>
      <c r="O569">
        <v>4.7619047620000003</v>
      </c>
      <c r="P569">
        <v>29.582999999999998</v>
      </c>
      <c r="Q569">
        <v>7.7</v>
      </c>
    </row>
    <row r="570" spans="1:17" x14ac:dyDescent="0.3">
      <c r="A570" t="s">
        <v>604</v>
      </c>
      <c r="B570" t="s">
        <v>42</v>
      </c>
      <c r="C570" t="s">
        <v>43</v>
      </c>
      <c r="D570" t="s">
        <v>27</v>
      </c>
      <c r="E570" t="s">
        <v>21</v>
      </c>
      <c r="F570" t="s">
        <v>46</v>
      </c>
      <c r="G570">
        <v>79.86</v>
      </c>
      <c r="H570">
        <v>7</v>
      </c>
      <c r="I570">
        <v>27.951000000000001</v>
      </c>
      <c r="J570">
        <v>586.971</v>
      </c>
      <c r="K570" s="1">
        <v>43475</v>
      </c>
      <c r="L570" s="2">
        <v>0.43958333333333338</v>
      </c>
      <c r="M570" t="s">
        <v>33</v>
      </c>
      <c r="N570">
        <v>559.02</v>
      </c>
      <c r="O570">
        <v>4.7619047620000003</v>
      </c>
      <c r="P570">
        <v>27.951000000000001</v>
      </c>
      <c r="Q570">
        <v>5.5</v>
      </c>
    </row>
    <row r="571" spans="1:17" x14ac:dyDescent="0.3">
      <c r="A571" t="s">
        <v>605</v>
      </c>
      <c r="B571" t="s">
        <v>25</v>
      </c>
      <c r="C571" t="s">
        <v>26</v>
      </c>
      <c r="D571" t="s">
        <v>27</v>
      </c>
      <c r="E571" t="s">
        <v>21</v>
      </c>
      <c r="F571" t="s">
        <v>36</v>
      </c>
      <c r="G571">
        <v>73.98</v>
      </c>
      <c r="H571">
        <v>7</v>
      </c>
      <c r="I571">
        <v>25.893000000000001</v>
      </c>
      <c r="J571">
        <v>543.75300000000004</v>
      </c>
      <c r="K571" s="1">
        <v>43526</v>
      </c>
      <c r="L571" s="2">
        <v>0.6958333333333333</v>
      </c>
      <c r="M571" t="s">
        <v>23</v>
      </c>
      <c r="N571">
        <v>517.86</v>
      </c>
      <c r="O571">
        <v>4.7619047620000003</v>
      </c>
      <c r="P571">
        <v>25.893000000000001</v>
      </c>
      <c r="Q571">
        <v>4.0999999999999996</v>
      </c>
    </row>
    <row r="572" spans="1:17" x14ac:dyDescent="0.3">
      <c r="A572" t="s">
        <v>606</v>
      </c>
      <c r="B572" t="s">
        <v>42</v>
      </c>
      <c r="C572" t="s">
        <v>43</v>
      </c>
      <c r="D572" t="s">
        <v>20</v>
      </c>
      <c r="E572" t="s">
        <v>21</v>
      </c>
      <c r="F572" t="s">
        <v>32</v>
      </c>
      <c r="G572">
        <v>82.04</v>
      </c>
      <c r="H572">
        <v>5</v>
      </c>
      <c r="I572">
        <v>20.51</v>
      </c>
      <c r="J572">
        <v>430.71</v>
      </c>
      <c r="K572" s="1">
        <v>43521</v>
      </c>
      <c r="L572" s="2">
        <v>0.71944444444444444</v>
      </c>
      <c r="M572" t="s">
        <v>33</v>
      </c>
      <c r="N572">
        <v>410.2</v>
      </c>
      <c r="O572">
        <v>4.7619047620000003</v>
      </c>
      <c r="P572">
        <v>20.51</v>
      </c>
      <c r="Q572">
        <v>7.6</v>
      </c>
    </row>
    <row r="573" spans="1:17" x14ac:dyDescent="0.3">
      <c r="A573" t="s">
        <v>607</v>
      </c>
      <c r="B573" t="s">
        <v>42</v>
      </c>
      <c r="C573" t="s">
        <v>43</v>
      </c>
      <c r="D573" t="s">
        <v>20</v>
      </c>
      <c r="E573" t="s">
        <v>31</v>
      </c>
      <c r="F573" t="s">
        <v>36</v>
      </c>
      <c r="G573">
        <v>26.67</v>
      </c>
      <c r="H573">
        <v>10</v>
      </c>
      <c r="I573">
        <v>13.335000000000001</v>
      </c>
      <c r="J573">
        <v>280.03500000000003</v>
      </c>
      <c r="K573" s="1">
        <v>43494</v>
      </c>
      <c r="L573" s="2">
        <v>0.4916666666666667</v>
      </c>
      <c r="M573" t="s">
        <v>29</v>
      </c>
      <c r="N573">
        <v>266.7</v>
      </c>
      <c r="O573">
        <v>4.7619047620000003</v>
      </c>
      <c r="P573">
        <v>13.335000000000001</v>
      </c>
      <c r="Q573">
        <v>8.6</v>
      </c>
    </row>
    <row r="574" spans="1:17" x14ac:dyDescent="0.3">
      <c r="A574" t="s">
        <v>608</v>
      </c>
      <c r="B574" t="s">
        <v>18</v>
      </c>
      <c r="C574" t="s">
        <v>19</v>
      </c>
      <c r="D574" t="s">
        <v>20</v>
      </c>
      <c r="E574" t="s">
        <v>31</v>
      </c>
      <c r="F574" t="s">
        <v>44</v>
      </c>
      <c r="G574">
        <v>10.130000000000001</v>
      </c>
      <c r="H574">
        <v>7</v>
      </c>
      <c r="I574">
        <v>3.5455000000000001</v>
      </c>
      <c r="J574">
        <v>74.455500000000001</v>
      </c>
      <c r="K574" s="1">
        <v>43534</v>
      </c>
      <c r="L574" s="2">
        <v>0.81597222222222221</v>
      </c>
      <c r="M574" t="s">
        <v>23</v>
      </c>
      <c r="N574">
        <v>70.91</v>
      </c>
      <c r="O574">
        <v>4.7619047620000003</v>
      </c>
      <c r="P574">
        <v>3.5455000000000001</v>
      </c>
      <c r="Q574">
        <v>8.3000000000000007</v>
      </c>
    </row>
    <row r="575" spans="1:17" x14ac:dyDescent="0.3">
      <c r="A575" t="s">
        <v>609</v>
      </c>
      <c r="B575" t="s">
        <v>42</v>
      </c>
      <c r="C575" t="s">
        <v>43</v>
      </c>
      <c r="D575" t="s">
        <v>27</v>
      </c>
      <c r="E575" t="s">
        <v>31</v>
      </c>
      <c r="F575" t="s">
        <v>44</v>
      </c>
      <c r="G575">
        <v>72.39</v>
      </c>
      <c r="H575">
        <v>2</v>
      </c>
      <c r="I575">
        <v>7.2389999999999999</v>
      </c>
      <c r="J575">
        <v>152.01900000000001</v>
      </c>
      <c r="K575" s="1">
        <v>43478</v>
      </c>
      <c r="L575" s="2">
        <v>0.82986111111111116</v>
      </c>
      <c r="M575" t="s">
        <v>33</v>
      </c>
      <c r="N575">
        <v>144.78</v>
      </c>
      <c r="O575">
        <v>4.7619047620000003</v>
      </c>
      <c r="P575">
        <v>7.2389999999999999</v>
      </c>
      <c r="Q575">
        <v>8.1</v>
      </c>
    </row>
    <row r="576" spans="1:17" x14ac:dyDescent="0.3">
      <c r="A576" t="s">
        <v>610</v>
      </c>
      <c r="B576" t="s">
        <v>18</v>
      </c>
      <c r="C576" t="s">
        <v>19</v>
      </c>
      <c r="D576" t="s">
        <v>27</v>
      </c>
      <c r="E576" t="s">
        <v>31</v>
      </c>
      <c r="F576" t="s">
        <v>36</v>
      </c>
      <c r="G576">
        <v>85.91</v>
      </c>
      <c r="H576">
        <v>5</v>
      </c>
      <c r="I576">
        <v>21.477499999999999</v>
      </c>
      <c r="J576">
        <v>451.02749999999997</v>
      </c>
      <c r="K576" s="1">
        <v>43546</v>
      </c>
      <c r="L576" s="2">
        <v>0.60625000000000007</v>
      </c>
      <c r="M576" t="s">
        <v>33</v>
      </c>
      <c r="N576">
        <v>429.55</v>
      </c>
      <c r="O576">
        <v>4.7619047620000003</v>
      </c>
      <c r="P576">
        <v>21.477499999999999</v>
      </c>
      <c r="Q576">
        <v>8.6</v>
      </c>
    </row>
    <row r="577" spans="1:17" x14ac:dyDescent="0.3">
      <c r="A577" t="s">
        <v>611</v>
      </c>
      <c r="B577" t="s">
        <v>42</v>
      </c>
      <c r="C577" t="s">
        <v>43</v>
      </c>
      <c r="D577" t="s">
        <v>20</v>
      </c>
      <c r="E577" t="s">
        <v>31</v>
      </c>
      <c r="F577" t="s">
        <v>46</v>
      </c>
      <c r="G577">
        <v>81.31</v>
      </c>
      <c r="H577">
        <v>7</v>
      </c>
      <c r="I577">
        <v>28.458500000000001</v>
      </c>
      <c r="J577">
        <v>597.62850000000003</v>
      </c>
      <c r="K577" s="1">
        <v>43525</v>
      </c>
      <c r="L577" s="2">
        <v>0.8256944444444444</v>
      </c>
      <c r="M577" t="s">
        <v>23</v>
      </c>
      <c r="N577">
        <v>569.16999999999996</v>
      </c>
      <c r="O577">
        <v>4.7619047620000003</v>
      </c>
      <c r="P577">
        <v>28.458500000000001</v>
      </c>
      <c r="Q577">
        <v>6.3</v>
      </c>
    </row>
    <row r="578" spans="1:17" x14ac:dyDescent="0.3">
      <c r="A578" t="s">
        <v>612</v>
      </c>
      <c r="B578" t="s">
        <v>42</v>
      </c>
      <c r="C578" t="s">
        <v>43</v>
      </c>
      <c r="D578" t="s">
        <v>27</v>
      </c>
      <c r="E578" t="s">
        <v>31</v>
      </c>
      <c r="F578" t="s">
        <v>44</v>
      </c>
      <c r="G578">
        <v>60.3</v>
      </c>
      <c r="H578">
        <v>4</v>
      </c>
      <c r="I578">
        <v>12.06</v>
      </c>
      <c r="J578">
        <v>253.26</v>
      </c>
      <c r="K578" s="1">
        <v>43516</v>
      </c>
      <c r="L578" s="2">
        <v>0.77986111111111101</v>
      </c>
      <c r="M578" t="s">
        <v>29</v>
      </c>
      <c r="N578">
        <v>241.2</v>
      </c>
      <c r="O578">
        <v>4.7619047620000003</v>
      </c>
      <c r="P578">
        <v>12.06</v>
      </c>
      <c r="Q578">
        <v>5.8</v>
      </c>
    </row>
    <row r="579" spans="1:17" x14ac:dyDescent="0.3">
      <c r="A579" t="s">
        <v>613</v>
      </c>
      <c r="B579" t="s">
        <v>25</v>
      </c>
      <c r="C579" t="s">
        <v>26</v>
      </c>
      <c r="D579" t="s">
        <v>27</v>
      </c>
      <c r="E579" t="s">
        <v>31</v>
      </c>
      <c r="F579" t="s">
        <v>44</v>
      </c>
      <c r="G579">
        <v>31.77</v>
      </c>
      <c r="H579">
        <v>4</v>
      </c>
      <c r="I579">
        <v>6.3540000000000001</v>
      </c>
      <c r="J579">
        <v>133.434</v>
      </c>
      <c r="K579" s="1">
        <v>43479</v>
      </c>
      <c r="L579" s="2">
        <v>0.61319444444444449</v>
      </c>
      <c r="M579" t="s">
        <v>23</v>
      </c>
      <c r="N579">
        <v>127.08</v>
      </c>
      <c r="O579">
        <v>4.7619047620000003</v>
      </c>
      <c r="P579">
        <v>6.3540000000000001</v>
      </c>
      <c r="Q579">
        <v>6.2</v>
      </c>
    </row>
    <row r="580" spans="1:17" x14ac:dyDescent="0.3">
      <c r="A580" t="s">
        <v>614</v>
      </c>
      <c r="B580" t="s">
        <v>18</v>
      </c>
      <c r="C580" t="s">
        <v>19</v>
      </c>
      <c r="D580" t="s">
        <v>27</v>
      </c>
      <c r="E580" t="s">
        <v>21</v>
      </c>
      <c r="F580" t="s">
        <v>22</v>
      </c>
      <c r="G580">
        <v>64.27</v>
      </c>
      <c r="H580">
        <v>4</v>
      </c>
      <c r="I580">
        <v>12.853999999999999</v>
      </c>
      <c r="J580">
        <v>269.93400000000003</v>
      </c>
      <c r="K580" s="1">
        <v>43550</v>
      </c>
      <c r="L580" s="2">
        <v>0.57916666666666672</v>
      </c>
      <c r="M580" t="s">
        <v>29</v>
      </c>
      <c r="N580">
        <v>257.08</v>
      </c>
      <c r="O580">
        <v>4.7619047620000003</v>
      </c>
      <c r="P580">
        <v>12.853999999999999</v>
      </c>
      <c r="Q580">
        <v>7.7</v>
      </c>
    </row>
    <row r="581" spans="1:17" x14ac:dyDescent="0.3">
      <c r="A581" t="s">
        <v>615</v>
      </c>
      <c r="B581" t="s">
        <v>42</v>
      </c>
      <c r="C581" t="s">
        <v>43</v>
      </c>
      <c r="D581" t="s">
        <v>27</v>
      </c>
      <c r="E581" t="s">
        <v>31</v>
      </c>
      <c r="F581" t="s">
        <v>22</v>
      </c>
      <c r="G581">
        <v>69.510000000000005</v>
      </c>
      <c r="H581">
        <v>2</v>
      </c>
      <c r="I581">
        <v>6.9509999999999996</v>
      </c>
      <c r="J581">
        <v>145.971</v>
      </c>
      <c r="K581" s="1">
        <v>43525</v>
      </c>
      <c r="L581" s="2">
        <v>0.51041666666666663</v>
      </c>
      <c r="M581" t="s">
        <v>23</v>
      </c>
      <c r="N581">
        <v>139.02000000000001</v>
      </c>
      <c r="O581">
        <v>4.7619047620000003</v>
      </c>
      <c r="P581">
        <v>6.9509999999999996</v>
      </c>
      <c r="Q581">
        <v>8.1</v>
      </c>
    </row>
    <row r="582" spans="1:17" x14ac:dyDescent="0.3">
      <c r="A582" t="s">
        <v>616</v>
      </c>
      <c r="B582" t="s">
        <v>25</v>
      </c>
      <c r="C582" t="s">
        <v>26</v>
      </c>
      <c r="D582" t="s">
        <v>27</v>
      </c>
      <c r="E582" t="s">
        <v>31</v>
      </c>
      <c r="F582" t="s">
        <v>44</v>
      </c>
      <c r="G582">
        <v>27.22</v>
      </c>
      <c r="H582">
        <v>3</v>
      </c>
      <c r="I582">
        <v>4.0830000000000002</v>
      </c>
      <c r="J582">
        <v>85.742999999999995</v>
      </c>
      <c r="K582" s="1">
        <v>43472</v>
      </c>
      <c r="L582" s="2">
        <v>0.52569444444444446</v>
      </c>
      <c r="M582" t="s">
        <v>29</v>
      </c>
      <c r="N582">
        <v>81.66</v>
      </c>
      <c r="O582">
        <v>4.7619047620000003</v>
      </c>
      <c r="P582">
        <v>4.0830000000000002</v>
      </c>
      <c r="Q582">
        <v>7.3</v>
      </c>
    </row>
    <row r="583" spans="1:17" x14ac:dyDescent="0.3">
      <c r="A583" t="s">
        <v>617</v>
      </c>
      <c r="B583" t="s">
        <v>18</v>
      </c>
      <c r="C583" t="s">
        <v>19</v>
      </c>
      <c r="D583" t="s">
        <v>20</v>
      </c>
      <c r="E583" t="s">
        <v>21</v>
      </c>
      <c r="F583" t="s">
        <v>22</v>
      </c>
      <c r="G583">
        <v>77.680000000000007</v>
      </c>
      <c r="H583">
        <v>4</v>
      </c>
      <c r="I583">
        <v>15.536</v>
      </c>
      <c r="J583">
        <v>326.25599999999997</v>
      </c>
      <c r="K583" s="1">
        <v>43497</v>
      </c>
      <c r="L583" s="2">
        <v>0.82916666666666661</v>
      </c>
      <c r="M583" t="s">
        <v>29</v>
      </c>
      <c r="N583">
        <v>310.72000000000003</v>
      </c>
      <c r="O583">
        <v>4.7619047620000003</v>
      </c>
      <c r="P583">
        <v>15.536</v>
      </c>
      <c r="Q583">
        <v>8.4</v>
      </c>
    </row>
    <row r="584" spans="1:17" x14ac:dyDescent="0.3">
      <c r="A584" t="s">
        <v>618</v>
      </c>
      <c r="B584" t="s">
        <v>25</v>
      </c>
      <c r="C584" t="s">
        <v>26</v>
      </c>
      <c r="D584" t="s">
        <v>20</v>
      </c>
      <c r="E584" t="s">
        <v>21</v>
      </c>
      <c r="F584" t="s">
        <v>46</v>
      </c>
      <c r="G584">
        <v>92.98</v>
      </c>
      <c r="H584">
        <v>2</v>
      </c>
      <c r="I584">
        <v>9.298</v>
      </c>
      <c r="J584">
        <v>195.25800000000001</v>
      </c>
      <c r="K584" s="1">
        <v>43509</v>
      </c>
      <c r="L584" s="2">
        <v>0.62916666666666665</v>
      </c>
      <c r="M584" t="s">
        <v>33</v>
      </c>
      <c r="N584">
        <v>185.96</v>
      </c>
      <c r="O584">
        <v>4.7619047620000003</v>
      </c>
      <c r="P584">
        <v>9.298</v>
      </c>
      <c r="Q584">
        <v>8</v>
      </c>
    </row>
    <row r="585" spans="1:17" x14ac:dyDescent="0.3">
      <c r="A585" t="s">
        <v>619</v>
      </c>
      <c r="B585" t="s">
        <v>42</v>
      </c>
      <c r="C585" t="s">
        <v>43</v>
      </c>
      <c r="D585" t="s">
        <v>20</v>
      </c>
      <c r="E585" t="s">
        <v>21</v>
      </c>
      <c r="F585" t="s">
        <v>46</v>
      </c>
      <c r="G585">
        <v>18.079999999999998</v>
      </c>
      <c r="H585">
        <v>4</v>
      </c>
      <c r="I585">
        <v>3.6160000000000001</v>
      </c>
      <c r="J585">
        <v>75.936000000000007</v>
      </c>
      <c r="K585" s="1">
        <v>43479</v>
      </c>
      <c r="L585" s="2">
        <v>0.75208333333333333</v>
      </c>
      <c r="M585" t="s">
        <v>33</v>
      </c>
      <c r="N585">
        <v>72.319999999999993</v>
      </c>
      <c r="O585">
        <v>4.7619047620000003</v>
      </c>
      <c r="P585">
        <v>3.6160000000000001</v>
      </c>
      <c r="Q585">
        <v>9.5</v>
      </c>
    </row>
    <row r="586" spans="1:17" x14ac:dyDescent="0.3">
      <c r="A586" t="s">
        <v>620</v>
      </c>
      <c r="B586" t="s">
        <v>42</v>
      </c>
      <c r="C586" t="s">
        <v>43</v>
      </c>
      <c r="D586" t="s">
        <v>27</v>
      </c>
      <c r="E586" t="s">
        <v>31</v>
      </c>
      <c r="F586" t="s">
        <v>36</v>
      </c>
      <c r="G586">
        <v>63.06</v>
      </c>
      <c r="H586">
        <v>3</v>
      </c>
      <c r="I586">
        <v>9.4589999999999996</v>
      </c>
      <c r="J586">
        <v>198.63900000000001</v>
      </c>
      <c r="K586" s="1">
        <v>43484</v>
      </c>
      <c r="L586" s="2">
        <v>0.66527777777777775</v>
      </c>
      <c r="M586" t="s">
        <v>23</v>
      </c>
      <c r="N586">
        <v>189.18</v>
      </c>
      <c r="O586">
        <v>4.7619047620000003</v>
      </c>
      <c r="P586">
        <v>9.4589999999999996</v>
      </c>
      <c r="Q586">
        <v>7</v>
      </c>
    </row>
    <row r="587" spans="1:17" x14ac:dyDescent="0.3">
      <c r="A587" t="s">
        <v>621</v>
      </c>
      <c r="B587" t="s">
        <v>18</v>
      </c>
      <c r="C587" t="s">
        <v>19</v>
      </c>
      <c r="D587" t="s">
        <v>27</v>
      </c>
      <c r="E587" t="s">
        <v>31</v>
      </c>
      <c r="F587" t="s">
        <v>22</v>
      </c>
      <c r="G587">
        <v>51.71</v>
      </c>
      <c r="H587">
        <v>4</v>
      </c>
      <c r="I587">
        <v>10.342000000000001</v>
      </c>
      <c r="J587">
        <v>217.18199999999999</v>
      </c>
      <c r="K587" s="1">
        <v>43533</v>
      </c>
      <c r="L587" s="2">
        <v>0.57847222222222217</v>
      </c>
      <c r="M587" t="s">
        <v>33</v>
      </c>
      <c r="N587">
        <v>206.84</v>
      </c>
      <c r="O587">
        <v>4.7619047620000003</v>
      </c>
      <c r="P587">
        <v>10.342000000000001</v>
      </c>
      <c r="Q587">
        <v>9.8000000000000007</v>
      </c>
    </row>
    <row r="588" spans="1:17" x14ac:dyDescent="0.3">
      <c r="A588" t="s">
        <v>622</v>
      </c>
      <c r="B588" t="s">
        <v>18</v>
      </c>
      <c r="C588" t="s">
        <v>19</v>
      </c>
      <c r="D588" t="s">
        <v>27</v>
      </c>
      <c r="E588" t="s">
        <v>21</v>
      </c>
      <c r="F588" t="s">
        <v>44</v>
      </c>
      <c r="G588">
        <v>52.34</v>
      </c>
      <c r="H588">
        <v>3</v>
      </c>
      <c r="I588">
        <v>7.851</v>
      </c>
      <c r="J588">
        <v>164.87100000000001</v>
      </c>
      <c r="K588" s="1">
        <v>43551</v>
      </c>
      <c r="L588" s="2">
        <v>0.5854166666666667</v>
      </c>
      <c r="M588" t="s">
        <v>29</v>
      </c>
      <c r="N588">
        <v>157.02000000000001</v>
      </c>
      <c r="O588">
        <v>4.7619047620000003</v>
      </c>
      <c r="P588">
        <v>7.851</v>
      </c>
      <c r="Q588">
        <v>9.1999999999999993</v>
      </c>
    </row>
    <row r="589" spans="1:17" x14ac:dyDescent="0.3">
      <c r="A589" t="s">
        <v>623</v>
      </c>
      <c r="B589" t="s">
        <v>18</v>
      </c>
      <c r="C589" t="s">
        <v>19</v>
      </c>
      <c r="D589" t="s">
        <v>27</v>
      </c>
      <c r="E589" t="s">
        <v>21</v>
      </c>
      <c r="F589" t="s">
        <v>36</v>
      </c>
      <c r="G589">
        <v>43.06</v>
      </c>
      <c r="H589">
        <v>5</v>
      </c>
      <c r="I589">
        <v>10.765000000000001</v>
      </c>
      <c r="J589">
        <v>226.065</v>
      </c>
      <c r="K589" s="1">
        <v>43500</v>
      </c>
      <c r="L589" s="2">
        <v>0.69305555555555554</v>
      </c>
      <c r="M589" t="s">
        <v>23</v>
      </c>
      <c r="N589">
        <v>215.3</v>
      </c>
      <c r="O589">
        <v>4.7619047620000003</v>
      </c>
      <c r="P589">
        <v>10.765000000000001</v>
      </c>
      <c r="Q589">
        <v>7.7</v>
      </c>
    </row>
    <row r="590" spans="1:17" x14ac:dyDescent="0.3">
      <c r="A590" t="s">
        <v>624</v>
      </c>
      <c r="B590" t="s">
        <v>25</v>
      </c>
      <c r="C590" t="s">
        <v>26</v>
      </c>
      <c r="D590" t="s">
        <v>27</v>
      </c>
      <c r="E590" t="s">
        <v>31</v>
      </c>
      <c r="F590" t="s">
        <v>46</v>
      </c>
      <c r="G590">
        <v>59.61</v>
      </c>
      <c r="H590">
        <v>10</v>
      </c>
      <c r="I590">
        <v>29.805</v>
      </c>
      <c r="J590">
        <v>625.90499999999997</v>
      </c>
      <c r="K590" s="1">
        <v>43538</v>
      </c>
      <c r="L590" s="2">
        <v>0.46319444444444446</v>
      </c>
      <c r="M590" t="s">
        <v>29</v>
      </c>
      <c r="N590">
        <v>596.1</v>
      </c>
      <c r="O590">
        <v>4.7619047620000003</v>
      </c>
      <c r="P590">
        <v>29.805</v>
      </c>
      <c r="Q590">
        <v>5.3</v>
      </c>
    </row>
    <row r="591" spans="1:17" x14ac:dyDescent="0.3">
      <c r="A591" t="s">
        <v>625</v>
      </c>
      <c r="B591" t="s">
        <v>18</v>
      </c>
      <c r="C591" t="s">
        <v>19</v>
      </c>
      <c r="D591" t="s">
        <v>27</v>
      </c>
      <c r="E591" t="s">
        <v>31</v>
      </c>
      <c r="F591" t="s">
        <v>22</v>
      </c>
      <c r="G591">
        <v>14.62</v>
      </c>
      <c r="H591">
        <v>5</v>
      </c>
      <c r="I591">
        <v>3.6549999999999998</v>
      </c>
      <c r="J591">
        <v>76.754999999999995</v>
      </c>
      <c r="K591" s="1">
        <v>43528</v>
      </c>
      <c r="L591" s="2">
        <v>0.51597222222222217</v>
      </c>
      <c r="M591" t="s">
        <v>29</v>
      </c>
      <c r="N591">
        <v>73.099999999999994</v>
      </c>
      <c r="O591">
        <v>4.7619047620000003</v>
      </c>
      <c r="P591">
        <v>3.6549999999999998</v>
      </c>
      <c r="Q591">
        <v>4.4000000000000004</v>
      </c>
    </row>
    <row r="592" spans="1:17" x14ac:dyDescent="0.3">
      <c r="A592" t="s">
        <v>626</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x14ac:dyDescent="0.3">
      <c r="A593" t="s">
        <v>627</v>
      </c>
      <c r="B593" t="s">
        <v>25</v>
      </c>
      <c r="C593" t="s">
        <v>26</v>
      </c>
      <c r="D593" t="s">
        <v>20</v>
      </c>
      <c r="E593" t="s">
        <v>21</v>
      </c>
      <c r="F593" t="s">
        <v>32</v>
      </c>
      <c r="G593">
        <v>24.24</v>
      </c>
      <c r="H593">
        <v>7</v>
      </c>
      <c r="I593">
        <v>8.484</v>
      </c>
      <c r="J593">
        <v>178.16399999999999</v>
      </c>
      <c r="K593" s="1">
        <v>43492</v>
      </c>
      <c r="L593" s="2">
        <v>0.73472222222222217</v>
      </c>
      <c r="M593" t="s">
        <v>23</v>
      </c>
      <c r="N593">
        <v>169.68</v>
      </c>
      <c r="O593">
        <v>4.7619047620000003</v>
      </c>
      <c r="P593">
        <v>8.484</v>
      </c>
      <c r="Q593">
        <v>9.4</v>
      </c>
    </row>
    <row r="594" spans="1:17" x14ac:dyDescent="0.3">
      <c r="A594" t="s">
        <v>628</v>
      </c>
      <c r="B594" t="s">
        <v>18</v>
      </c>
      <c r="C594" t="s">
        <v>19</v>
      </c>
      <c r="D594" t="s">
        <v>20</v>
      </c>
      <c r="E594" t="s">
        <v>21</v>
      </c>
      <c r="F594" t="s">
        <v>36</v>
      </c>
      <c r="G594">
        <v>45.58</v>
      </c>
      <c r="H594">
        <v>1</v>
      </c>
      <c r="I594">
        <v>2.2789999999999999</v>
      </c>
      <c r="J594">
        <v>47.859000000000002</v>
      </c>
      <c r="K594" s="1">
        <v>43503</v>
      </c>
      <c r="L594" s="2">
        <v>0.59236111111111112</v>
      </c>
      <c r="M594" t="s">
        <v>29</v>
      </c>
      <c r="N594">
        <v>45.58</v>
      </c>
      <c r="O594">
        <v>4.7619047620000003</v>
      </c>
      <c r="P594">
        <v>2.2789999999999999</v>
      </c>
      <c r="Q594">
        <v>9.8000000000000007</v>
      </c>
    </row>
    <row r="595" spans="1:17" x14ac:dyDescent="0.3">
      <c r="A595" t="s">
        <v>629</v>
      </c>
      <c r="B595" t="s">
        <v>18</v>
      </c>
      <c r="C595" t="s">
        <v>19</v>
      </c>
      <c r="D595" t="s">
        <v>20</v>
      </c>
      <c r="E595" t="s">
        <v>21</v>
      </c>
      <c r="F595" t="s">
        <v>36</v>
      </c>
      <c r="G595">
        <v>75.2</v>
      </c>
      <c r="H595">
        <v>3</v>
      </c>
      <c r="I595">
        <v>11.28</v>
      </c>
      <c r="J595">
        <v>236.88</v>
      </c>
      <c r="K595" s="1">
        <v>43501</v>
      </c>
      <c r="L595" s="2">
        <v>0.49374999999999997</v>
      </c>
      <c r="M595" t="s">
        <v>23</v>
      </c>
      <c r="N595">
        <v>225.6</v>
      </c>
      <c r="O595">
        <v>4.7619047620000003</v>
      </c>
      <c r="P595">
        <v>11.28</v>
      </c>
      <c r="Q595">
        <v>4.8</v>
      </c>
    </row>
    <row r="596" spans="1:17" x14ac:dyDescent="0.3">
      <c r="A596" t="s">
        <v>630</v>
      </c>
      <c r="B596" t="s">
        <v>42</v>
      </c>
      <c r="C596" t="s">
        <v>43</v>
      </c>
      <c r="D596" t="s">
        <v>20</v>
      </c>
      <c r="E596" t="s">
        <v>31</v>
      </c>
      <c r="F596" t="s">
        <v>36</v>
      </c>
      <c r="G596">
        <v>96.8</v>
      </c>
      <c r="H596">
        <v>3</v>
      </c>
      <c r="I596">
        <v>14.52</v>
      </c>
      <c r="J596">
        <v>304.92</v>
      </c>
      <c r="K596" s="1">
        <v>43539</v>
      </c>
      <c r="L596" s="2">
        <v>0.54513888888888895</v>
      </c>
      <c r="M596" t="s">
        <v>29</v>
      </c>
      <c r="N596">
        <v>290.39999999999998</v>
      </c>
      <c r="O596">
        <v>4.7619047620000003</v>
      </c>
      <c r="P596">
        <v>14.52</v>
      </c>
      <c r="Q596">
        <v>5.3</v>
      </c>
    </row>
    <row r="597" spans="1:17" x14ac:dyDescent="0.3">
      <c r="A597" t="s">
        <v>631</v>
      </c>
      <c r="B597" t="s">
        <v>42</v>
      </c>
      <c r="C597" t="s">
        <v>43</v>
      </c>
      <c r="D597" t="s">
        <v>27</v>
      </c>
      <c r="E597" t="s">
        <v>31</v>
      </c>
      <c r="F597" t="s">
        <v>22</v>
      </c>
      <c r="G597">
        <v>14.82</v>
      </c>
      <c r="H597">
        <v>3</v>
      </c>
      <c r="I597">
        <v>2.2229999999999999</v>
      </c>
      <c r="J597">
        <v>46.683</v>
      </c>
      <c r="K597" s="1">
        <v>43525</v>
      </c>
      <c r="L597" s="2">
        <v>0.47916666666666669</v>
      </c>
      <c r="M597" t="s">
        <v>33</v>
      </c>
      <c r="N597">
        <v>44.46</v>
      </c>
      <c r="O597">
        <v>4.7619047620000003</v>
      </c>
      <c r="P597">
        <v>2.2229999999999999</v>
      </c>
      <c r="Q597">
        <v>8.6999999999999993</v>
      </c>
    </row>
    <row r="598" spans="1:17" x14ac:dyDescent="0.3">
      <c r="A598" t="s">
        <v>632</v>
      </c>
      <c r="B598" t="s">
        <v>18</v>
      </c>
      <c r="C598" t="s">
        <v>19</v>
      </c>
      <c r="D598" t="s">
        <v>27</v>
      </c>
      <c r="E598" t="s">
        <v>31</v>
      </c>
      <c r="F598" t="s">
        <v>44</v>
      </c>
      <c r="G598">
        <v>52.2</v>
      </c>
      <c r="H598">
        <v>3</v>
      </c>
      <c r="I598">
        <v>7.83</v>
      </c>
      <c r="J598">
        <v>164.43</v>
      </c>
      <c r="K598" s="1">
        <v>43511</v>
      </c>
      <c r="L598" s="2">
        <v>0.5625</v>
      </c>
      <c r="M598" t="s">
        <v>33</v>
      </c>
      <c r="N598">
        <v>156.6</v>
      </c>
      <c r="O598">
        <v>4.7619047620000003</v>
      </c>
      <c r="P598">
        <v>7.83</v>
      </c>
      <c r="Q598">
        <v>9.5</v>
      </c>
    </row>
    <row r="599" spans="1:17" x14ac:dyDescent="0.3">
      <c r="A599" t="s">
        <v>633</v>
      </c>
      <c r="B599" t="s">
        <v>25</v>
      </c>
      <c r="C599" t="s">
        <v>26</v>
      </c>
      <c r="D599" t="s">
        <v>27</v>
      </c>
      <c r="E599" t="s">
        <v>21</v>
      </c>
      <c r="F599" t="s">
        <v>36</v>
      </c>
      <c r="G599">
        <v>46.66</v>
      </c>
      <c r="H599">
        <v>9</v>
      </c>
      <c r="I599">
        <v>20.997</v>
      </c>
      <c r="J599">
        <v>440.93700000000001</v>
      </c>
      <c r="K599" s="1">
        <v>43513</v>
      </c>
      <c r="L599" s="2">
        <v>0.7993055555555556</v>
      </c>
      <c r="M599" t="s">
        <v>23</v>
      </c>
      <c r="N599">
        <v>419.94</v>
      </c>
      <c r="O599">
        <v>4.7619047620000003</v>
      </c>
      <c r="P599">
        <v>20.997</v>
      </c>
      <c r="Q599">
        <v>5.3</v>
      </c>
    </row>
    <row r="600" spans="1:17" x14ac:dyDescent="0.3">
      <c r="A600" t="s">
        <v>634</v>
      </c>
      <c r="B600" t="s">
        <v>25</v>
      </c>
      <c r="C600" t="s">
        <v>26</v>
      </c>
      <c r="D600" t="s">
        <v>27</v>
      </c>
      <c r="E600" t="s">
        <v>21</v>
      </c>
      <c r="F600" t="s">
        <v>46</v>
      </c>
      <c r="G600">
        <v>36.85</v>
      </c>
      <c r="H600">
        <v>5</v>
      </c>
      <c r="I600">
        <v>9.2125000000000004</v>
      </c>
      <c r="J600">
        <v>193.46250000000001</v>
      </c>
      <c r="K600" s="1">
        <v>43491</v>
      </c>
      <c r="L600" s="2">
        <v>0.78680555555555554</v>
      </c>
      <c r="M600" t="s">
        <v>29</v>
      </c>
      <c r="N600">
        <v>184.25</v>
      </c>
      <c r="O600">
        <v>4.7619047620000003</v>
      </c>
      <c r="P600">
        <v>9.2125000000000004</v>
      </c>
      <c r="Q600">
        <v>9.1999999999999993</v>
      </c>
    </row>
    <row r="601" spans="1:17" x14ac:dyDescent="0.3">
      <c r="A601" t="s">
        <v>635</v>
      </c>
      <c r="B601" t="s">
        <v>18</v>
      </c>
      <c r="C601" t="s">
        <v>19</v>
      </c>
      <c r="D601" t="s">
        <v>20</v>
      </c>
      <c r="E601" t="s">
        <v>21</v>
      </c>
      <c r="F601" t="s">
        <v>32</v>
      </c>
      <c r="G601">
        <v>70.319999999999993</v>
      </c>
      <c r="H601">
        <v>2</v>
      </c>
      <c r="I601">
        <v>7.032</v>
      </c>
      <c r="J601">
        <v>147.672</v>
      </c>
      <c r="K601" s="1">
        <v>43548</v>
      </c>
      <c r="L601" s="2">
        <v>0.59861111111111109</v>
      </c>
      <c r="M601" t="s">
        <v>23</v>
      </c>
      <c r="N601">
        <v>140.63999999999999</v>
      </c>
      <c r="O601">
        <v>4.7619047620000003</v>
      </c>
      <c r="P601">
        <v>7.032</v>
      </c>
      <c r="Q601">
        <v>9.6</v>
      </c>
    </row>
    <row r="602" spans="1:17" x14ac:dyDescent="0.3">
      <c r="A602" t="s">
        <v>636</v>
      </c>
      <c r="B602" t="s">
        <v>25</v>
      </c>
      <c r="C602" t="s">
        <v>26</v>
      </c>
      <c r="D602" t="s">
        <v>27</v>
      </c>
      <c r="E602" t="s">
        <v>31</v>
      </c>
      <c r="F602" t="s">
        <v>28</v>
      </c>
      <c r="G602">
        <v>83.08</v>
      </c>
      <c r="H602">
        <v>1</v>
      </c>
      <c r="I602">
        <v>4.1539999999999999</v>
      </c>
      <c r="J602">
        <v>87.233999999999995</v>
      </c>
      <c r="K602" s="1">
        <v>43488</v>
      </c>
      <c r="L602" s="2">
        <v>0.71944444444444444</v>
      </c>
      <c r="M602" t="s">
        <v>23</v>
      </c>
      <c r="N602">
        <v>83.08</v>
      </c>
      <c r="O602">
        <v>4.7619047620000003</v>
      </c>
      <c r="P602">
        <v>4.1539999999999999</v>
      </c>
      <c r="Q602">
        <v>6.4</v>
      </c>
    </row>
    <row r="603" spans="1:17" x14ac:dyDescent="0.3">
      <c r="A603" t="s">
        <v>637</v>
      </c>
      <c r="B603" t="s">
        <v>25</v>
      </c>
      <c r="C603" t="s">
        <v>26</v>
      </c>
      <c r="D603" t="s">
        <v>27</v>
      </c>
      <c r="E603" t="s">
        <v>21</v>
      </c>
      <c r="F603" t="s">
        <v>46</v>
      </c>
      <c r="G603">
        <v>64.989999999999995</v>
      </c>
      <c r="H603">
        <v>1</v>
      </c>
      <c r="I603">
        <v>3.2494999999999998</v>
      </c>
      <c r="J603">
        <v>68.239500000000007</v>
      </c>
      <c r="K603" s="1">
        <v>43491</v>
      </c>
      <c r="L603" s="2">
        <v>0.42083333333333334</v>
      </c>
      <c r="M603" t="s">
        <v>33</v>
      </c>
      <c r="N603">
        <v>64.989999999999995</v>
      </c>
      <c r="O603">
        <v>4.7619047620000003</v>
      </c>
      <c r="P603">
        <v>3.2494999999999998</v>
      </c>
      <c r="Q603">
        <v>4.5</v>
      </c>
    </row>
    <row r="604" spans="1:17" x14ac:dyDescent="0.3">
      <c r="A604" t="s">
        <v>638</v>
      </c>
      <c r="B604" t="s">
        <v>25</v>
      </c>
      <c r="C604" t="s">
        <v>26</v>
      </c>
      <c r="D604" t="s">
        <v>27</v>
      </c>
      <c r="E604" t="s">
        <v>31</v>
      </c>
      <c r="F604" t="s">
        <v>44</v>
      </c>
      <c r="G604">
        <v>77.56</v>
      </c>
      <c r="H604">
        <v>10</v>
      </c>
      <c r="I604">
        <v>38.78</v>
      </c>
      <c r="J604">
        <v>814.38</v>
      </c>
      <c r="K604" s="1">
        <v>43538</v>
      </c>
      <c r="L604" s="2">
        <v>0.85763888888888884</v>
      </c>
      <c r="M604" t="s">
        <v>23</v>
      </c>
      <c r="N604">
        <v>775.6</v>
      </c>
      <c r="O604">
        <v>4.7619047620000003</v>
      </c>
      <c r="P604">
        <v>38.78</v>
      </c>
      <c r="Q604">
        <v>6.9</v>
      </c>
    </row>
    <row r="605" spans="1:17" x14ac:dyDescent="0.3">
      <c r="A605" t="s">
        <v>639</v>
      </c>
      <c r="B605" t="s">
        <v>42</v>
      </c>
      <c r="C605" t="s">
        <v>43</v>
      </c>
      <c r="D605" t="s">
        <v>27</v>
      </c>
      <c r="E605" t="s">
        <v>21</v>
      </c>
      <c r="F605" t="s">
        <v>36</v>
      </c>
      <c r="G605">
        <v>54.51</v>
      </c>
      <c r="H605">
        <v>6</v>
      </c>
      <c r="I605">
        <v>16.353000000000002</v>
      </c>
      <c r="J605">
        <v>343.41300000000001</v>
      </c>
      <c r="K605" s="1">
        <v>43541</v>
      </c>
      <c r="L605" s="2">
        <v>0.57916666666666672</v>
      </c>
      <c r="M605" t="s">
        <v>23</v>
      </c>
      <c r="N605">
        <v>327.06</v>
      </c>
      <c r="O605">
        <v>4.7619047620000003</v>
      </c>
      <c r="P605">
        <v>16.353000000000002</v>
      </c>
      <c r="Q605">
        <v>7.8</v>
      </c>
    </row>
    <row r="606" spans="1:17" x14ac:dyDescent="0.3">
      <c r="A606" t="s">
        <v>640</v>
      </c>
      <c r="B606" t="s">
        <v>25</v>
      </c>
      <c r="C606" t="s">
        <v>26</v>
      </c>
      <c r="D606" t="s">
        <v>20</v>
      </c>
      <c r="E606" t="s">
        <v>21</v>
      </c>
      <c r="F606" t="s">
        <v>46</v>
      </c>
      <c r="G606">
        <v>51.89</v>
      </c>
      <c r="H606">
        <v>7</v>
      </c>
      <c r="I606">
        <v>18.1615</v>
      </c>
      <c r="J606">
        <v>381.39150000000001</v>
      </c>
      <c r="K606" s="1">
        <v>43473</v>
      </c>
      <c r="L606" s="2">
        <v>0.83888888888888891</v>
      </c>
      <c r="M606" t="s">
        <v>29</v>
      </c>
      <c r="N606">
        <v>363.23</v>
      </c>
      <c r="O606">
        <v>4.7619047620000003</v>
      </c>
      <c r="P606">
        <v>18.1615</v>
      </c>
      <c r="Q606">
        <v>4.5</v>
      </c>
    </row>
    <row r="607" spans="1:17" x14ac:dyDescent="0.3">
      <c r="A607" t="s">
        <v>641</v>
      </c>
      <c r="B607" t="s">
        <v>42</v>
      </c>
      <c r="C607" t="s">
        <v>43</v>
      </c>
      <c r="D607" t="s">
        <v>27</v>
      </c>
      <c r="E607" t="s">
        <v>31</v>
      </c>
      <c r="F607" t="s">
        <v>32</v>
      </c>
      <c r="G607">
        <v>31.75</v>
      </c>
      <c r="H607">
        <v>4</v>
      </c>
      <c r="I607">
        <v>6.35</v>
      </c>
      <c r="J607">
        <v>133.35</v>
      </c>
      <c r="K607" s="1">
        <v>43504</v>
      </c>
      <c r="L607" s="2">
        <v>0.6430555555555556</v>
      </c>
      <c r="M607" t="s">
        <v>29</v>
      </c>
      <c r="N607">
        <v>127</v>
      </c>
      <c r="O607">
        <v>4.7619047620000003</v>
      </c>
      <c r="P607">
        <v>6.35</v>
      </c>
      <c r="Q607">
        <v>8.6</v>
      </c>
    </row>
    <row r="608" spans="1:17" x14ac:dyDescent="0.3">
      <c r="A608" t="s">
        <v>642</v>
      </c>
      <c r="B608" t="s">
        <v>18</v>
      </c>
      <c r="C608" t="s">
        <v>19</v>
      </c>
      <c r="D608" t="s">
        <v>20</v>
      </c>
      <c r="E608" t="s">
        <v>21</v>
      </c>
      <c r="F608" t="s">
        <v>46</v>
      </c>
      <c r="G608">
        <v>53.65</v>
      </c>
      <c r="H608">
        <v>7</v>
      </c>
      <c r="I608">
        <v>18.7775</v>
      </c>
      <c r="J608">
        <v>394.32749999999999</v>
      </c>
      <c r="K608" s="1">
        <v>43506</v>
      </c>
      <c r="L608" s="2">
        <v>0.53888888888888886</v>
      </c>
      <c r="M608" t="s">
        <v>23</v>
      </c>
      <c r="N608">
        <v>375.55</v>
      </c>
      <c r="O608">
        <v>4.7619047620000003</v>
      </c>
      <c r="P608">
        <v>18.7775</v>
      </c>
      <c r="Q608">
        <v>5.2</v>
      </c>
    </row>
    <row r="609" spans="1:17" x14ac:dyDescent="0.3">
      <c r="A609" t="s">
        <v>643</v>
      </c>
      <c r="B609" t="s">
        <v>25</v>
      </c>
      <c r="C609" t="s">
        <v>26</v>
      </c>
      <c r="D609" t="s">
        <v>20</v>
      </c>
      <c r="E609" t="s">
        <v>21</v>
      </c>
      <c r="F609" t="s">
        <v>44</v>
      </c>
      <c r="G609">
        <v>49.79</v>
      </c>
      <c r="H609">
        <v>4</v>
      </c>
      <c r="I609">
        <v>9.9580000000000002</v>
      </c>
      <c r="J609">
        <v>209.11799999999999</v>
      </c>
      <c r="K609" s="1">
        <v>43552</v>
      </c>
      <c r="L609" s="2">
        <v>0.8027777777777777</v>
      </c>
      <c r="M609" t="s">
        <v>33</v>
      </c>
      <c r="N609">
        <v>199.16</v>
      </c>
      <c r="O609">
        <v>4.7619047620000003</v>
      </c>
      <c r="P609">
        <v>9.9580000000000002</v>
      </c>
      <c r="Q609">
        <v>6.4</v>
      </c>
    </row>
    <row r="610" spans="1:17" x14ac:dyDescent="0.3">
      <c r="A610" t="s">
        <v>644</v>
      </c>
      <c r="B610" t="s">
        <v>18</v>
      </c>
      <c r="C610" t="s">
        <v>19</v>
      </c>
      <c r="D610" t="s">
        <v>27</v>
      </c>
      <c r="E610" t="s">
        <v>31</v>
      </c>
      <c r="F610" t="s">
        <v>46</v>
      </c>
      <c r="G610">
        <v>30.61</v>
      </c>
      <c r="H610">
        <v>1</v>
      </c>
      <c r="I610">
        <v>1.5305</v>
      </c>
      <c r="J610">
        <v>32.140500000000003</v>
      </c>
      <c r="K610" s="1">
        <v>43488</v>
      </c>
      <c r="L610" s="2">
        <v>0.51388888888888895</v>
      </c>
      <c r="M610" t="s">
        <v>23</v>
      </c>
      <c r="N610">
        <v>30.61</v>
      </c>
      <c r="O610">
        <v>4.7619047620000003</v>
      </c>
      <c r="P610">
        <v>1.5305</v>
      </c>
      <c r="Q610">
        <v>5.2</v>
      </c>
    </row>
    <row r="611" spans="1:17" x14ac:dyDescent="0.3">
      <c r="A611" t="s">
        <v>645</v>
      </c>
      <c r="B611" t="s">
        <v>42</v>
      </c>
      <c r="C611" t="s">
        <v>43</v>
      </c>
      <c r="D611" t="s">
        <v>20</v>
      </c>
      <c r="E611" t="s">
        <v>31</v>
      </c>
      <c r="F611" t="s">
        <v>44</v>
      </c>
      <c r="G611">
        <v>57.89</v>
      </c>
      <c r="H611">
        <v>2</v>
      </c>
      <c r="I611">
        <v>5.7889999999999997</v>
      </c>
      <c r="J611">
        <v>121.569</v>
      </c>
      <c r="K611" s="1">
        <v>43482</v>
      </c>
      <c r="L611" s="2">
        <v>0.44236111111111115</v>
      </c>
      <c r="M611" t="s">
        <v>23</v>
      </c>
      <c r="N611">
        <v>115.78</v>
      </c>
      <c r="O611">
        <v>4.7619047620000003</v>
      </c>
      <c r="P611">
        <v>5.7889999999999997</v>
      </c>
      <c r="Q611">
        <v>8.9</v>
      </c>
    </row>
    <row r="612" spans="1:17" x14ac:dyDescent="0.3">
      <c r="A612" t="s">
        <v>646</v>
      </c>
      <c r="B612" t="s">
        <v>18</v>
      </c>
      <c r="C612" t="s">
        <v>19</v>
      </c>
      <c r="D612" t="s">
        <v>27</v>
      </c>
      <c r="E612" t="s">
        <v>21</v>
      </c>
      <c r="F612" t="s">
        <v>28</v>
      </c>
      <c r="G612">
        <v>28.96</v>
      </c>
      <c r="H612">
        <v>1</v>
      </c>
      <c r="I612">
        <v>1.448</v>
      </c>
      <c r="J612">
        <v>30.408000000000001</v>
      </c>
      <c r="K612" s="1">
        <v>43503</v>
      </c>
      <c r="L612" s="2">
        <v>0.4291666666666667</v>
      </c>
      <c r="M612" t="s">
        <v>33</v>
      </c>
      <c r="N612">
        <v>28.96</v>
      </c>
      <c r="O612">
        <v>4.7619047620000003</v>
      </c>
      <c r="P612">
        <v>1.448</v>
      </c>
      <c r="Q612">
        <v>6.2</v>
      </c>
    </row>
    <row r="613" spans="1:17" x14ac:dyDescent="0.3">
      <c r="A613" t="s">
        <v>647</v>
      </c>
      <c r="B613" t="s">
        <v>25</v>
      </c>
      <c r="C613" t="s">
        <v>26</v>
      </c>
      <c r="D613" t="s">
        <v>20</v>
      </c>
      <c r="E613" t="s">
        <v>21</v>
      </c>
      <c r="F613" t="s">
        <v>44</v>
      </c>
      <c r="G613">
        <v>98.97</v>
      </c>
      <c r="H613">
        <v>9</v>
      </c>
      <c r="I613">
        <v>44.536499999999997</v>
      </c>
      <c r="J613">
        <v>935.26649999999995</v>
      </c>
      <c r="K613" s="1">
        <v>43533</v>
      </c>
      <c r="L613" s="2">
        <v>0.47430555555555554</v>
      </c>
      <c r="M613" t="s">
        <v>29</v>
      </c>
      <c r="N613">
        <v>890.73</v>
      </c>
      <c r="O613">
        <v>4.7619047620000003</v>
      </c>
      <c r="P613">
        <v>44.536499999999997</v>
      </c>
      <c r="Q613">
        <v>6.7</v>
      </c>
    </row>
    <row r="614" spans="1:17" x14ac:dyDescent="0.3">
      <c r="A614" t="s">
        <v>648</v>
      </c>
      <c r="B614" t="s">
        <v>42</v>
      </c>
      <c r="C614" t="s">
        <v>43</v>
      </c>
      <c r="D614" t="s">
        <v>20</v>
      </c>
      <c r="E614" t="s">
        <v>31</v>
      </c>
      <c r="F614" t="s">
        <v>46</v>
      </c>
      <c r="G614">
        <v>93.22</v>
      </c>
      <c r="H614">
        <v>3</v>
      </c>
      <c r="I614">
        <v>13.983000000000001</v>
      </c>
      <c r="J614">
        <v>293.64299999999997</v>
      </c>
      <c r="K614" s="1">
        <v>43489</v>
      </c>
      <c r="L614" s="2">
        <v>0.48958333333333331</v>
      </c>
      <c r="M614" t="s">
        <v>29</v>
      </c>
      <c r="N614">
        <v>279.66000000000003</v>
      </c>
      <c r="O614">
        <v>4.7619047620000003</v>
      </c>
      <c r="P614">
        <v>13.983000000000001</v>
      </c>
      <c r="Q614">
        <v>7.2</v>
      </c>
    </row>
    <row r="615" spans="1:17" x14ac:dyDescent="0.3">
      <c r="A615" t="s">
        <v>649</v>
      </c>
      <c r="B615" t="s">
        <v>25</v>
      </c>
      <c r="C615" t="s">
        <v>26</v>
      </c>
      <c r="D615" t="s">
        <v>20</v>
      </c>
      <c r="E615" t="s">
        <v>31</v>
      </c>
      <c r="F615" t="s">
        <v>36</v>
      </c>
      <c r="G615">
        <v>80.930000000000007</v>
      </c>
      <c r="H615">
        <v>1</v>
      </c>
      <c r="I615">
        <v>4.0465</v>
      </c>
      <c r="J615">
        <v>84.976500000000001</v>
      </c>
      <c r="K615" s="1">
        <v>43484</v>
      </c>
      <c r="L615" s="2">
        <v>0.67222222222222217</v>
      </c>
      <c r="M615" t="s">
        <v>33</v>
      </c>
      <c r="N615">
        <v>80.930000000000007</v>
      </c>
      <c r="O615">
        <v>4.7619047620000003</v>
      </c>
      <c r="P615">
        <v>4.0465</v>
      </c>
      <c r="Q615">
        <v>9</v>
      </c>
    </row>
    <row r="616" spans="1:17" x14ac:dyDescent="0.3">
      <c r="A616" t="s">
        <v>650</v>
      </c>
      <c r="B616" t="s">
        <v>18</v>
      </c>
      <c r="C616" t="s">
        <v>19</v>
      </c>
      <c r="D616" t="s">
        <v>20</v>
      </c>
      <c r="E616" t="s">
        <v>31</v>
      </c>
      <c r="F616" t="s">
        <v>44</v>
      </c>
      <c r="G616">
        <v>67.45</v>
      </c>
      <c r="H616">
        <v>10</v>
      </c>
      <c r="I616">
        <v>33.725000000000001</v>
      </c>
      <c r="J616">
        <v>708.22500000000002</v>
      </c>
      <c r="K616" s="1">
        <v>43499</v>
      </c>
      <c r="L616" s="2">
        <v>0.47569444444444442</v>
      </c>
      <c r="M616" t="s">
        <v>23</v>
      </c>
      <c r="N616">
        <v>674.5</v>
      </c>
      <c r="O616">
        <v>4.7619047620000003</v>
      </c>
      <c r="P616">
        <v>33.725000000000001</v>
      </c>
      <c r="Q616">
        <v>4.2</v>
      </c>
    </row>
    <row r="617" spans="1:17" x14ac:dyDescent="0.3">
      <c r="A617" t="s">
        <v>651</v>
      </c>
      <c r="B617" t="s">
        <v>18</v>
      </c>
      <c r="C617" t="s">
        <v>19</v>
      </c>
      <c r="D617" t="s">
        <v>20</v>
      </c>
      <c r="E617" t="s">
        <v>21</v>
      </c>
      <c r="F617" t="s">
        <v>36</v>
      </c>
      <c r="G617">
        <v>38.72</v>
      </c>
      <c r="H617">
        <v>9</v>
      </c>
      <c r="I617">
        <v>17.423999999999999</v>
      </c>
      <c r="J617">
        <v>365.904</v>
      </c>
      <c r="K617" s="1">
        <v>43544</v>
      </c>
      <c r="L617" s="2">
        <v>0.51666666666666672</v>
      </c>
      <c r="M617" t="s">
        <v>23</v>
      </c>
      <c r="N617">
        <v>348.48</v>
      </c>
      <c r="O617">
        <v>4.7619047620000003</v>
      </c>
      <c r="P617">
        <v>17.423999999999999</v>
      </c>
      <c r="Q617">
        <v>4.2</v>
      </c>
    </row>
    <row r="618" spans="1:17" x14ac:dyDescent="0.3">
      <c r="A618" t="s">
        <v>652</v>
      </c>
      <c r="B618" t="s">
        <v>42</v>
      </c>
      <c r="C618" t="s">
        <v>43</v>
      </c>
      <c r="D618" t="s">
        <v>20</v>
      </c>
      <c r="E618" t="s">
        <v>31</v>
      </c>
      <c r="F618" t="s">
        <v>36</v>
      </c>
      <c r="G618">
        <v>72.599999999999994</v>
      </c>
      <c r="H618">
        <v>6</v>
      </c>
      <c r="I618">
        <v>21.78</v>
      </c>
      <c r="J618">
        <v>457.38</v>
      </c>
      <c r="K618" s="1">
        <v>43478</v>
      </c>
      <c r="L618" s="2">
        <v>0.82708333333333339</v>
      </c>
      <c r="M618" t="s">
        <v>29</v>
      </c>
      <c r="N618">
        <v>435.6</v>
      </c>
      <c r="O618">
        <v>4.7619047620000003</v>
      </c>
      <c r="P618">
        <v>21.78</v>
      </c>
      <c r="Q618">
        <v>6.9</v>
      </c>
    </row>
    <row r="619" spans="1:17" x14ac:dyDescent="0.3">
      <c r="A619" t="s">
        <v>653</v>
      </c>
      <c r="B619" t="s">
        <v>25</v>
      </c>
      <c r="C619" t="s">
        <v>26</v>
      </c>
      <c r="D619" t="s">
        <v>20</v>
      </c>
      <c r="E619" t="s">
        <v>31</v>
      </c>
      <c r="F619" t="s">
        <v>28</v>
      </c>
      <c r="G619">
        <v>87.91</v>
      </c>
      <c r="H619">
        <v>5</v>
      </c>
      <c r="I619">
        <v>21.977499999999999</v>
      </c>
      <c r="J619">
        <v>461.52749999999997</v>
      </c>
      <c r="K619" s="1">
        <v>43538</v>
      </c>
      <c r="L619" s="2">
        <v>0.75694444444444453</v>
      </c>
      <c r="M619" t="s">
        <v>23</v>
      </c>
      <c r="N619">
        <v>439.55</v>
      </c>
      <c r="O619">
        <v>4.7619047620000003</v>
      </c>
      <c r="P619">
        <v>21.977499999999999</v>
      </c>
      <c r="Q619">
        <v>4.4000000000000004</v>
      </c>
    </row>
    <row r="620" spans="1:17" x14ac:dyDescent="0.3">
      <c r="A620" t="s">
        <v>654</v>
      </c>
      <c r="B620" t="s">
        <v>18</v>
      </c>
      <c r="C620" t="s">
        <v>19</v>
      </c>
      <c r="D620" t="s">
        <v>20</v>
      </c>
      <c r="E620" t="s">
        <v>31</v>
      </c>
      <c r="F620" t="s">
        <v>44</v>
      </c>
      <c r="G620">
        <v>98.53</v>
      </c>
      <c r="H620">
        <v>6</v>
      </c>
      <c r="I620">
        <v>29.559000000000001</v>
      </c>
      <c r="J620">
        <v>620.73900000000003</v>
      </c>
      <c r="K620" s="1">
        <v>43488</v>
      </c>
      <c r="L620" s="2">
        <v>0.47361111111111115</v>
      </c>
      <c r="M620" t="s">
        <v>33</v>
      </c>
      <c r="N620">
        <v>591.17999999999995</v>
      </c>
      <c r="O620">
        <v>4.7619047620000003</v>
      </c>
      <c r="P620">
        <v>29.559000000000001</v>
      </c>
      <c r="Q620">
        <v>4</v>
      </c>
    </row>
    <row r="621" spans="1:17" x14ac:dyDescent="0.3">
      <c r="A621" t="s">
        <v>655</v>
      </c>
      <c r="B621" t="s">
        <v>25</v>
      </c>
      <c r="C621" t="s">
        <v>26</v>
      </c>
      <c r="D621" t="s">
        <v>20</v>
      </c>
      <c r="E621" t="s">
        <v>21</v>
      </c>
      <c r="F621" t="s">
        <v>46</v>
      </c>
      <c r="G621">
        <v>43.46</v>
      </c>
      <c r="H621">
        <v>6</v>
      </c>
      <c r="I621">
        <v>13.038</v>
      </c>
      <c r="J621">
        <v>273.798</v>
      </c>
      <c r="K621" s="1">
        <v>43503</v>
      </c>
      <c r="L621" s="2">
        <v>0.74652777777777779</v>
      </c>
      <c r="M621" t="s">
        <v>23</v>
      </c>
      <c r="N621">
        <v>260.76</v>
      </c>
      <c r="O621">
        <v>4.7619047620000003</v>
      </c>
      <c r="P621">
        <v>13.038</v>
      </c>
      <c r="Q621">
        <v>8.5</v>
      </c>
    </row>
    <row r="622" spans="1:17" x14ac:dyDescent="0.3">
      <c r="A622" t="s">
        <v>656</v>
      </c>
      <c r="B622" t="s">
        <v>18</v>
      </c>
      <c r="C622" t="s">
        <v>19</v>
      </c>
      <c r="D622" t="s">
        <v>27</v>
      </c>
      <c r="E622" t="s">
        <v>21</v>
      </c>
      <c r="F622" t="s">
        <v>44</v>
      </c>
      <c r="G622">
        <v>71.680000000000007</v>
      </c>
      <c r="H622">
        <v>3</v>
      </c>
      <c r="I622">
        <v>10.752000000000001</v>
      </c>
      <c r="J622">
        <v>225.792</v>
      </c>
      <c r="K622" s="1">
        <v>43552</v>
      </c>
      <c r="L622" s="2">
        <v>0.64583333333333337</v>
      </c>
      <c r="M622" t="s">
        <v>33</v>
      </c>
      <c r="N622">
        <v>215.04</v>
      </c>
      <c r="O622">
        <v>4.7619047620000003</v>
      </c>
      <c r="P622">
        <v>10.752000000000001</v>
      </c>
      <c r="Q622">
        <v>9.1999999999999993</v>
      </c>
    </row>
    <row r="623" spans="1:17" x14ac:dyDescent="0.3">
      <c r="A623" t="s">
        <v>657</v>
      </c>
      <c r="B623" t="s">
        <v>18</v>
      </c>
      <c r="C623" t="s">
        <v>19</v>
      </c>
      <c r="D623" t="s">
        <v>20</v>
      </c>
      <c r="E623" t="s">
        <v>21</v>
      </c>
      <c r="F623" t="s">
        <v>44</v>
      </c>
      <c r="G623">
        <v>91.61</v>
      </c>
      <c r="H623">
        <v>1</v>
      </c>
      <c r="I623">
        <v>4.5804999999999998</v>
      </c>
      <c r="J623">
        <v>96.1905</v>
      </c>
      <c r="K623" s="1">
        <v>43544</v>
      </c>
      <c r="L623" s="2">
        <v>0.8222222222222223</v>
      </c>
      <c r="M623" t="s">
        <v>29</v>
      </c>
      <c r="N623">
        <v>91.61</v>
      </c>
      <c r="O623">
        <v>4.7619047620000003</v>
      </c>
      <c r="P623">
        <v>4.5804999999999998</v>
      </c>
      <c r="Q623">
        <v>9.8000000000000007</v>
      </c>
    </row>
    <row r="624" spans="1:17" x14ac:dyDescent="0.3">
      <c r="A624" t="s">
        <v>658</v>
      </c>
      <c r="B624" t="s">
        <v>42</v>
      </c>
      <c r="C624" t="s">
        <v>43</v>
      </c>
      <c r="D624" t="s">
        <v>20</v>
      </c>
      <c r="E624" t="s">
        <v>21</v>
      </c>
      <c r="F624" t="s">
        <v>32</v>
      </c>
      <c r="G624">
        <v>94.59</v>
      </c>
      <c r="H624">
        <v>7</v>
      </c>
      <c r="I624">
        <v>33.106499999999997</v>
      </c>
      <c r="J624">
        <v>695.23649999999998</v>
      </c>
      <c r="K624" s="1">
        <v>43482</v>
      </c>
      <c r="L624" s="2">
        <v>0.64374999999999993</v>
      </c>
      <c r="M624" t="s">
        <v>33</v>
      </c>
      <c r="N624">
        <v>662.13</v>
      </c>
      <c r="O624">
        <v>4.7619047620000003</v>
      </c>
      <c r="P624">
        <v>33.106499999999997</v>
      </c>
      <c r="Q624">
        <v>4.9000000000000004</v>
      </c>
    </row>
    <row r="625" spans="1:17" x14ac:dyDescent="0.3">
      <c r="A625" t="s">
        <v>659</v>
      </c>
      <c r="B625" t="s">
        <v>42</v>
      </c>
      <c r="C625" t="s">
        <v>43</v>
      </c>
      <c r="D625" t="s">
        <v>27</v>
      </c>
      <c r="E625" t="s">
        <v>21</v>
      </c>
      <c r="F625" t="s">
        <v>46</v>
      </c>
      <c r="G625">
        <v>83.25</v>
      </c>
      <c r="H625">
        <v>10</v>
      </c>
      <c r="I625">
        <v>41.625</v>
      </c>
      <c r="J625">
        <v>874.125</v>
      </c>
      <c r="K625" s="1">
        <v>43477</v>
      </c>
      <c r="L625" s="2">
        <v>0.47569444444444442</v>
      </c>
      <c r="M625" t="s">
        <v>33</v>
      </c>
      <c r="N625">
        <v>832.5</v>
      </c>
      <c r="O625">
        <v>4.7619047620000003</v>
      </c>
      <c r="P625">
        <v>41.625</v>
      </c>
      <c r="Q625">
        <v>4.4000000000000004</v>
      </c>
    </row>
    <row r="626" spans="1:17" x14ac:dyDescent="0.3">
      <c r="A626" t="s">
        <v>660</v>
      </c>
      <c r="B626" t="s">
        <v>42</v>
      </c>
      <c r="C626" t="s">
        <v>43</v>
      </c>
      <c r="D626" t="s">
        <v>20</v>
      </c>
      <c r="E626" t="s">
        <v>31</v>
      </c>
      <c r="F626" t="s">
        <v>46</v>
      </c>
      <c r="G626">
        <v>91.35</v>
      </c>
      <c r="H626">
        <v>1</v>
      </c>
      <c r="I626">
        <v>4.5674999999999999</v>
      </c>
      <c r="J626">
        <v>95.917500000000004</v>
      </c>
      <c r="K626" s="1">
        <v>43512</v>
      </c>
      <c r="L626" s="2">
        <v>0.65416666666666667</v>
      </c>
      <c r="M626" t="s">
        <v>29</v>
      </c>
      <c r="N626">
        <v>91.35</v>
      </c>
      <c r="O626">
        <v>4.7619047620000003</v>
      </c>
      <c r="P626">
        <v>4.5674999999999999</v>
      </c>
      <c r="Q626">
        <v>6.8</v>
      </c>
    </row>
    <row r="627" spans="1:17" x14ac:dyDescent="0.3">
      <c r="A627" t="s">
        <v>661</v>
      </c>
      <c r="B627" t="s">
        <v>42</v>
      </c>
      <c r="C627" t="s">
        <v>43</v>
      </c>
      <c r="D627" t="s">
        <v>20</v>
      </c>
      <c r="E627" t="s">
        <v>21</v>
      </c>
      <c r="F627" t="s">
        <v>44</v>
      </c>
      <c r="G627">
        <v>78.88</v>
      </c>
      <c r="H627">
        <v>2</v>
      </c>
      <c r="I627">
        <v>7.8879999999999999</v>
      </c>
      <c r="J627">
        <v>165.648</v>
      </c>
      <c r="K627" s="1">
        <v>43491</v>
      </c>
      <c r="L627" s="2">
        <v>0.6694444444444444</v>
      </c>
      <c r="M627" t="s">
        <v>29</v>
      </c>
      <c r="N627">
        <v>157.76</v>
      </c>
      <c r="O627">
        <v>4.7619047620000003</v>
      </c>
      <c r="P627">
        <v>7.8879999999999999</v>
      </c>
      <c r="Q627">
        <v>9.1</v>
      </c>
    </row>
    <row r="628" spans="1:17" x14ac:dyDescent="0.3">
      <c r="A628" t="s">
        <v>662</v>
      </c>
      <c r="B628" t="s">
        <v>18</v>
      </c>
      <c r="C628" t="s">
        <v>19</v>
      </c>
      <c r="D628" t="s">
        <v>27</v>
      </c>
      <c r="E628" t="s">
        <v>31</v>
      </c>
      <c r="F628" t="s">
        <v>36</v>
      </c>
      <c r="G628">
        <v>60.87</v>
      </c>
      <c r="H628">
        <v>2</v>
      </c>
      <c r="I628">
        <v>6.0869999999999997</v>
      </c>
      <c r="J628">
        <v>127.827</v>
      </c>
      <c r="K628" s="1">
        <v>43533</v>
      </c>
      <c r="L628" s="2">
        <v>0.52569444444444446</v>
      </c>
      <c r="M628" t="s">
        <v>23</v>
      </c>
      <c r="N628">
        <v>121.74</v>
      </c>
      <c r="O628">
        <v>4.7619047620000003</v>
      </c>
      <c r="P628">
        <v>6.0869999999999997</v>
      </c>
      <c r="Q628">
        <v>8.6999999999999993</v>
      </c>
    </row>
    <row r="629" spans="1:17" x14ac:dyDescent="0.3">
      <c r="A629" t="s">
        <v>663</v>
      </c>
      <c r="B629" t="s">
        <v>42</v>
      </c>
      <c r="C629" t="s">
        <v>43</v>
      </c>
      <c r="D629" t="s">
        <v>20</v>
      </c>
      <c r="E629" t="s">
        <v>31</v>
      </c>
      <c r="F629" t="s">
        <v>22</v>
      </c>
      <c r="G629">
        <v>82.58</v>
      </c>
      <c r="H629">
        <v>10</v>
      </c>
      <c r="I629">
        <v>41.29</v>
      </c>
      <c r="J629">
        <v>867.09</v>
      </c>
      <c r="K629" s="1">
        <v>43538</v>
      </c>
      <c r="L629" s="2">
        <v>0.6118055555555556</v>
      </c>
      <c r="M629" t="s">
        <v>29</v>
      </c>
      <c r="N629">
        <v>825.8</v>
      </c>
      <c r="O629">
        <v>4.7619047620000003</v>
      </c>
      <c r="P629">
        <v>41.29</v>
      </c>
      <c r="Q629">
        <v>5</v>
      </c>
    </row>
    <row r="630" spans="1:17" x14ac:dyDescent="0.3">
      <c r="A630" t="s">
        <v>664</v>
      </c>
      <c r="B630" t="s">
        <v>18</v>
      </c>
      <c r="C630" t="s">
        <v>19</v>
      </c>
      <c r="D630" t="s">
        <v>20</v>
      </c>
      <c r="E630" t="s">
        <v>31</v>
      </c>
      <c r="F630" t="s">
        <v>32</v>
      </c>
      <c r="G630">
        <v>53.3</v>
      </c>
      <c r="H630">
        <v>3</v>
      </c>
      <c r="I630">
        <v>7.9950000000000001</v>
      </c>
      <c r="J630">
        <v>167.89500000000001</v>
      </c>
      <c r="K630" s="1">
        <v>43490</v>
      </c>
      <c r="L630" s="2">
        <v>0.59652777777777777</v>
      </c>
      <c r="M630" t="s">
        <v>23</v>
      </c>
      <c r="N630">
        <v>159.9</v>
      </c>
      <c r="O630">
        <v>4.7619047620000003</v>
      </c>
      <c r="P630">
        <v>7.9950000000000001</v>
      </c>
      <c r="Q630">
        <v>7.5</v>
      </c>
    </row>
    <row r="631" spans="1:17" x14ac:dyDescent="0.3">
      <c r="A631" t="s">
        <v>665</v>
      </c>
      <c r="B631" t="s">
        <v>18</v>
      </c>
      <c r="C631" t="s">
        <v>19</v>
      </c>
      <c r="D631" t="s">
        <v>27</v>
      </c>
      <c r="E631" t="s">
        <v>21</v>
      </c>
      <c r="F631" t="s">
        <v>46</v>
      </c>
      <c r="G631">
        <v>12.09</v>
      </c>
      <c r="H631">
        <v>1</v>
      </c>
      <c r="I631">
        <v>0.60450000000000004</v>
      </c>
      <c r="J631">
        <v>12.6945</v>
      </c>
      <c r="K631" s="1">
        <v>43491</v>
      </c>
      <c r="L631" s="2">
        <v>0.7631944444444444</v>
      </c>
      <c r="M631" t="s">
        <v>33</v>
      </c>
      <c r="N631">
        <v>12.09</v>
      </c>
      <c r="O631">
        <v>4.7619047620000003</v>
      </c>
      <c r="P631">
        <v>0.60450000000000004</v>
      </c>
      <c r="Q631">
        <v>8.1999999999999993</v>
      </c>
    </row>
    <row r="632" spans="1:17" x14ac:dyDescent="0.3">
      <c r="A632" t="s">
        <v>666</v>
      </c>
      <c r="B632" t="s">
        <v>18</v>
      </c>
      <c r="C632" t="s">
        <v>19</v>
      </c>
      <c r="D632" t="s">
        <v>27</v>
      </c>
      <c r="E632" t="s">
        <v>31</v>
      </c>
      <c r="F632" t="s">
        <v>36</v>
      </c>
      <c r="G632">
        <v>64.19</v>
      </c>
      <c r="H632">
        <v>10</v>
      </c>
      <c r="I632">
        <v>32.094999999999999</v>
      </c>
      <c r="J632">
        <v>673.995</v>
      </c>
      <c r="K632" s="1">
        <v>43484</v>
      </c>
      <c r="L632" s="2">
        <v>0.58888888888888891</v>
      </c>
      <c r="M632" t="s">
        <v>33</v>
      </c>
      <c r="N632">
        <v>641.9</v>
      </c>
      <c r="O632">
        <v>4.7619047620000003</v>
      </c>
      <c r="P632">
        <v>32.094999999999999</v>
      </c>
      <c r="Q632">
        <v>6.7</v>
      </c>
    </row>
    <row r="633" spans="1:17" x14ac:dyDescent="0.3">
      <c r="A633" t="s">
        <v>667</v>
      </c>
      <c r="B633" t="s">
        <v>18</v>
      </c>
      <c r="C633" t="s">
        <v>19</v>
      </c>
      <c r="D633" t="s">
        <v>27</v>
      </c>
      <c r="E633" t="s">
        <v>31</v>
      </c>
      <c r="F633" t="s">
        <v>28</v>
      </c>
      <c r="G633">
        <v>78.31</v>
      </c>
      <c r="H633">
        <v>3</v>
      </c>
      <c r="I633">
        <v>11.746499999999999</v>
      </c>
      <c r="J633">
        <v>246.6765</v>
      </c>
      <c r="K633" s="1">
        <v>43529</v>
      </c>
      <c r="L633" s="2">
        <v>0.69305555555555554</v>
      </c>
      <c r="M633" t="s">
        <v>23</v>
      </c>
      <c r="N633">
        <v>234.93</v>
      </c>
      <c r="O633">
        <v>4.7619047620000003</v>
      </c>
      <c r="P633">
        <v>11.746499999999999</v>
      </c>
      <c r="Q633">
        <v>5.4</v>
      </c>
    </row>
    <row r="634" spans="1:17" x14ac:dyDescent="0.3">
      <c r="A634" t="s">
        <v>668</v>
      </c>
      <c r="B634" t="s">
        <v>18</v>
      </c>
      <c r="C634" t="s">
        <v>19</v>
      </c>
      <c r="D634" t="s">
        <v>20</v>
      </c>
      <c r="E634" t="s">
        <v>31</v>
      </c>
      <c r="F634" t="s">
        <v>44</v>
      </c>
      <c r="G634">
        <v>83.77</v>
      </c>
      <c r="H634">
        <v>2</v>
      </c>
      <c r="I634">
        <v>8.3770000000000007</v>
      </c>
      <c r="J634">
        <v>175.917</v>
      </c>
      <c r="K634" s="1">
        <v>43480</v>
      </c>
      <c r="L634" s="2">
        <v>0.45416666666666666</v>
      </c>
      <c r="M634" t="s">
        <v>33</v>
      </c>
      <c r="N634">
        <v>167.54</v>
      </c>
      <c r="O634">
        <v>4.7619047620000003</v>
      </c>
      <c r="P634">
        <v>8.3770000000000007</v>
      </c>
      <c r="Q634">
        <v>7</v>
      </c>
    </row>
    <row r="635" spans="1:17" x14ac:dyDescent="0.3">
      <c r="A635" t="s">
        <v>669</v>
      </c>
      <c r="B635" t="s">
        <v>42</v>
      </c>
      <c r="C635" t="s">
        <v>43</v>
      </c>
      <c r="D635" t="s">
        <v>27</v>
      </c>
      <c r="E635" t="s">
        <v>31</v>
      </c>
      <c r="F635" t="s">
        <v>32</v>
      </c>
      <c r="G635">
        <v>99.7</v>
      </c>
      <c r="H635">
        <v>3</v>
      </c>
      <c r="I635">
        <v>14.955</v>
      </c>
      <c r="J635">
        <v>314.05500000000001</v>
      </c>
      <c r="K635" s="1">
        <v>43542</v>
      </c>
      <c r="L635" s="2">
        <v>0.47847222222222219</v>
      </c>
      <c r="M635" t="s">
        <v>23</v>
      </c>
      <c r="N635">
        <v>299.10000000000002</v>
      </c>
      <c r="O635">
        <v>4.7619047620000003</v>
      </c>
      <c r="P635">
        <v>14.955</v>
      </c>
      <c r="Q635">
        <v>4.7</v>
      </c>
    </row>
    <row r="636" spans="1:17" x14ac:dyDescent="0.3">
      <c r="A636" t="s">
        <v>670</v>
      </c>
      <c r="B636" t="s">
        <v>42</v>
      </c>
      <c r="C636" t="s">
        <v>43</v>
      </c>
      <c r="D636" t="s">
        <v>20</v>
      </c>
      <c r="E636" t="s">
        <v>31</v>
      </c>
      <c r="F636" t="s">
        <v>44</v>
      </c>
      <c r="G636">
        <v>79.91</v>
      </c>
      <c r="H636">
        <v>3</v>
      </c>
      <c r="I636">
        <v>11.986499999999999</v>
      </c>
      <c r="J636">
        <v>251.7165</v>
      </c>
      <c r="K636" s="1">
        <v>43544</v>
      </c>
      <c r="L636" s="2">
        <v>0.81111111111111101</v>
      </c>
      <c r="M636" t="s">
        <v>33</v>
      </c>
      <c r="N636">
        <v>239.73</v>
      </c>
      <c r="O636">
        <v>4.7619047620000003</v>
      </c>
      <c r="P636">
        <v>11.986499999999999</v>
      </c>
      <c r="Q636">
        <v>5</v>
      </c>
    </row>
    <row r="637" spans="1:17" x14ac:dyDescent="0.3">
      <c r="A637" t="s">
        <v>671</v>
      </c>
      <c r="B637" t="s">
        <v>42</v>
      </c>
      <c r="C637" t="s">
        <v>43</v>
      </c>
      <c r="D637" t="s">
        <v>20</v>
      </c>
      <c r="E637" t="s">
        <v>31</v>
      </c>
      <c r="F637" t="s">
        <v>22</v>
      </c>
      <c r="G637">
        <v>66.47</v>
      </c>
      <c r="H637">
        <v>10</v>
      </c>
      <c r="I637">
        <v>33.234999999999999</v>
      </c>
      <c r="J637">
        <v>697.93499999999995</v>
      </c>
      <c r="K637" s="1">
        <v>43480</v>
      </c>
      <c r="L637" s="2">
        <v>0.62569444444444444</v>
      </c>
      <c r="M637" t="s">
        <v>33</v>
      </c>
      <c r="N637">
        <v>664.7</v>
      </c>
      <c r="O637">
        <v>4.7619047620000003</v>
      </c>
      <c r="P637">
        <v>33.234999999999999</v>
      </c>
      <c r="Q637">
        <v>5</v>
      </c>
    </row>
    <row r="638" spans="1:17" x14ac:dyDescent="0.3">
      <c r="A638" t="s">
        <v>672</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x14ac:dyDescent="0.3">
      <c r="A639" t="s">
        <v>673</v>
      </c>
      <c r="B639" t="s">
        <v>25</v>
      </c>
      <c r="C639" t="s">
        <v>26</v>
      </c>
      <c r="D639" t="s">
        <v>27</v>
      </c>
      <c r="E639" t="s">
        <v>21</v>
      </c>
      <c r="F639" t="s">
        <v>28</v>
      </c>
      <c r="G639">
        <v>46.2</v>
      </c>
      <c r="H639">
        <v>1</v>
      </c>
      <c r="I639">
        <v>2.31</v>
      </c>
      <c r="J639">
        <v>48.51</v>
      </c>
      <c r="K639" s="1">
        <v>43543</v>
      </c>
      <c r="L639" s="2">
        <v>0.51111111111111118</v>
      </c>
      <c r="M639" t="s">
        <v>29</v>
      </c>
      <c r="N639">
        <v>46.2</v>
      </c>
      <c r="O639">
        <v>4.7619047620000003</v>
      </c>
      <c r="P639">
        <v>2.31</v>
      </c>
      <c r="Q639">
        <v>6.3</v>
      </c>
    </row>
    <row r="640" spans="1:17" x14ac:dyDescent="0.3">
      <c r="A640" t="s">
        <v>674</v>
      </c>
      <c r="B640" t="s">
        <v>42</v>
      </c>
      <c r="C640" t="s">
        <v>43</v>
      </c>
      <c r="D640" t="s">
        <v>20</v>
      </c>
      <c r="E640" t="s">
        <v>21</v>
      </c>
      <c r="F640" t="s">
        <v>44</v>
      </c>
      <c r="G640">
        <v>17.63</v>
      </c>
      <c r="H640">
        <v>5</v>
      </c>
      <c r="I640">
        <v>4.4074999999999998</v>
      </c>
      <c r="J640">
        <v>92.557500000000005</v>
      </c>
      <c r="K640" s="1">
        <v>43532</v>
      </c>
      <c r="L640" s="2">
        <v>0.64374999999999993</v>
      </c>
      <c r="M640" t="s">
        <v>29</v>
      </c>
      <c r="N640">
        <v>88.15</v>
      </c>
      <c r="O640">
        <v>4.7619047620000003</v>
      </c>
      <c r="P640">
        <v>4.4074999999999998</v>
      </c>
      <c r="Q640">
        <v>8.5</v>
      </c>
    </row>
    <row r="641" spans="1:17" x14ac:dyDescent="0.3">
      <c r="A641" t="s">
        <v>675</v>
      </c>
      <c r="B641" t="s">
        <v>42</v>
      </c>
      <c r="C641" t="s">
        <v>43</v>
      </c>
      <c r="D641" t="s">
        <v>27</v>
      </c>
      <c r="E641" t="s">
        <v>31</v>
      </c>
      <c r="F641" t="s">
        <v>46</v>
      </c>
      <c r="G641">
        <v>52.42</v>
      </c>
      <c r="H641">
        <v>3</v>
      </c>
      <c r="I641">
        <v>7.8630000000000004</v>
      </c>
      <c r="J641">
        <v>165.12299999999999</v>
      </c>
      <c r="K641" s="1">
        <v>43523</v>
      </c>
      <c r="L641" s="2">
        <v>0.73333333333333339</v>
      </c>
      <c r="M641" t="s">
        <v>23</v>
      </c>
      <c r="N641">
        <v>157.26</v>
      </c>
      <c r="O641">
        <v>4.7619047620000003</v>
      </c>
      <c r="P641">
        <v>7.8630000000000004</v>
      </c>
      <c r="Q641">
        <v>7.5</v>
      </c>
    </row>
    <row r="642" spans="1:17" x14ac:dyDescent="0.3">
      <c r="A642" t="s">
        <v>676</v>
      </c>
      <c r="B642" t="s">
        <v>42</v>
      </c>
      <c r="C642" t="s">
        <v>43</v>
      </c>
      <c r="D642" t="s">
        <v>20</v>
      </c>
      <c r="E642" t="s">
        <v>21</v>
      </c>
      <c r="F642" t="s">
        <v>44</v>
      </c>
      <c r="G642">
        <v>98.79</v>
      </c>
      <c r="H642">
        <v>3</v>
      </c>
      <c r="I642">
        <v>14.8185</v>
      </c>
      <c r="J642">
        <v>311.18849999999998</v>
      </c>
      <c r="K642" s="1">
        <v>43519</v>
      </c>
      <c r="L642" s="2">
        <v>0.83333333333333337</v>
      </c>
      <c r="M642" t="s">
        <v>23</v>
      </c>
      <c r="N642">
        <v>296.37</v>
      </c>
      <c r="O642">
        <v>4.7619047620000003</v>
      </c>
      <c r="P642">
        <v>14.8185</v>
      </c>
      <c r="Q642">
        <v>6.4</v>
      </c>
    </row>
    <row r="643" spans="1:17" x14ac:dyDescent="0.3">
      <c r="A643" t="s">
        <v>677</v>
      </c>
      <c r="B643" t="s">
        <v>25</v>
      </c>
      <c r="C643" t="s">
        <v>26</v>
      </c>
      <c r="D643" t="s">
        <v>20</v>
      </c>
      <c r="E643" t="s">
        <v>21</v>
      </c>
      <c r="F643" t="s">
        <v>28</v>
      </c>
      <c r="G643">
        <v>88.55</v>
      </c>
      <c r="H643">
        <v>8</v>
      </c>
      <c r="I643">
        <v>35.42</v>
      </c>
      <c r="J643">
        <v>743.82</v>
      </c>
      <c r="K643" s="1">
        <v>43543</v>
      </c>
      <c r="L643" s="2">
        <v>0.64513888888888882</v>
      </c>
      <c r="M643" t="s">
        <v>23</v>
      </c>
      <c r="N643">
        <v>708.4</v>
      </c>
      <c r="O643">
        <v>4.7619047620000003</v>
      </c>
      <c r="P643">
        <v>35.42</v>
      </c>
      <c r="Q643">
        <v>4.7</v>
      </c>
    </row>
    <row r="644" spans="1:17" x14ac:dyDescent="0.3">
      <c r="A644" t="s">
        <v>678</v>
      </c>
      <c r="B644" t="s">
        <v>42</v>
      </c>
      <c r="C644" t="s">
        <v>43</v>
      </c>
      <c r="D644" t="s">
        <v>20</v>
      </c>
      <c r="E644" t="s">
        <v>31</v>
      </c>
      <c r="F644" t="s">
        <v>28</v>
      </c>
      <c r="G644">
        <v>55.67</v>
      </c>
      <c r="H644">
        <v>2</v>
      </c>
      <c r="I644">
        <v>5.5670000000000002</v>
      </c>
      <c r="J644">
        <v>116.907</v>
      </c>
      <c r="K644" s="1">
        <v>43551</v>
      </c>
      <c r="L644" s="2">
        <v>0.63055555555555554</v>
      </c>
      <c r="M644" t="s">
        <v>23</v>
      </c>
      <c r="N644">
        <v>111.34</v>
      </c>
      <c r="O644">
        <v>4.7619047620000003</v>
      </c>
      <c r="P644">
        <v>5.5670000000000002</v>
      </c>
      <c r="Q644">
        <v>6</v>
      </c>
    </row>
    <row r="645" spans="1:17" x14ac:dyDescent="0.3">
      <c r="A645" t="s">
        <v>679</v>
      </c>
      <c r="B645" t="s">
        <v>25</v>
      </c>
      <c r="C645" t="s">
        <v>26</v>
      </c>
      <c r="D645" t="s">
        <v>20</v>
      </c>
      <c r="E645" t="s">
        <v>21</v>
      </c>
      <c r="F645" t="s">
        <v>44</v>
      </c>
      <c r="G645">
        <v>72.52</v>
      </c>
      <c r="H645">
        <v>8</v>
      </c>
      <c r="I645">
        <v>29.007999999999999</v>
      </c>
      <c r="J645">
        <v>609.16800000000001</v>
      </c>
      <c r="K645" s="1">
        <v>43554</v>
      </c>
      <c r="L645" s="2">
        <v>0.80972222222222223</v>
      </c>
      <c r="M645" t="s">
        <v>33</v>
      </c>
      <c r="N645">
        <v>580.16</v>
      </c>
      <c r="O645">
        <v>4.7619047620000003</v>
      </c>
      <c r="P645">
        <v>29.007999999999999</v>
      </c>
      <c r="Q645">
        <v>4</v>
      </c>
    </row>
    <row r="646" spans="1:17" x14ac:dyDescent="0.3">
      <c r="A646" t="s">
        <v>680</v>
      </c>
      <c r="B646" t="s">
        <v>25</v>
      </c>
      <c r="C646" t="s">
        <v>26</v>
      </c>
      <c r="D646" t="s">
        <v>20</v>
      </c>
      <c r="E646" t="s">
        <v>31</v>
      </c>
      <c r="F646" t="s">
        <v>28</v>
      </c>
      <c r="G646">
        <v>12.05</v>
      </c>
      <c r="H646">
        <v>5</v>
      </c>
      <c r="I646">
        <v>3.0125000000000002</v>
      </c>
      <c r="J646">
        <v>63.262500000000003</v>
      </c>
      <c r="K646" s="1">
        <v>43512</v>
      </c>
      <c r="L646" s="2">
        <v>0.66180555555555554</v>
      </c>
      <c r="M646" t="s">
        <v>23</v>
      </c>
      <c r="N646">
        <v>60.25</v>
      </c>
      <c r="O646">
        <v>4.7619047620000003</v>
      </c>
      <c r="P646">
        <v>3.0125000000000002</v>
      </c>
      <c r="Q646">
        <v>5.5</v>
      </c>
    </row>
    <row r="647" spans="1:17" x14ac:dyDescent="0.3">
      <c r="A647" t="s">
        <v>681</v>
      </c>
      <c r="B647" t="s">
        <v>18</v>
      </c>
      <c r="C647" t="s">
        <v>19</v>
      </c>
      <c r="D647" t="s">
        <v>20</v>
      </c>
      <c r="E647" t="s">
        <v>31</v>
      </c>
      <c r="F647" t="s">
        <v>32</v>
      </c>
      <c r="G647">
        <v>19.36</v>
      </c>
      <c r="H647">
        <v>9</v>
      </c>
      <c r="I647">
        <v>8.7119999999999997</v>
      </c>
      <c r="J647">
        <v>182.952</v>
      </c>
      <c r="K647" s="1">
        <v>43483</v>
      </c>
      <c r="L647" s="2">
        <v>0.77986111111111101</v>
      </c>
      <c r="M647" t="s">
        <v>23</v>
      </c>
      <c r="N647">
        <v>174.24</v>
      </c>
      <c r="O647">
        <v>4.7619047620000003</v>
      </c>
      <c r="P647">
        <v>8.7119999999999997</v>
      </c>
      <c r="Q647">
        <v>8.6999999999999993</v>
      </c>
    </row>
    <row r="648" spans="1:17" x14ac:dyDescent="0.3">
      <c r="A648" t="s">
        <v>682</v>
      </c>
      <c r="B648" t="s">
        <v>25</v>
      </c>
      <c r="C648" t="s">
        <v>26</v>
      </c>
      <c r="D648" t="s">
        <v>27</v>
      </c>
      <c r="E648" t="s">
        <v>31</v>
      </c>
      <c r="F648" t="s">
        <v>22</v>
      </c>
      <c r="G648">
        <v>70.209999999999994</v>
      </c>
      <c r="H648">
        <v>6</v>
      </c>
      <c r="I648">
        <v>21.062999999999999</v>
      </c>
      <c r="J648">
        <v>442.32299999999998</v>
      </c>
      <c r="K648" s="1">
        <v>43554</v>
      </c>
      <c r="L648" s="2">
        <v>0.62361111111111112</v>
      </c>
      <c r="M648" t="s">
        <v>29</v>
      </c>
      <c r="N648">
        <v>421.26</v>
      </c>
      <c r="O648">
        <v>4.7619047620000003</v>
      </c>
      <c r="P648">
        <v>21.062999999999999</v>
      </c>
      <c r="Q648">
        <v>7.4</v>
      </c>
    </row>
    <row r="649" spans="1:17" x14ac:dyDescent="0.3">
      <c r="A649" t="s">
        <v>683</v>
      </c>
      <c r="B649" t="s">
        <v>42</v>
      </c>
      <c r="C649" t="s">
        <v>43</v>
      </c>
      <c r="D649" t="s">
        <v>20</v>
      </c>
      <c r="E649" t="s">
        <v>31</v>
      </c>
      <c r="F649" t="s">
        <v>46</v>
      </c>
      <c r="G649">
        <v>33.630000000000003</v>
      </c>
      <c r="H649">
        <v>1</v>
      </c>
      <c r="I649">
        <v>1.6815</v>
      </c>
      <c r="J649">
        <v>35.311500000000002</v>
      </c>
      <c r="K649" s="1">
        <v>43544</v>
      </c>
      <c r="L649" s="2">
        <v>0.82986111111111116</v>
      </c>
      <c r="M649" t="s">
        <v>29</v>
      </c>
      <c r="N649">
        <v>33.630000000000003</v>
      </c>
      <c r="O649">
        <v>4.7619047620000003</v>
      </c>
      <c r="P649">
        <v>1.6815</v>
      </c>
      <c r="Q649">
        <v>5.6</v>
      </c>
    </row>
    <row r="650" spans="1:17" x14ac:dyDescent="0.3">
      <c r="A650" t="s">
        <v>684</v>
      </c>
      <c r="B650" t="s">
        <v>25</v>
      </c>
      <c r="C650" t="s">
        <v>26</v>
      </c>
      <c r="D650" t="s">
        <v>20</v>
      </c>
      <c r="E650" t="s">
        <v>21</v>
      </c>
      <c r="F650" t="s">
        <v>36</v>
      </c>
      <c r="G650">
        <v>15.49</v>
      </c>
      <c r="H650">
        <v>2</v>
      </c>
      <c r="I650">
        <v>1.5489999999999999</v>
      </c>
      <c r="J650">
        <v>32.529000000000003</v>
      </c>
      <c r="K650" s="1">
        <v>43481</v>
      </c>
      <c r="L650" s="2">
        <v>0.63194444444444442</v>
      </c>
      <c r="M650" t="s">
        <v>29</v>
      </c>
      <c r="N650">
        <v>30.98</v>
      </c>
      <c r="O650">
        <v>4.7619047620000003</v>
      </c>
      <c r="P650">
        <v>1.5489999999999999</v>
      </c>
      <c r="Q650">
        <v>6.3</v>
      </c>
    </row>
    <row r="651" spans="1:17" x14ac:dyDescent="0.3">
      <c r="A651" t="s">
        <v>685</v>
      </c>
      <c r="B651" t="s">
        <v>25</v>
      </c>
      <c r="C651" t="s">
        <v>26</v>
      </c>
      <c r="D651" t="s">
        <v>27</v>
      </c>
      <c r="E651" t="s">
        <v>31</v>
      </c>
      <c r="F651" t="s">
        <v>28</v>
      </c>
      <c r="G651">
        <v>24.74</v>
      </c>
      <c r="H651">
        <v>10</v>
      </c>
      <c r="I651">
        <v>12.37</v>
      </c>
      <c r="J651">
        <v>259.77</v>
      </c>
      <c r="K651" s="1">
        <v>43520</v>
      </c>
      <c r="L651" s="2">
        <v>0.6972222222222223</v>
      </c>
      <c r="M651" t="s">
        <v>29</v>
      </c>
      <c r="N651">
        <v>247.4</v>
      </c>
      <c r="O651">
        <v>4.7619047620000003</v>
      </c>
      <c r="P651">
        <v>12.37</v>
      </c>
      <c r="Q651">
        <v>7.1</v>
      </c>
    </row>
    <row r="652" spans="1:17" x14ac:dyDescent="0.3">
      <c r="A652" t="s">
        <v>686</v>
      </c>
      <c r="B652" t="s">
        <v>42</v>
      </c>
      <c r="C652" t="s">
        <v>43</v>
      </c>
      <c r="D652" t="s">
        <v>27</v>
      </c>
      <c r="E652" t="s">
        <v>31</v>
      </c>
      <c r="F652" t="s">
        <v>28</v>
      </c>
      <c r="G652">
        <v>75.66</v>
      </c>
      <c r="H652">
        <v>5</v>
      </c>
      <c r="I652">
        <v>18.914999999999999</v>
      </c>
      <c r="J652">
        <v>397.21499999999997</v>
      </c>
      <c r="K652" s="1">
        <v>43480</v>
      </c>
      <c r="L652" s="2">
        <v>0.76527777777777783</v>
      </c>
      <c r="M652" t="s">
        <v>23</v>
      </c>
      <c r="N652">
        <v>378.3</v>
      </c>
      <c r="O652">
        <v>4.7619047620000003</v>
      </c>
      <c r="P652">
        <v>18.914999999999999</v>
      </c>
      <c r="Q652">
        <v>7.8</v>
      </c>
    </row>
    <row r="653" spans="1:17" x14ac:dyDescent="0.3">
      <c r="A653" t="s">
        <v>687</v>
      </c>
      <c r="B653" t="s">
        <v>42</v>
      </c>
      <c r="C653" t="s">
        <v>43</v>
      </c>
      <c r="D653" t="s">
        <v>27</v>
      </c>
      <c r="E653" t="s">
        <v>21</v>
      </c>
      <c r="F653" t="s">
        <v>22</v>
      </c>
      <c r="G653">
        <v>55.81</v>
      </c>
      <c r="H653">
        <v>6</v>
      </c>
      <c r="I653">
        <v>16.742999999999999</v>
      </c>
      <c r="J653">
        <v>351.60300000000001</v>
      </c>
      <c r="K653" s="1">
        <v>43487</v>
      </c>
      <c r="L653" s="2">
        <v>0.49444444444444446</v>
      </c>
      <c r="M653" t="s">
        <v>29</v>
      </c>
      <c r="N653">
        <v>334.86</v>
      </c>
      <c r="O653">
        <v>4.7619047620000003</v>
      </c>
      <c r="P653">
        <v>16.742999999999999</v>
      </c>
      <c r="Q653">
        <v>9.9</v>
      </c>
    </row>
    <row r="654" spans="1:17" x14ac:dyDescent="0.3">
      <c r="A654" t="s">
        <v>688</v>
      </c>
      <c r="B654" t="s">
        <v>18</v>
      </c>
      <c r="C654" t="s">
        <v>19</v>
      </c>
      <c r="D654" t="s">
        <v>20</v>
      </c>
      <c r="E654" t="s">
        <v>31</v>
      </c>
      <c r="F654" t="s">
        <v>32</v>
      </c>
      <c r="G654">
        <v>72.78</v>
      </c>
      <c r="H654">
        <v>10</v>
      </c>
      <c r="I654">
        <v>36.39</v>
      </c>
      <c r="J654">
        <v>764.19</v>
      </c>
      <c r="K654" s="1">
        <v>43499</v>
      </c>
      <c r="L654" s="2">
        <v>0.72499999999999998</v>
      </c>
      <c r="M654" t="s">
        <v>29</v>
      </c>
      <c r="N654">
        <v>727.8</v>
      </c>
      <c r="O654">
        <v>4.7619047620000003</v>
      </c>
      <c r="P654">
        <v>36.39</v>
      </c>
      <c r="Q654">
        <v>7.3</v>
      </c>
    </row>
    <row r="655" spans="1:17" x14ac:dyDescent="0.3">
      <c r="A655" t="s">
        <v>689</v>
      </c>
      <c r="B655" t="s">
        <v>42</v>
      </c>
      <c r="C655" t="s">
        <v>43</v>
      </c>
      <c r="D655" t="s">
        <v>20</v>
      </c>
      <c r="E655" t="s">
        <v>31</v>
      </c>
      <c r="F655" t="s">
        <v>36</v>
      </c>
      <c r="G655">
        <v>37.32</v>
      </c>
      <c r="H655">
        <v>9</v>
      </c>
      <c r="I655">
        <v>16.794</v>
      </c>
      <c r="J655">
        <v>352.67399999999998</v>
      </c>
      <c r="K655" s="1">
        <v>43530</v>
      </c>
      <c r="L655" s="2">
        <v>0.64652777777777781</v>
      </c>
      <c r="M655" t="s">
        <v>23</v>
      </c>
      <c r="N655">
        <v>335.88</v>
      </c>
      <c r="O655">
        <v>4.7619047620000003</v>
      </c>
      <c r="P655">
        <v>16.794</v>
      </c>
      <c r="Q655">
        <v>5.0999999999999996</v>
      </c>
    </row>
    <row r="656" spans="1:17" x14ac:dyDescent="0.3">
      <c r="A656" t="s">
        <v>690</v>
      </c>
      <c r="B656" t="s">
        <v>42</v>
      </c>
      <c r="C656" t="s">
        <v>43</v>
      </c>
      <c r="D656" t="s">
        <v>20</v>
      </c>
      <c r="E656" t="s">
        <v>31</v>
      </c>
      <c r="F656" t="s">
        <v>46</v>
      </c>
      <c r="G656">
        <v>60.18</v>
      </c>
      <c r="H656">
        <v>4</v>
      </c>
      <c r="I656">
        <v>12.036</v>
      </c>
      <c r="J656">
        <v>252.756</v>
      </c>
      <c r="K656" s="1">
        <v>43512</v>
      </c>
      <c r="L656" s="2">
        <v>0.75277777777777777</v>
      </c>
      <c r="M656" t="s">
        <v>33</v>
      </c>
      <c r="N656">
        <v>240.72</v>
      </c>
      <c r="O656">
        <v>4.7619047620000003</v>
      </c>
      <c r="P656">
        <v>12.036</v>
      </c>
      <c r="Q656">
        <v>9.4</v>
      </c>
    </row>
    <row r="657" spans="1:17" x14ac:dyDescent="0.3">
      <c r="A657" t="s">
        <v>691</v>
      </c>
      <c r="B657" t="s">
        <v>18</v>
      </c>
      <c r="C657" t="s">
        <v>19</v>
      </c>
      <c r="D657" t="s">
        <v>27</v>
      </c>
      <c r="E657" t="s">
        <v>21</v>
      </c>
      <c r="F657" t="s">
        <v>28</v>
      </c>
      <c r="G657">
        <v>15.69</v>
      </c>
      <c r="H657">
        <v>3</v>
      </c>
      <c r="I657">
        <v>2.3534999999999999</v>
      </c>
      <c r="J657">
        <v>49.423499999999997</v>
      </c>
      <c r="K657" s="1">
        <v>43538</v>
      </c>
      <c r="L657" s="2">
        <v>0.59236111111111112</v>
      </c>
      <c r="M657" t="s">
        <v>33</v>
      </c>
      <c r="N657">
        <v>47.07</v>
      </c>
      <c r="O657">
        <v>4.7619047620000003</v>
      </c>
      <c r="P657">
        <v>2.3534999999999999</v>
      </c>
      <c r="Q657">
        <v>5.8</v>
      </c>
    </row>
    <row r="658" spans="1:17" x14ac:dyDescent="0.3">
      <c r="A658" t="s">
        <v>692</v>
      </c>
      <c r="B658" t="s">
        <v>25</v>
      </c>
      <c r="C658" t="s">
        <v>26</v>
      </c>
      <c r="D658" t="s">
        <v>27</v>
      </c>
      <c r="E658" t="s">
        <v>21</v>
      </c>
      <c r="F658" t="s">
        <v>28</v>
      </c>
      <c r="G658">
        <v>99.69</v>
      </c>
      <c r="H658">
        <v>1</v>
      </c>
      <c r="I658">
        <v>4.9844999999999997</v>
      </c>
      <c r="J658">
        <v>104.67449999999999</v>
      </c>
      <c r="K658" s="1">
        <v>43523</v>
      </c>
      <c r="L658" s="2">
        <v>0.43263888888888885</v>
      </c>
      <c r="M658" t="s">
        <v>33</v>
      </c>
      <c r="N658">
        <v>99.69</v>
      </c>
      <c r="O658">
        <v>4.7619047620000003</v>
      </c>
      <c r="P658">
        <v>4.9844999999999997</v>
      </c>
      <c r="Q658">
        <v>8</v>
      </c>
    </row>
    <row r="659" spans="1:17" x14ac:dyDescent="0.3">
      <c r="A659" t="s">
        <v>693</v>
      </c>
      <c r="B659" t="s">
        <v>18</v>
      </c>
      <c r="C659" t="s">
        <v>19</v>
      </c>
      <c r="D659" t="s">
        <v>20</v>
      </c>
      <c r="E659" t="s">
        <v>21</v>
      </c>
      <c r="F659" t="s">
        <v>46</v>
      </c>
      <c r="G659">
        <v>88.15</v>
      </c>
      <c r="H659">
        <v>3</v>
      </c>
      <c r="I659">
        <v>13.2225</v>
      </c>
      <c r="J659">
        <v>277.67250000000001</v>
      </c>
      <c r="K659" s="1">
        <v>43483</v>
      </c>
      <c r="L659" s="2">
        <v>0.42430555555555555</v>
      </c>
      <c r="M659" t="s">
        <v>23</v>
      </c>
      <c r="N659">
        <v>264.45</v>
      </c>
      <c r="O659">
        <v>4.7619047620000003</v>
      </c>
      <c r="P659">
        <v>13.2225</v>
      </c>
      <c r="Q659">
        <v>7.9</v>
      </c>
    </row>
    <row r="660" spans="1:17" x14ac:dyDescent="0.3">
      <c r="A660" t="s">
        <v>694</v>
      </c>
      <c r="B660" t="s">
        <v>18</v>
      </c>
      <c r="C660" t="s">
        <v>19</v>
      </c>
      <c r="D660" t="s">
        <v>20</v>
      </c>
      <c r="E660" t="s">
        <v>21</v>
      </c>
      <c r="F660" t="s">
        <v>36</v>
      </c>
      <c r="G660">
        <v>27.93</v>
      </c>
      <c r="H660">
        <v>5</v>
      </c>
      <c r="I660">
        <v>6.9824999999999999</v>
      </c>
      <c r="J660">
        <v>146.63249999999999</v>
      </c>
      <c r="K660" s="1">
        <v>43494</v>
      </c>
      <c r="L660" s="2">
        <v>0.65833333333333333</v>
      </c>
      <c r="M660" t="s">
        <v>29</v>
      </c>
      <c r="N660">
        <v>139.65</v>
      </c>
      <c r="O660">
        <v>4.7619047620000003</v>
      </c>
      <c r="P660">
        <v>6.9824999999999999</v>
      </c>
      <c r="Q660">
        <v>5.9</v>
      </c>
    </row>
    <row r="661" spans="1:17" x14ac:dyDescent="0.3">
      <c r="A661" t="s">
        <v>695</v>
      </c>
      <c r="B661" t="s">
        <v>18</v>
      </c>
      <c r="C661" t="s">
        <v>19</v>
      </c>
      <c r="D661" t="s">
        <v>20</v>
      </c>
      <c r="E661" t="s">
        <v>31</v>
      </c>
      <c r="F661" t="s">
        <v>46</v>
      </c>
      <c r="G661">
        <v>55.45</v>
      </c>
      <c r="H661">
        <v>1</v>
      </c>
      <c r="I661">
        <v>2.7725</v>
      </c>
      <c r="J661">
        <v>58.222499999999997</v>
      </c>
      <c r="K661" s="1">
        <v>43522</v>
      </c>
      <c r="L661" s="2">
        <v>0.7402777777777777</v>
      </c>
      <c r="M661" t="s">
        <v>33</v>
      </c>
      <c r="N661">
        <v>55.45</v>
      </c>
      <c r="O661">
        <v>4.7619047620000003</v>
      </c>
      <c r="P661">
        <v>2.7725</v>
      </c>
      <c r="Q661">
        <v>4.9000000000000004</v>
      </c>
    </row>
    <row r="662" spans="1:17" x14ac:dyDescent="0.3">
      <c r="A662" t="s">
        <v>696</v>
      </c>
      <c r="B662" t="s">
        <v>42</v>
      </c>
      <c r="C662" t="s">
        <v>43</v>
      </c>
      <c r="D662" t="s">
        <v>27</v>
      </c>
      <c r="E662" t="s">
        <v>21</v>
      </c>
      <c r="F662" t="s">
        <v>36</v>
      </c>
      <c r="G662">
        <v>42.97</v>
      </c>
      <c r="H662">
        <v>3</v>
      </c>
      <c r="I662">
        <v>6.4455</v>
      </c>
      <c r="J662">
        <v>135.35550000000001</v>
      </c>
      <c r="K662" s="1">
        <v>43499</v>
      </c>
      <c r="L662" s="2">
        <v>0.49027777777777781</v>
      </c>
      <c r="M662" t="s">
        <v>29</v>
      </c>
      <c r="N662">
        <v>128.91</v>
      </c>
      <c r="O662">
        <v>4.7619047620000003</v>
      </c>
      <c r="P662">
        <v>6.4455</v>
      </c>
      <c r="Q662">
        <v>9.3000000000000007</v>
      </c>
    </row>
    <row r="663" spans="1:17" x14ac:dyDescent="0.3">
      <c r="A663" t="s">
        <v>697</v>
      </c>
      <c r="B663" t="s">
        <v>25</v>
      </c>
      <c r="C663" t="s">
        <v>26</v>
      </c>
      <c r="D663" t="s">
        <v>20</v>
      </c>
      <c r="E663" t="s">
        <v>31</v>
      </c>
      <c r="F663" t="s">
        <v>36</v>
      </c>
      <c r="G663">
        <v>17.14</v>
      </c>
      <c r="H663">
        <v>7</v>
      </c>
      <c r="I663">
        <v>5.9989999999999997</v>
      </c>
      <c r="J663">
        <v>125.979</v>
      </c>
      <c r="K663" s="1">
        <v>43481</v>
      </c>
      <c r="L663" s="2">
        <v>0.50486111111111109</v>
      </c>
      <c r="M663" t="s">
        <v>33</v>
      </c>
      <c r="N663">
        <v>119.98</v>
      </c>
      <c r="O663">
        <v>4.7619047620000003</v>
      </c>
      <c r="P663">
        <v>5.9989999999999997</v>
      </c>
      <c r="Q663">
        <v>7.9</v>
      </c>
    </row>
    <row r="664" spans="1:17" x14ac:dyDescent="0.3">
      <c r="A664" t="s">
        <v>698</v>
      </c>
      <c r="B664" t="s">
        <v>42</v>
      </c>
      <c r="C664" t="s">
        <v>43</v>
      </c>
      <c r="D664" t="s">
        <v>20</v>
      </c>
      <c r="E664" t="s">
        <v>21</v>
      </c>
      <c r="F664" t="s">
        <v>46</v>
      </c>
      <c r="G664">
        <v>58.75</v>
      </c>
      <c r="H664">
        <v>6</v>
      </c>
      <c r="I664">
        <v>17.625</v>
      </c>
      <c r="J664">
        <v>370.125</v>
      </c>
      <c r="K664" s="1">
        <v>43548</v>
      </c>
      <c r="L664" s="2">
        <v>0.7597222222222223</v>
      </c>
      <c r="M664" t="s">
        <v>33</v>
      </c>
      <c r="N664">
        <v>352.5</v>
      </c>
      <c r="O664">
        <v>4.7619047620000003</v>
      </c>
      <c r="P664">
        <v>17.625</v>
      </c>
      <c r="Q664">
        <v>5.9</v>
      </c>
    </row>
    <row r="665" spans="1:17" x14ac:dyDescent="0.3">
      <c r="A665" t="s">
        <v>699</v>
      </c>
      <c r="B665" t="s">
        <v>25</v>
      </c>
      <c r="C665" t="s">
        <v>26</v>
      </c>
      <c r="D665" t="s">
        <v>20</v>
      </c>
      <c r="E665" t="s">
        <v>21</v>
      </c>
      <c r="F665" t="s">
        <v>44</v>
      </c>
      <c r="G665">
        <v>87.1</v>
      </c>
      <c r="H665">
        <v>10</v>
      </c>
      <c r="I665">
        <v>43.55</v>
      </c>
      <c r="J665">
        <v>914.55</v>
      </c>
      <c r="K665" s="1">
        <v>43508</v>
      </c>
      <c r="L665" s="2">
        <v>0.61458333333333337</v>
      </c>
      <c r="M665" t="s">
        <v>33</v>
      </c>
      <c r="N665">
        <v>871</v>
      </c>
      <c r="O665">
        <v>4.7619047620000003</v>
      </c>
      <c r="P665">
        <v>43.55</v>
      </c>
      <c r="Q665">
        <v>9.9</v>
      </c>
    </row>
    <row r="666" spans="1:17" x14ac:dyDescent="0.3">
      <c r="A666" t="s">
        <v>700</v>
      </c>
      <c r="B666" t="s">
        <v>25</v>
      </c>
      <c r="C666" t="s">
        <v>26</v>
      </c>
      <c r="D666" t="s">
        <v>27</v>
      </c>
      <c r="E666" t="s">
        <v>21</v>
      </c>
      <c r="F666" t="s">
        <v>36</v>
      </c>
      <c r="G666">
        <v>98.8</v>
      </c>
      <c r="H666">
        <v>2</v>
      </c>
      <c r="I666">
        <v>9.8800000000000008</v>
      </c>
      <c r="J666">
        <v>207.48</v>
      </c>
      <c r="K666" s="1">
        <v>43517</v>
      </c>
      <c r="L666" s="2">
        <v>0.48541666666666666</v>
      </c>
      <c r="M666" t="s">
        <v>29</v>
      </c>
      <c r="N666">
        <v>197.6</v>
      </c>
      <c r="O666">
        <v>4.7619047620000003</v>
      </c>
      <c r="P666">
        <v>9.8800000000000008</v>
      </c>
      <c r="Q666">
        <v>7.7</v>
      </c>
    </row>
    <row r="667" spans="1:17" x14ac:dyDescent="0.3">
      <c r="A667" t="s">
        <v>701</v>
      </c>
      <c r="B667" t="s">
        <v>18</v>
      </c>
      <c r="C667" t="s">
        <v>19</v>
      </c>
      <c r="D667" t="s">
        <v>27</v>
      </c>
      <c r="E667" t="s">
        <v>21</v>
      </c>
      <c r="F667" t="s">
        <v>46</v>
      </c>
      <c r="G667">
        <v>48.63</v>
      </c>
      <c r="H667">
        <v>4</v>
      </c>
      <c r="I667">
        <v>9.7260000000000009</v>
      </c>
      <c r="J667">
        <v>204.24600000000001</v>
      </c>
      <c r="K667" s="1">
        <v>43500</v>
      </c>
      <c r="L667" s="2">
        <v>0.65555555555555556</v>
      </c>
      <c r="M667" t="s">
        <v>23</v>
      </c>
      <c r="N667">
        <v>194.52</v>
      </c>
      <c r="O667">
        <v>4.7619047620000003</v>
      </c>
      <c r="P667">
        <v>9.7260000000000009</v>
      </c>
      <c r="Q667">
        <v>7.6</v>
      </c>
    </row>
    <row r="668" spans="1:17" x14ac:dyDescent="0.3">
      <c r="A668" t="s">
        <v>702</v>
      </c>
      <c r="B668" t="s">
        <v>42</v>
      </c>
      <c r="C668" t="s">
        <v>43</v>
      </c>
      <c r="D668" t="s">
        <v>20</v>
      </c>
      <c r="E668" t="s">
        <v>31</v>
      </c>
      <c r="F668" t="s">
        <v>44</v>
      </c>
      <c r="G668">
        <v>57.74</v>
      </c>
      <c r="H668">
        <v>3</v>
      </c>
      <c r="I668">
        <v>8.6609999999999996</v>
      </c>
      <c r="J668">
        <v>181.881</v>
      </c>
      <c r="K668" s="1">
        <v>43516</v>
      </c>
      <c r="L668" s="2">
        <v>0.54583333333333328</v>
      </c>
      <c r="M668" t="s">
        <v>23</v>
      </c>
      <c r="N668">
        <v>173.22</v>
      </c>
      <c r="O668">
        <v>4.7619047620000003</v>
      </c>
      <c r="P668">
        <v>8.6609999999999996</v>
      </c>
      <c r="Q668">
        <v>7.7</v>
      </c>
    </row>
    <row r="669" spans="1:17" x14ac:dyDescent="0.3">
      <c r="A669" t="s">
        <v>703</v>
      </c>
      <c r="B669" t="s">
        <v>42</v>
      </c>
      <c r="C669" t="s">
        <v>43</v>
      </c>
      <c r="D669" t="s">
        <v>27</v>
      </c>
      <c r="E669" t="s">
        <v>21</v>
      </c>
      <c r="F669" t="s">
        <v>22</v>
      </c>
      <c r="G669">
        <v>17.97</v>
      </c>
      <c r="H669">
        <v>4</v>
      </c>
      <c r="I669">
        <v>3.5939999999999999</v>
      </c>
      <c r="J669">
        <v>75.474000000000004</v>
      </c>
      <c r="K669" s="1">
        <v>43519</v>
      </c>
      <c r="L669" s="2">
        <v>0.86319444444444438</v>
      </c>
      <c r="M669" t="s">
        <v>23</v>
      </c>
      <c r="N669">
        <v>71.88</v>
      </c>
      <c r="O669">
        <v>4.7619047620000003</v>
      </c>
      <c r="P669">
        <v>3.5939999999999999</v>
      </c>
      <c r="Q669">
        <v>6.4</v>
      </c>
    </row>
    <row r="670" spans="1:17" x14ac:dyDescent="0.3">
      <c r="A670" t="s">
        <v>704</v>
      </c>
      <c r="B670" t="s">
        <v>25</v>
      </c>
      <c r="C670" t="s">
        <v>26</v>
      </c>
      <c r="D670" t="s">
        <v>20</v>
      </c>
      <c r="E670" t="s">
        <v>21</v>
      </c>
      <c r="F670" t="s">
        <v>22</v>
      </c>
      <c r="G670">
        <v>47.71</v>
      </c>
      <c r="H670">
        <v>6</v>
      </c>
      <c r="I670">
        <v>14.313000000000001</v>
      </c>
      <c r="J670">
        <v>300.57299999999998</v>
      </c>
      <c r="K670" s="1">
        <v>43512</v>
      </c>
      <c r="L670" s="2">
        <v>0.59652777777777777</v>
      </c>
      <c r="M670" t="s">
        <v>23</v>
      </c>
      <c r="N670">
        <v>286.26</v>
      </c>
      <c r="O670">
        <v>4.7619047620000003</v>
      </c>
      <c r="P670">
        <v>14.313000000000001</v>
      </c>
      <c r="Q670">
        <v>4.4000000000000004</v>
      </c>
    </row>
    <row r="671" spans="1:17" x14ac:dyDescent="0.3">
      <c r="A671" t="s">
        <v>705</v>
      </c>
      <c r="B671" t="s">
        <v>42</v>
      </c>
      <c r="C671" t="s">
        <v>43</v>
      </c>
      <c r="D671" t="s">
        <v>27</v>
      </c>
      <c r="E671" t="s">
        <v>21</v>
      </c>
      <c r="F671" t="s">
        <v>36</v>
      </c>
      <c r="G671">
        <v>40.619999999999997</v>
      </c>
      <c r="H671">
        <v>2</v>
      </c>
      <c r="I671">
        <v>4.0620000000000003</v>
      </c>
      <c r="J671">
        <v>85.302000000000007</v>
      </c>
      <c r="K671" s="1">
        <v>43482</v>
      </c>
      <c r="L671" s="2">
        <v>0.41736111111111113</v>
      </c>
      <c r="M671" t="s">
        <v>33</v>
      </c>
      <c r="N671">
        <v>81.239999999999995</v>
      </c>
      <c r="O671">
        <v>4.7619047620000003</v>
      </c>
      <c r="P671">
        <v>4.0620000000000003</v>
      </c>
      <c r="Q671">
        <v>4.0999999999999996</v>
      </c>
    </row>
    <row r="672" spans="1:17" x14ac:dyDescent="0.3">
      <c r="A672" t="s">
        <v>706</v>
      </c>
      <c r="B672" t="s">
        <v>18</v>
      </c>
      <c r="C672" t="s">
        <v>19</v>
      </c>
      <c r="D672" t="s">
        <v>20</v>
      </c>
      <c r="E672" t="s">
        <v>31</v>
      </c>
      <c r="F672" t="s">
        <v>46</v>
      </c>
      <c r="G672">
        <v>56.04</v>
      </c>
      <c r="H672">
        <v>10</v>
      </c>
      <c r="I672">
        <v>28.02</v>
      </c>
      <c r="J672">
        <v>588.41999999999996</v>
      </c>
      <c r="K672" s="1">
        <v>43479</v>
      </c>
      <c r="L672" s="2">
        <v>0.8125</v>
      </c>
      <c r="M672" t="s">
        <v>23</v>
      </c>
      <c r="N672">
        <v>560.4</v>
      </c>
      <c r="O672">
        <v>4.7619047620000003</v>
      </c>
      <c r="P672">
        <v>28.02</v>
      </c>
      <c r="Q672">
        <v>4.4000000000000004</v>
      </c>
    </row>
    <row r="673" spans="1:17" x14ac:dyDescent="0.3">
      <c r="A673" t="s">
        <v>707</v>
      </c>
      <c r="B673" t="s">
        <v>42</v>
      </c>
      <c r="C673" t="s">
        <v>43</v>
      </c>
      <c r="D673" t="s">
        <v>20</v>
      </c>
      <c r="E673" t="s">
        <v>31</v>
      </c>
      <c r="F673" t="s">
        <v>44</v>
      </c>
      <c r="G673">
        <v>93.4</v>
      </c>
      <c r="H673">
        <v>2</v>
      </c>
      <c r="I673">
        <v>9.34</v>
      </c>
      <c r="J673">
        <v>196.14</v>
      </c>
      <c r="K673" s="1">
        <v>43554</v>
      </c>
      <c r="L673" s="2">
        <v>0.69027777777777777</v>
      </c>
      <c r="M673" t="s">
        <v>29</v>
      </c>
      <c r="N673">
        <v>186.8</v>
      </c>
      <c r="O673">
        <v>4.7619047620000003</v>
      </c>
      <c r="P673">
        <v>9.34</v>
      </c>
      <c r="Q673">
        <v>5.5</v>
      </c>
    </row>
    <row r="674" spans="1:17" x14ac:dyDescent="0.3">
      <c r="A674" t="s">
        <v>708</v>
      </c>
      <c r="B674" t="s">
        <v>42</v>
      </c>
      <c r="C674" t="s">
        <v>43</v>
      </c>
      <c r="D674" t="s">
        <v>27</v>
      </c>
      <c r="E674" t="s">
        <v>21</v>
      </c>
      <c r="F674" t="s">
        <v>22</v>
      </c>
      <c r="G674">
        <v>73.41</v>
      </c>
      <c r="H674">
        <v>3</v>
      </c>
      <c r="I674">
        <v>11.0115</v>
      </c>
      <c r="J674">
        <v>231.2415</v>
      </c>
      <c r="K674" s="1">
        <v>43526</v>
      </c>
      <c r="L674" s="2">
        <v>0.54861111111111105</v>
      </c>
      <c r="M674" t="s">
        <v>23</v>
      </c>
      <c r="N674">
        <v>220.23</v>
      </c>
      <c r="O674">
        <v>4.7619047620000003</v>
      </c>
      <c r="P674">
        <v>11.0115</v>
      </c>
      <c r="Q674">
        <v>4</v>
      </c>
    </row>
    <row r="675" spans="1:17" x14ac:dyDescent="0.3">
      <c r="A675" t="s">
        <v>709</v>
      </c>
      <c r="B675" t="s">
        <v>25</v>
      </c>
      <c r="C675" t="s">
        <v>26</v>
      </c>
      <c r="D675" t="s">
        <v>27</v>
      </c>
      <c r="E675" t="s">
        <v>31</v>
      </c>
      <c r="F675" t="s">
        <v>22</v>
      </c>
      <c r="G675">
        <v>33.64</v>
      </c>
      <c r="H675">
        <v>8</v>
      </c>
      <c r="I675">
        <v>13.456</v>
      </c>
      <c r="J675">
        <v>282.57600000000002</v>
      </c>
      <c r="K675" s="1">
        <v>43511</v>
      </c>
      <c r="L675" s="2">
        <v>0.71527777777777779</v>
      </c>
      <c r="M675" t="s">
        <v>33</v>
      </c>
      <c r="N675">
        <v>269.12</v>
      </c>
      <c r="O675">
        <v>4.7619047620000003</v>
      </c>
      <c r="P675">
        <v>13.456</v>
      </c>
      <c r="Q675">
        <v>9.3000000000000007</v>
      </c>
    </row>
    <row r="676" spans="1:17" x14ac:dyDescent="0.3">
      <c r="A676" t="s">
        <v>710</v>
      </c>
      <c r="B676" t="s">
        <v>18</v>
      </c>
      <c r="C676" t="s">
        <v>19</v>
      </c>
      <c r="D676" t="s">
        <v>27</v>
      </c>
      <c r="E676" t="s">
        <v>21</v>
      </c>
      <c r="F676" t="s">
        <v>28</v>
      </c>
      <c r="G676">
        <v>45.48</v>
      </c>
      <c r="H676">
        <v>10</v>
      </c>
      <c r="I676">
        <v>22.74</v>
      </c>
      <c r="J676">
        <v>477.54</v>
      </c>
      <c r="K676" s="1">
        <v>43525</v>
      </c>
      <c r="L676" s="2">
        <v>0.43194444444444446</v>
      </c>
      <c r="M676" t="s">
        <v>33</v>
      </c>
      <c r="N676">
        <v>454.8</v>
      </c>
      <c r="O676">
        <v>4.7619047620000003</v>
      </c>
      <c r="P676">
        <v>22.74</v>
      </c>
      <c r="Q676">
        <v>4.8</v>
      </c>
    </row>
    <row r="677" spans="1:17" x14ac:dyDescent="0.3">
      <c r="A677" t="s">
        <v>711</v>
      </c>
      <c r="B677" t="s">
        <v>42</v>
      </c>
      <c r="C677" t="s">
        <v>43</v>
      </c>
      <c r="D677" t="s">
        <v>20</v>
      </c>
      <c r="E677" t="s">
        <v>31</v>
      </c>
      <c r="F677" t="s">
        <v>46</v>
      </c>
      <c r="G677">
        <v>83.77</v>
      </c>
      <c r="H677">
        <v>2</v>
      </c>
      <c r="I677">
        <v>8.3770000000000007</v>
      </c>
      <c r="J677">
        <v>175.917</v>
      </c>
      <c r="K677" s="1">
        <v>43520</v>
      </c>
      <c r="L677" s="2">
        <v>0.83124999999999993</v>
      </c>
      <c r="M677" t="s">
        <v>29</v>
      </c>
      <c r="N677">
        <v>167.54</v>
      </c>
      <c r="O677">
        <v>4.7619047620000003</v>
      </c>
      <c r="P677">
        <v>8.3770000000000007</v>
      </c>
      <c r="Q677">
        <v>4.5999999999999996</v>
      </c>
    </row>
    <row r="678" spans="1:17" x14ac:dyDescent="0.3">
      <c r="A678" t="s">
        <v>712</v>
      </c>
      <c r="B678" t="s">
        <v>42</v>
      </c>
      <c r="C678" t="s">
        <v>43</v>
      </c>
      <c r="D678" t="s">
        <v>20</v>
      </c>
      <c r="E678" t="s">
        <v>21</v>
      </c>
      <c r="F678" t="s">
        <v>36</v>
      </c>
      <c r="G678">
        <v>64.08</v>
      </c>
      <c r="H678">
        <v>7</v>
      </c>
      <c r="I678">
        <v>22.428000000000001</v>
      </c>
      <c r="J678">
        <v>470.988</v>
      </c>
      <c r="K678" s="1">
        <v>43515</v>
      </c>
      <c r="L678" s="2">
        <v>0.81180555555555556</v>
      </c>
      <c r="M678" t="s">
        <v>33</v>
      </c>
      <c r="N678">
        <v>448.56</v>
      </c>
      <c r="O678">
        <v>4.7619047620000003</v>
      </c>
      <c r="P678">
        <v>22.428000000000001</v>
      </c>
      <c r="Q678">
        <v>7.3</v>
      </c>
    </row>
    <row r="679" spans="1:17" x14ac:dyDescent="0.3">
      <c r="A679" t="s">
        <v>713</v>
      </c>
      <c r="B679" t="s">
        <v>18</v>
      </c>
      <c r="C679" t="s">
        <v>19</v>
      </c>
      <c r="D679" t="s">
        <v>20</v>
      </c>
      <c r="E679" t="s">
        <v>21</v>
      </c>
      <c r="F679" t="s">
        <v>44</v>
      </c>
      <c r="G679">
        <v>73.47</v>
      </c>
      <c r="H679">
        <v>4</v>
      </c>
      <c r="I679">
        <v>14.694000000000001</v>
      </c>
      <c r="J679">
        <v>308.57400000000001</v>
      </c>
      <c r="K679" s="1">
        <v>43519</v>
      </c>
      <c r="L679" s="2">
        <v>0.77083333333333337</v>
      </c>
      <c r="M679" t="s">
        <v>29</v>
      </c>
      <c r="N679">
        <v>293.88</v>
      </c>
      <c r="O679">
        <v>4.7619047620000003</v>
      </c>
      <c r="P679">
        <v>14.694000000000001</v>
      </c>
      <c r="Q679">
        <v>6</v>
      </c>
    </row>
    <row r="680" spans="1:17" x14ac:dyDescent="0.3">
      <c r="A680" t="s">
        <v>714</v>
      </c>
      <c r="B680" t="s">
        <v>25</v>
      </c>
      <c r="C680" t="s">
        <v>26</v>
      </c>
      <c r="D680" t="s">
        <v>27</v>
      </c>
      <c r="E680" t="s">
        <v>31</v>
      </c>
      <c r="F680" t="s">
        <v>22</v>
      </c>
      <c r="G680">
        <v>58.95</v>
      </c>
      <c r="H680">
        <v>10</v>
      </c>
      <c r="I680">
        <v>29.475000000000001</v>
      </c>
      <c r="J680">
        <v>618.97500000000002</v>
      </c>
      <c r="K680" s="1">
        <v>43503</v>
      </c>
      <c r="L680" s="2">
        <v>0.6020833333333333</v>
      </c>
      <c r="M680" t="s">
        <v>23</v>
      </c>
      <c r="N680">
        <v>589.5</v>
      </c>
      <c r="O680">
        <v>4.7619047620000003</v>
      </c>
      <c r="P680">
        <v>29.475000000000001</v>
      </c>
      <c r="Q680">
        <v>8.1</v>
      </c>
    </row>
    <row r="681" spans="1:17" x14ac:dyDescent="0.3">
      <c r="A681" t="s">
        <v>715</v>
      </c>
      <c r="B681" t="s">
        <v>18</v>
      </c>
      <c r="C681" t="s">
        <v>19</v>
      </c>
      <c r="D681" t="s">
        <v>20</v>
      </c>
      <c r="E681" t="s">
        <v>31</v>
      </c>
      <c r="F681" t="s">
        <v>44</v>
      </c>
      <c r="G681">
        <v>48.5</v>
      </c>
      <c r="H681">
        <v>6</v>
      </c>
      <c r="I681">
        <v>14.55</v>
      </c>
      <c r="J681">
        <v>305.55</v>
      </c>
      <c r="K681" s="1">
        <v>43476</v>
      </c>
      <c r="L681" s="2">
        <v>0.58124999999999993</v>
      </c>
      <c r="M681" t="s">
        <v>23</v>
      </c>
      <c r="N681">
        <v>291</v>
      </c>
      <c r="O681">
        <v>4.7619047620000003</v>
      </c>
      <c r="P681">
        <v>14.55</v>
      </c>
      <c r="Q681">
        <v>9.4</v>
      </c>
    </row>
    <row r="682" spans="1:17" x14ac:dyDescent="0.3">
      <c r="A682" t="s">
        <v>716</v>
      </c>
      <c r="B682" t="s">
        <v>42</v>
      </c>
      <c r="C682" t="s">
        <v>43</v>
      </c>
      <c r="D682" t="s">
        <v>20</v>
      </c>
      <c r="E682" t="s">
        <v>21</v>
      </c>
      <c r="F682" t="s">
        <v>28</v>
      </c>
      <c r="G682">
        <v>39.479999999999997</v>
      </c>
      <c r="H682">
        <v>1</v>
      </c>
      <c r="I682">
        <v>1.974</v>
      </c>
      <c r="J682">
        <v>41.454000000000001</v>
      </c>
      <c r="K682" s="1">
        <v>43508</v>
      </c>
      <c r="L682" s="2">
        <v>0.82152777777777775</v>
      </c>
      <c r="M682" t="s">
        <v>29</v>
      </c>
      <c r="N682">
        <v>39.479999999999997</v>
      </c>
      <c r="O682">
        <v>4.7619047620000003</v>
      </c>
      <c r="P682">
        <v>1.974</v>
      </c>
      <c r="Q682">
        <v>6.5</v>
      </c>
    </row>
    <row r="683" spans="1:17" x14ac:dyDescent="0.3">
      <c r="A683" t="s">
        <v>717</v>
      </c>
      <c r="B683" t="s">
        <v>42</v>
      </c>
      <c r="C683" t="s">
        <v>43</v>
      </c>
      <c r="D683" t="s">
        <v>27</v>
      </c>
      <c r="E683" t="s">
        <v>21</v>
      </c>
      <c r="F683" t="s">
        <v>36</v>
      </c>
      <c r="G683">
        <v>34.81</v>
      </c>
      <c r="H683">
        <v>1</v>
      </c>
      <c r="I683">
        <v>1.7404999999999999</v>
      </c>
      <c r="J683">
        <v>36.5505</v>
      </c>
      <c r="K683" s="1">
        <v>43479</v>
      </c>
      <c r="L683" s="2">
        <v>0.42430555555555555</v>
      </c>
      <c r="M683" t="s">
        <v>33</v>
      </c>
      <c r="N683">
        <v>34.81</v>
      </c>
      <c r="O683">
        <v>4.7619047620000003</v>
      </c>
      <c r="P683">
        <v>1.7404999999999999</v>
      </c>
      <c r="Q683">
        <v>7</v>
      </c>
    </row>
    <row r="684" spans="1:17" x14ac:dyDescent="0.3">
      <c r="A684" t="s">
        <v>718</v>
      </c>
      <c r="B684" t="s">
        <v>25</v>
      </c>
      <c r="C684" t="s">
        <v>26</v>
      </c>
      <c r="D684" t="s">
        <v>27</v>
      </c>
      <c r="E684" t="s">
        <v>21</v>
      </c>
      <c r="F684" t="s">
        <v>46</v>
      </c>
      <c r="G684">
        <v>49.32</v>
      </c>
      <c r="H684">
        <v>6</v>
      </c>
      <c r="I684">
        <v>14.795999999999999</v>
      </c>
      <c r="J684">
        <v>310.71600000000001</v>
      </c>
      <c r="K684" s="1">
        <v>43474</v>
      </c>
      <c r="L684" s="2">
        <v>0.57361111111111118</v>
      </c>
      <c r="M684" t="s">
        <v>23</v>
      </c>
      <c r="N684">
        <v>295.92</v>
      </c>
      <c r="O684">
        <v>4.7619047620000003</v>
      </c>
      <c r="P684">
        <v>14.795999999999999</v>
      </c>
      <c r="Q684">
        <v>7.1</v>
      </c>
    </row>
    <row r="685" spans="1:17" x14ac:dyDescent="0.3">
      <c r="A685" t="s">
        <v>719</v>
      </c>
      <c r="B685" t="s">
        <v>18</v>
      </c>
      <c r="C685" t="s">
        <v>19</v>
      </c>
      <c r="D685" t="s">
        <v>20</v>
      </c>
      <c r="E685" t="s">
        <v>31</v>
      </c>
      <c r="F685" t="s">
        <v>46</v>
      </c>
      <c r="G685">
        <v>21.48</v>
      </c>
      <c r="H685">
        <v>2</v>
      </c>
      <c r="I685">
        <v>2.1480000000000001</v>
      </c>
      <c r="J685">
        <v>45.107999999999997</v>
      </c>
      <c r="K685" s="1">
        <v>43523</v>
      </c>
      <c r="L685" s="2">
        <v>0.51527777777777783</v>
      </c>
      <c r="M685" t="s">
        <v>23</v>
      </c>
      <c r="N685">
        <v>42.96</v>
      </c>
      <c r="O685">
        <v>4.7619047620000003</v>
      </c>
      <c r="P685">
        <v>2.1480000000000001</v>
      </c>
      <c r="Q685">
        <v>6.6</v>
      </c>
    </row>
    <row r="686" spans="1:17" x14ac:dyDescent="0.3">
      <c r="A686" t="s">
        <v>720</v>
      </c>
      <c r="B686" t="s">
        <v>42</v>
      </c>
      <c r="C686" t="s">
        <v>43</v>
      </c>
      <c r="D686" t="s">
        <v>20</v>
      </c>
      <c r="E686" t="s">
        <v>21</v>
      </c>
      <c r="F686" t="s">
        <v>36</v>
      </c>
      <c r="G686">
        <v>23.08</v>
      </c>
      <c r="H686">
        <v>6</v>
      </c>
      <c r="I686">
        <v>6.9240000000000004</v>
      </c>
      <c r="J686">
        <v>145.404</v>
      </c>
      <c r="K686" s="1">
        <v>43489</v>
      </c>
      <c r="L686" s="2">
        <v>0.80555555555555547</v>
      </c>
      <c r="M686" t="s">
        <v>23</v>
      </c>
      <c r="N686">
        <v>138.47999999999999</v>
      </c>
      <c r="O686">
        <v>4.7619047620000003</v>
      </c>
      <c r="P686">
        <v>6.9240000000000004</v>
      </c>
      <c r="Q686">
        <v>4.9000000000000004</v>
      </c>
    </row>
    <row r="687" spans="1:17" x14ac:dyDescent="0.3">
      <c r="A687" t="s">
        <v>721</v>
      </c>
      <c r="B687" t="s">
        <v>42</v>
      </c>
      <c r="C687" t="s">
        <v>43</v>
      </c>
      <c r="D687" t="s">
        <v>20</v>
      </c>
      <c r="E687" t="s">
        <v>21</v>
      </c>
      <c r="F687" t="s">
        <v>32</v>
      </c>
      <c r="G687">
        <v>49.1</v>
      </c>
      <c r="H687">
        <v>2</v>
      </c>
      <c r="I687">
        <v>4.91</v>
      </c>
      <c r="J687">
        <v>103.11</v>
      </c>
      <c r="K687" s="1">
        <v>43473</v>
      </c>
      <c r="L687" s="2">
        <v>0.54027777777777775</v>
      </c>
      <c r="M687" t="s">
        <v>33</v>
      </c>
      <c r="N687">
        <v>98.2</v>
      </c>
      <c r="O687">
        <v>4.7619047620000003</v>
      </c>
      <c r="P687">
        <v>4.91</v>
      </c>
      <c r="Q687">
        <v>6.4</v>
      </c>
    </row>
    <row r="688" spans="1:17" x14ac:dyDescent="0.3">
      <c r="A688" t="s">
        <v>722</v>
      </c>
      <c r="B688" t="s">
        <v>42</v>
      </c>
      <c r="C688" t="s">
        <v>43</v>
      </c>
      <c r="D688" t="s">
        <v>20</v>
      </c>
      <c r="E688" t="s">
        <v>21</v>
      </c>
      <c r="F688" t="s">
        <v>36</v>
      </c>
      <c r="G688">
        <v>64.83</v>
      </c>
      <c r="H688">
        <v>2</v>
      </c>
      <c r="I688">
        <v>6.4829999999999997</v>
      </c>
      <c r="J688">
        <v>136.143</v>
      </c>
      <c r="K688" s="1">
        <v>43473</v>
      </c>
      <c r="L688" s="2">
        <v>0.4993055555555555</v>
      </c>
      <c r="M688" t="s">
        <v>33</v>
      </c>
      <c r="N688">
        <v>129.66</v>
      </c>
      <c r="O688">
        <v>4.7619047620000003</v>
      </c>
      <c r="P688">
        <v>6.4829999999999997</v>
      </c>
      <c r="Q688">
        <v>8</v>
      </c>
    </row>
    <row r="689" spans="1:17" x14ac:dyDescent="0.3">
      <c r="A689" t="s">
        <v>723</v>
      </c>
      <c r="B689" t="s">
        <v>18</v>
      </c>
      <c r="C689" t="s">
        <v>19</v>
      </c>
      <c r="D689" t="s">
        <v>20</v>
      </c>
      <c r="E689" t="s">
        <v>31</v>
      </c>
      <c r="F689" t="s">
        <v>32</v>
      </c>
      <c r="G689">
        <v>63.56</v>
      </c>
      <c r="H689">
        <v>10</v>
      </c>
      <c r="I689">
        <v>31.78</v>
      </c>
      <c r="J689">
        <v>667.38</v>
      </c>
      <c r="K689" s="1">
        <v>43481</v>
      </c>
      <c r="L689" s="2">
        <v>0.74930555555555556</v>
      </c>
      <c r="M689" t="s">
        <v>29</v>
      </c>
      <c r="N689">
        <v>635.6</v>
      </c>
      <c r="O689">
        <v>4.7619047620000003</v>
      </c>
      <c r="P689">
        <v>31.78</v>
      </c>
      <c r="Q689">
        <v>4.3</v>
      </c>
    </row>
    <row r="690" spans="1:17" x14ac:dyDescent="0.3">
      <c r="A690" t="s">
        <v>724</v>
      </c>
      <c r="B690" t="s">
        <v>25</v>
      </c>
      <c r="C690" t="s">
        <v>26</v>
      </c>
      <c r="D690" t="s">
        <v>20</v>
      </c>
      <c r="E690" t="s">
        <v>31</v>
      </c>
      <c r="F690" t="s">
        <v>36</v>
      </c>
      <c r="G690">
        <v>72.88</v>
      </c>
      <c r="H690">
        <v>2</v>
      </c>
      <c r="I690">
        <v>7.2880000000000003</v>
      </c>
      <c r="J690">
        <v>153.048</v>
      </c>
      <c r="K690" s="1">
        <v>43537</v>
      </c>
      <c r="L690" s="2">
        <v>0.53541666666666665</v>
      </c>
      <c r="M690" t="s">
        <v>29</v>
      </c>
      <c r="N690">
        <v>145.76</v>
      </c>
      <c r="O690">
        <v>4.7619047620000003</v>
      </c>
      <c r="P690">
        <v>7.2880000000000003</v>
      </c>
      <c r="Q690">
        <v>6.1</v>
      </c>
    </row>
    <row r="691" spans="1:17" x14ac:dyDescent="0.3">
      <c r="A691" t="s">
        <v>725</v>
      </c>
      <c r="B691" t="s">
        <v>18</v>
      </c>
      <c r="C691" t="s">
        <v>19</v>
      </c>
      <c r="D691" t="s">
        <v>27</v>
      </c>
      <c r="E691" t="s">
        <v>21</v>
      </c>
      <c r="F691" t="s">
        <v>44</v>
      </c>
      <c r="G691">
        <v>67.099999999999994</v>
      </c>
      <c r="H691">
        <v>3</v>
      </c>
      <c r="I691">
        <v>10.065</v>
      </c>
      <c r="J691">
        <v>211.36500000000001</v>
      </c>
      <c r="K691" s="1">
        <v>43511</v>
      </c>
      <c r="L691" s="2">
        <v>0.44166666666666665</v>
      </c>
      <c r="M691" t="s">
        <v>29</v>
      </c>
      <c r="N691">
        <v>201.3</v>
      </c>
      <c r="O691">
        <v>4.7619047620000003</v>
      </c>
      <c r="P691">
        <v>10.065</v>
      </c>
      <c r="Q691">
        <v>7.5</v>
      </c>
    </row>
    <row r="692" spans="1:17" x14ac:dyDescent="0.3">
      <c r="A692" t="s">
        <v>726</v>
      </c>
      <c r="B692" t="s">
        <v>25</v>
      </c>
      <c r="C692" t="s">
        <v>26</v>
      </c>
      <c r="D692" t="s">
        <v>20</v>
      </c>
      <c r="E692" t="s">
        <v>21</v>
      </c>
      <c r="F692" t="s">
        <v>36</v>
      </c>
      <c r="G692">
        <v>70.19</v>
      </c>
      <c r="H692">
        <v>9</v>
      </c>
      <c r="I692">
        <v>31.5855</v>
      </c>
      <c r="J692">
        <v>663.29549999999995</v>
      </c>
      <c r="K692" s="1">
        <v>43490</v>
      </c>
      <c r="L692" s="2">
        <v>0.56805555555555554</v>
      </c>
      <c r="M692" t="s">
        <v>29</v>
      </c>
      <c r="N692">
        <v>631.71</v>
      </c>
      <c r="O692">
        <v>4.7619047620000003</v>
      </c>
      <c r="P692">
        <v>31.5855</v>
      </c>
      <c r="Q692">
        <v>6.7</v>
      </c>
    </row>
    <row r="693" spans="1:17" x14ac:dyDescent="0.3">
      <c r="A693" t="s">
        <v>727</v>
      </c>
      <c r="B693" t="s">
        <v>25</v>
      </c>
      <c r="C693" t="s">
        <v>26</v>
      </c>
      <c r="D693" t="s">
        <v>20</v>
      </c>
      <c r="E693" t="s">
        <v>31</v>
      </c>
      <c r="F693" t="s">
        <v>44</v>
      </c>
      <c r="G693">
        <v>55.04</v>
      </c>
      <c r="H693">
        <v>7</v>
      </c>
      <c r="I693">
        <v>19.263999999999999</v>
      </c>
      <c r="J693">
        <v>404.54399999999998</v>
      </c>
      <c r="K693" s="1">
        <v>43536</v>
      </c>
      <c r="L693" s="2">
        <v>0.81874999999999998</v>
      </c>
      <c r="M693" t="s">
        <v>23</v>
      </c>
      <c r="N693">
        <v>385.28</v>
      </c>
      <c r="O693">
        <v>4.7619047620000003</v>
      </c>
      <c r="P693">
        <v>19.263999999999999</v>
      </c>
      <c r="Q693">
        <v>5.2</v>
      </c>
    </row>
    <row r="694" spans="1:17" x14ac:dyDescent="0.3">
      <c r="A694" t="s">
        <v>728</v>
      </c>
      <c r="B694" t="s">
        <v>18</v>
      </c>
      <c r="C694" t="s">
        <v>19</v>
      </c>
      <c r="D694" t="s">
        <v>20</v>
      </c>
      <c r="E694" t="s">
        <v>31</v>
      </c>
      <c r="F694" t="s">
        <v>22</v>
      </c>
      <c r="G694">
        <v>48.63</v>
      </c>
      <c r="H694">
        <v>10</v>
      </c>
      <c r="I694">
        <v>24.315000000000001</v>
      </c>
      <c r="J694">
        <v>510.61500000000001</v>
      </c>
      <c r="K694" s="1">
        <v>43528</v>
      </c>
      <c r="L694" s="2">
        <v>0.53055555555555556</v>
      </c>
      <c r="M694" t="s">
        <v>29</v>
      </c>
      <c r="N694">
        <v>486.3</v>
      </c>
      <c r="O694">
        <v>4.7619047620000003</v>
      </c>
      <c r="P694">
        <v>24.315000000000001</v>
      </c>
      <c r="Q694">
        <v>8.8000000000000007</v>
      </c>
    </row>
    <row r="695" spans="1:17" x14ac:dyDescent="0.3">
      <c r="A695" t="s">
        <v>729</v>
      </c>
      <c r="B695" t="s">
        <v>25</v>
      </c>
      <c r="C695" t="s">
        <v>26</v>
      </c>
      <c r="D695" t="s">
        <v>20</v>
      </c>
      <c r="E695" t="s">
        <v>21</v>
      </c>
      <c r="F695" t="s">
        <v>46</v>
      </c>
      <c r="G695">
        <v>73.38</v>
      </c>
      <c r="H695">
        <v>7</v>
      </c>
      <c r="I695">
        <v>25.683</v>
      </c>
      <c r="J695">
        <v>539.34299999999996</v>
      </c>
      <c r="K695" s="1">
        <v>43506</v>
      </c>
      <c r="L695" s="2">
        <v>0.5805555555555556</v>
      </c>
      <c r="M695" t="s">
        <v>29</v>
      </c>
      <c r="N695">
        <v>513.66</v>
      </c>
      <c r="O695">
        <v>4.7619047620000003</v>
      </c>
      <c r="P695">
        <v>25.683</v>
      </c>
      <c r="Q695">
        <v>9.5</v>
      </c>
    </row>
    <row r="696" spans="1:17" x14ac:dyDescent="0.3">
      <c r="A696" t="s">
        <v>730</v>
      </c>
      <c r="B696" t="s">
        <v>25</v>
      </c>
      <c r="C696" t="s">
        <v>26</v>
      </c>
      <c r="D696" t="s">
        <v>27</v>
      </c>
      <c r="E696" t="s">
        <v>21</v>
      </c>
      <c r="F696" t="s">
        <v>44</v>
      </c>
      <c r="G696">
        <v>52.6</v>
      </c>
      <c r="H696">
        <v>9</v>
      </c>
      <c r="I696">
        <v>23.67</v>
      </c>
      <c r="J696">
        <v>497.07</v>
      </c>
      <c r="K696" s="1">
        <v>43481</v>
      </c>
      <c r="L696" s="2">
        <v>0.61249999999999993</v>
      </c>
      <c r="M696" t="s">
        <v>29</v>
      </c>
      <c r="N696">
        <v>473.4</v>
      </c>
      <c r="O696">
        <v>4.7619047620000003</v>
      </c>
      <c r="P696">
        <v>23.67</v>
      </c>
      <c r="Q696">
        <v>7.6</v>
      </c>
    </row>
    <row r="697" spans="1:17" x14ac:dyDescent="0.3">
      <c r="A697" t="s">
        <v>731</v>
      </c>
      <c r="B697" t="s">
        <v>18</v>
      </c>
      <c r="C697" t="s">
        <v>19</v>
      </c>
      <c r="D697" t="s">
        <v>20</v>
      </c>
      <c r="E697" t="s">
        <v>21</v>
      </c>
      <c r="F697" t="s">
        <v>32</v>
      </c>
      <c r="G697">
        <v>87.37</v>
      </c>
      <c r="H697">
        <v>5</v>
      </c>
      <c r="I697">
        <v>21.842500000000001</v>
      </c>
      <c r="J697">
        <v>458.6925</v>
      </c>
      <c r="K697" s="1">
        <v>43494</v>
      </c>
      <c r="L697" s="2">
        <v>0.82291666666666663</v>
      </c>
      <c r="M697" t="s">
        <v>29</v>
      </c>
      <c r="N697">
        <v>436.85</v>
      </c>
      <c r="O697">
        <v>4.7619047620000003</v>
      </c>
      <c r="P697">
        <v>21.842500000000001</v>
      </c>
      <c r="Q697">
        <v>6.6</v>
      </c>
    </row>
    <row r="698" spans="1:17" x14ac:dyDescent="0.3">
      <c r="A698" t="s">
        <v>732</v>
      </c>
      <c r="B698" t="s">
        <v>18</v>
      </c>
      <c r="C698" t="s">
        <v>19</v>
      </c>
      <c r="D698" t="s">
        <v>20</v>
      </c>
      <c r="E698" t="s">
        <v>21</v>
      </c>
      <c r="F698" t="s">
        <v>36</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3">
      <c r="A699" t="s">
        <v>733</v>
      </c>
      <c r="B699" t="s">
        <v>42</v>
      </c>
      <c r="C699" t="s">
        <v>43</v>
      </c>
      <c r="D699" t="s">
        <v>27</v>
      </c>
      <c r="E699" t="s">
        <v>31</v>
      </c>
      <c r="F699" t="s">
        <v>32</v>
      </c>
      <c r="G699">
        <v>62.19</v>
      </c>
      <c r="H699">
        <v>4</v>
      </c>
      <c r="I699">
        <v>12.438000000000001</v>
      </c>
      <c r="J699">
        <v>261.19799999999998</v>
      </c>
      <c r="K699" s="1">
        <v>43471</v>
      </c>
      <c r="L699" s="2">
        <v>0.82361111111111107</v>
      </c>
      <c r="M699" t="s">
        <v>23</v>
      </c>
      <c r="N699">
        <v>248.76</v>
      </c>
      <c r="O699">
        <v>4.7619047620000003</v>
      </c>
      <c r="P699">
        <v>12.438000000000001</v>
      </c>
      <c r="Q699">
        <v>4.3</v>
      </c>
    </row>
    <row r="700" spans="1:17" x14ac:dyDescent="0.3">
      <c r="A700" t="s">
        <v>734</v>
      </c>
      <c r="B700" t="s">
        <v>18</v>
      </c>
      <c r="C700" t="s">
        <v>19</v>
      </c>
      <c r="D700" t="s">
        <v>20</v>
      </c>
      <c r="E700" t="s">
        <v>31</v>
      </c>
      <c r="F700" t="s">
        <v>28</v>
      </c>
      <c r="G700">
        <v>69.58</v>
      </c>
      <c r="H700">
        <v>9</v>
      </c>
      <c r="I700">
        <v>31.311</v>
      </c>
      <c r="J700">
        <v>657.53099999999995</v>
      </c>
      <c r="K700" s="1">
        <v>43515</v>
      </c>
      <c r="L700" s="2">
        <v>0.81805555555555554</v>
      </c>
      <c r="M700" t="s">
        <v>33</v>
      </c>
      <c r="N700">
        <v>626.22</v>
      </c>
      <c r="O700">
        <v>4.7619047620000003</v>
      </c>
      <c r="P700">
        <v>31.311</v>
      </c>
      <c r="Q700">
        <v>7.8</v>
      </c>
    </row>
    <row r="701" spans="1:17" x14ac:dyDescent="0.3">
      <c r="A701" t="s">
        <v>735</v>
      </c>
      <c r="B701" t="s">
        <v>25</v>
      </c>
      <c r="C701" t="s">
        <v>26</v>
      </c>
      <c r="D701" t="s">
        <v>27</v>
      </c>
      <c r="E701" t="s">
        <v>31</v>
      </c>
      <c r="F701" t="s">
        <v>32</v>
      </c>
      <c r="G701">
        <v>97.5</v>
      </c>
      <c r="H701">
        <v>10</v>
      </c>
      <c r="I701">
        <v>48.75</v>
      </c>
      <c r="J701">
        <v>1023.75</v>
      </c>
      <c r="K701" s="1">
        <v>43477</v>
      </c>
      <c r="L701" s="2">
        <v>0.6791666666666667</v>
      </c>
      <c r="M701" t="s">
        <v>23</v>
      </c>
      <c r="N701">
        <v>975</v>
      </c>
      <c r="O701">
        <v>4.7619047620000003</v>
      </c>
      <c r="P701">
        <v>48.75</v>
      </c>
      <c r="Q701">
        <v>8</v>
      </c>
    </row>
    <row r="702" spans="1:17" x14ac:dyDescent="0.3">
      <c r="A702" t="s">
        <v>736</v>
      </c>
      <c r="B702" t="s">
        <v>25</v>
      </c>
      <c r="C702" t="s">
        <v>26</v>
      </c>
      <c r="D702" t="s">
        <v>27</v>
      </c>
      <c r="E702" t="s">
        <v>21</v>
      </c>
      <c r="F702" t="s">
        <v>46</v>
      </c>
      <c r="G702">
        <v>60.41</v>
      </c>
      <c r="H702">
        <v>8</v>
      </c>
      <c r="I702">
        <v>24.164000000000001</v>
      </c>
      <c r="J702">
        <v>507.44400000000002</v>
      </c>
      <c r="K702" s="1">
        <v>43503</v>
      </c>
      <c r="L702" s="2">
        <v>0.51597222222222217</v>
      </c>
      <c r="M702" t="s">
        <v>23</v>
      </c>
      <c r="N702">
        <v>483.28</v>
      </c>
      <c r="O702">
        <v>4.7619047620000003</v>
      </c>
      <c r="P702">
        <v>24.164000000000001</v>
      </c>
      <c r="Q702">
        <v>9.6</v>
      </c>
    </row>
    <row r="703" spans="1:17" x14ac:dyDescent="0.3">
      <c r="A703" t="s">
        <v>737</v>
      </c>
      <c r="B703" t="s">
        <v>42</v>
      </c>
      <c r="C703" t="s">
        <v>43</v>
      </c>
      <c r="D703" t="s">
        <v>27</v>
      </c>
      <c r="E703" t="s">
        <v>31</v>
      </c>
      <c r="F703" t="s">
        <v>44</v>
      </c>
      <c r="G703">
        <v>32.32</v>
      </c>
      <c r="H703">
        <v>3</v>
      </c>
      <c r="I703">
        <v>4.8479999999999999</v>
      </c>
      <c r="J703">
        <v>101.80800000000001</v>
      </c>
      <c r="K703" s="1">
        <v>43551</v>
      </c>
      <c r="L703" s="2">
        <v>0.7993055555555556</v>
      </c>
      <c r="M703" t="s">
        <v>33</v>
      </c>
      <c r="N703">
        <v>96.96</v>
      </c>
      <c r="O703">
        <v>4.7619047620000003</v>
      </c>
      <c r="P703">
        <v>4.8479999999999999</v>
      </c>
      <c r="Q703">
        <v>4.3</v>
      </c>
    </row>
    <row r="704" spans="1:17" x14ac:dyDescent="0.3">
      <c r="A704" t="s">
        <v>738</v>
      </c>
      <c r="B704" t="s">
        <v>42</v>
      </c>
      <c r="C704" t="s">
        <v>43</v>
      </c>
      <c r="D704" t="s">
        <v>20</v>
      </c>
      <c r="E704" t="s">
        <v>21</v>
      </c>
      <c r="F704" t="s">
        <v>46</v>
      </c>
      <c r="G704">
        <v>19.77</v>
      </c>
      <c r="H704">
        <v>10</v>
      </c>
      <c r="I704">
        <v>9.8849999999999998</v>
      </c>
      <c r="J704">
        <v>207.58500000000001</v>
      </c>
      <c r="K704" s="1">
        <v>43523</v>
      </c>
      <c r="L704" s="2">
        <v>0.7895833333333333</v>
      </c>
      <c r="M704" t="s">
        <v>33</v>
      </c>
      <c r="N704">
        <v>197.7</v>
      </c>
      <c r="O704">
        <v>4.7619047620000003</v>
      </c>
      <c r="P704">
        <v>9.8849999999999998</v>
      </c>
      <c r="Q704">
        <v>5</v>
      </c>
    </row>
    <row r="705" spans="1:17" x14ac:dyDescent="0.3">
      <c r="A705" t="s">
        <v>739</v>
      </c>
      <c r="B705" t="s">
        <v>42</v>
      </c>
      <c r="C705" t="s">
        <v>43</v>
      </c>
      <c r="D705" t="s">
        <v>20</v>
      </c>
      <c r="E705" t="s">
        <v>31</v>
      </c>
      <c r="F705" t="s">
        <v>22</v>
      </c>
      <c r="G705">
        <v>80.47</v>
      </c>
      <c r="H705">
        <v>9</v>
      </c>
      <c r="I705">
        <v>36.211500000000001</v>
      </c>
      <c r="J705">
        <v>760.44150000000002</v>
      </c>
      <c r="K705" s="1">
        <v>43471</v>
      </c>
      <c r="L705" s="2">
        <v>0.47083333333333338</v>
      </c>
      <c r="M705" t="s">
        <v>29</v>
      </c>
      <c r="N705">
        <v>724.23</v>
      </c>
      <c r="O705">
        <v>4.7619047620000003</v>
      </c>
      <c r="P705">
        <v>36.211500000000001</v>
      </c>
      <c r="Q705">
        <v>9.1999999999999993</v>
      </c>
    </row>
    <row r="706" spans="1:17" x14ac:dyDescent="0.3">
      <c r="A706" t="s">
        <v>740</v>
      </c>
      <c r="B706" t="s">
        <v>42</v>
      </c>
      <c r="C706" t="s">
        <v>43</v>
      </c>
      <c r="D706" t="s">
        <v>20</v>
      </c>
      <c r="E706" t="s">
        <v>21</v>
      </c>
      <c r="F706" t="s">
        <v>32</v>
      </c>
      <c r="G706">
        <v>88.39</v>
      </c>
      <c r="H706">
        <v>9</v>
      </c>
      <c r="I706">
        <v>39.775500000000001</v>
      </c>
      <c r="J706">
        <v>835.28549999999996</v>
      </c>
      <c r="K706" s="1">
        <v>43526</v>
      </c>
      <c r="L706" s="2">
        <v>0.52777777777777779</v>
      </c>
      <c r="M706" t="s">
        <v>29</v>
      </c>
      <c r="N706">
        <v>795.51</v>
      </c>
      <c r="O706">
        <v>4.7619047620000003</v>
      </c>
      <c r="P706">
        <v>39.775500000000001</v>
      </c>
      <c r="Q706">
        <v>6.3</v>
      </c>
    </row>
    <row r="707" spans="1:17" x14ac:dyDescent="0.3">
      <c r="A707" t="s">
        <v>741</v>
      </c>
      <c r="B707" t="s">
        <v>42</v>
      </c>
      <c r="C707" t="s">
        <v>43</v>
      </c>
      <c r="D707" t="s">
        <v>27</v>
      </c>
      <c r="E707" t="s">
        <v>31</v>
      </c>
      <c r="F707" t="s">
        <v>22</v>
      </c>
      <c r="G707">
        <v>71.77</v>
      </c>
      <c r="H707">
        <v>7</v>
      </c>
      <c r="I707">
        <v>25.119499999999999</v>
      </c>
      <c r="J707">
        <v>527.5095</v>
      </c>
      <c r="K707" s="1">
        <v>43553</v>
      </c>
      <c r="L707" s="2">
        <v>0.58750000000000002</v>
      </c>
      <c r="M707" t="s">
        <v>29</v>
      </c>
      <c r="N707">
        <v>502.39</v>
      </c>
      <c r="O707">
        <v>4.7619047620000003</v>
      </c>
      <c r="P707">
        <v>25.119499999999999</v>
      </c>
      <c r="Q707">
        <v>8.9</v>
      </c>
    </row>
    <row r="708" spans="1:17" x14ac:dyDescent="0.3">
      <c r="A708" t="s">
        <v>742</v>
      </c>
      <c r="B708" t="s">
        <v>42</v>
      </c>
      <c r="C708" t="s">
        <v>43</v>
      </c>
      <c r="D708" t="s">
        <v>27</v>
      </c>
      <c r="E708" t="s">
        <v>21</v>
      </c>
      <c r="F708" t="s">
        <v>28</v>
      </c>
      <c r="G708">
        <v>43</v>
      </c>
      <c r="H708">
        <v>4</v>
      </c>
      <c r="I708">
        <v>8.6</v>
      </c>
      <c r="J708">
        <v>180.6</v>
      </c>
      <c r="K708" s="1">
        <v>43496</v>
      </c>
      <c r="L708" s="2">
        <v>0.8666666666666667</v>
      </c>
      <c r="M708" t="s">
        <v>23</v>
      </c>
      <c r="N708">
        <v>172</v>
      </c>
      <c r="O708">
        <v>4.7619047620000003</v>
      </c>
      <c r="P708">
        <v>8.6</v>
      </c>
      <c r="Q708">
        <v>7.6</v>
      </c>
    </row>
    <row r="709" spans="1:17" x14ac:dyDescent="0.3">
      <c r="A709" t="s">
        <v>743</v>
      </c>
      <c r="B709" t="s">
        <v>25</v>
      </c>
      <c r="C709" t="s">
        <v>26</v>
      </c>
      <c r="D709" t="s">
        <v>20</v>
      </c>
      <c r="E709" t="s">
        <v>31</v>
      </c>
      <c r="F709" t="s">
        <v>44</v>
      </c>
      <c r="G709">
        <v>68.98</v>
      </c>
      <c r="H709">
        <v>1</v>
      </c>
      <c r="I709">
        <v>3.4489999999999998</v>
      </c>
      <c r="J709">
        <v>72.429000000000002</v>
      </c>
      <c r="K709" s="1">
        <v>43486</v>
      </c>
      <c r="L709" s="2">
        <v>0.84236111111111101</v>
      </c>
      <c r="M709" t="s">
        <v>29</v>
      </c>
      <c r="N709">
        <v>68.98</v>
      </c>
      <c r="O709">
        <v>4.7619047620000003</v>
      </c>
      <c r="P709">
        <v>3.4489999999999998</v>
      </c>
      <c r="Q709">
        <v>4.8</v>
      </c>
    </row>
    <row r="710" spans="1:17" x14ac:dyDescent="0.3">
      <c r="A710" t="s">
        <v>744</v>
      </c>
      <c r="B710" t="s">
        <v>25</v>
      </c>
      <c r="C710" t="s">
        <v>26</v>
      </c>
      <c r="D710" t="s">
        <v>27</v>
      </c>
      <c r="E710" t="s">
        <v>31</v>
      </c>
      <c r="F710" t="s">
        <v>46</v>
      </c>
      <c r="G710">
        <v>15.62</v>
      </c>
      <c r="H710">
        <v>8</v>
      </c>
      <c r="I710">
        <v>6.2480000000000002</v>
      </c>
      <c r="J710">
        <v>131.208</v>
      </c>
      <c r="K710" s="1">
        <v>43485</v>
      </c>
      <c r="L710" s="2">
        <v>0.85902777777777783</v>
      </c>
      <c r="M710" t="s">
        <v>23</v>
      </c>
      <c r="N710">
        <v>124.96</v>
      </c>
      <c r="O710">
        <v>4.7619047620000003</v>
      </c>
      <c r="P710">
        <v>6.2480000000000002</v>
      </c>
      <c r="Q710">
        <v>9.1</v>
      </c>
    </row>
    <row r="711" spans="1:17" x14ac:dyDescent="0.3">
      <c r="A711" t="s">
        <v>745</v>
      </c>
      <c r="B711" t="s">
        <v>18</v>
      </c>
      <c r="C711" t="s">
        <v>19</v>
      </c>
      <c r="D711" t="s">
        <v>27</v>
      </c>
      <c r="E711" t="s">
        <v>31</v>
      </c>
      <c r="F711" t="s">
        <v>36</v>
      </c>
      <c r="G711">
        <v>25.7</v>
      </c>
      <c r="H711">
        <v>3</v>
      </c>
      <c r="I711">
        <v>3.855</v>
      </c>
      <c r="J711">
        <v>80.954999999999998</v>
      </c>
      <c r="K711" s="1">
        <v>43482</v>
      </c>
      <c r="L711" s="2">
        <v>0.74930555555555556</v>
      </c>
      <c r="M711" t="s">
        <v>23</v>
      </c>
      <c r="N711">
        <v>77.099999999999994</v>
      </c>
      <c r="O711">
        <v>4.7619047620000003</v>
      </c>
      <c r="P711">
        <v>3.855</v>
      </c>
      <c r="Q711">
        <v>6.1</v>
      </c>
    </row>
    <row r="712" spans="1:17" x14ac:dyDescent="0.3">
      <c r="A712" t="s">
        <v>746</v>
      </c>
      <c r="B712" t="s">
        <v>18</v>
      </c>
      <c r="C712" t="s">
        <v>19</v>
      </c>
      <c r="D712" t="s">
        <v>20</v>
      </c>
      <c r="E712" t="s">
        <v>31</v>
      </c>
      <c r="F712" t="s">
        <v>44</v>
      </c>
      <c r="G712">
        <v>80.62</v>
      </c>
      <c r="H712">
        <v>6</v>
      </c>
      <c r="I712">
        <v>24.186</v>
      </c>
      <c r="J712">
        <v>507.90600000000001</v>
      </c>
      <c r="K712" s="1">
        <v>43524</v>
      </c>
      <c r="L712" s="2">
        <v>0.84583333333333333</v>
      </c>
      <c r="M712" t="s">
        <v>29</v>
      </c>
      <c r="N712">
        <v>483.72</v>
      </c>
      <c r="O712">
        <v>4.7619047620000003</v>
      </c>
      <c r="P712">
        <v>24.186</v>
      </c>
      <c r="Q712">
        <v>9.1</v>
      </c>
    </row>
    <row r="713" spans="1:17" x14ac:dyDescent="0.3">
      <c r="A713" t="s">
        <v>747</v>
      </c>
      <c r="B713" t="s">
        <v>25</v>
      </c>
      <c r="C713" t="s">
        <v>26</v>
      </c>
      <c r="D713" t="s">
        <v>20</v>
      </c>
      <c r="E713" t="s">
        <v>21</v>
      </c>
      <c r="F713" t="s">
        <v>32</v>
      </c>
      <c r="G713">
        <v>75.53</v>
      </c>
      <c r="H713">
        <v>4</v>
      </c>
      <c r="I713">
        <v>15.106</v>
      </c>
      <c r="J713">
        <v>317.226</v>
      </c>
      <c r="K713" s="1">
        <v>43543</v>
      </c>
      <c r="L713" s="2">
        <v>0.66111111111111109</v>
      </c>
      <c r="M713" t="s">
        <v>23</v>
      </c>
      <c r="N713">
        <v>302.12</v>
      </c>
      <c r="O713">
        <v>4.7619047620000003</v>
      </c>
      <c r="P713">
        <v>15.106</v>
      </c>
      <c r="Q713">
        <v>8.3000000000000007</v>
      </c>
    </row>
    <row r="714" spans="1:17" x14ac:dyDescent="0.3">
      <c r="A714" t="s">
        <v>748</v>
      </c>
      <c r="B714" t="s">
        <v>25</v>
      </c>
      <c r="C714" t="s">
        <v>26</v>
      </c>
      <c r="D714" t="s">
        <v>27</v>
      </c>
      <c r="E714" t="s">
        <v>21</v>
      </c>
      <c r="F714" t="s">
        <v>28</v>
      </c>
      <c r="G714">
        <v>77.63</v>
      </c>
      <c r="H714">
        <v>9</v>
      </c>
      <c r="I714">
        <v>34.933500000000002</v>
      </c>
      <c r="J714">
        <v>733.60350000000005</v>
      </c>
      <c r="K714" s="1">
        <v>43515</v>
      </c>
      <c r="L714" s="2">
        <v>0.63472222222222219</v>
      </c>
      <c r="M714" t="s">
        <v>23</v>
      </c>
      <c r="N714">
        <v>698.67</v>
      </c>
      <c r="O714">
        <v>4.7619047620000003</v>
      </c>
      <c r="P714">
        <v>34.933500000000002</v>
      </c>
      <c r="Q714">
        <v>7.2</v>
      </c>
    </row>
    <row r="715" spans="1:17" x14ac:dyDescent="0.3">
      <c r="A715" t="s">
        <v>749</v>
      </c>
      <c r="B715" t="s">
        <v>25</v>
      </c>
      <c r="C715" t="s">
        <v>26</v>
      </c>
      <c r="D715" t="s">
        <v>27</v>
      </c>
      <c r="E715" t="s">
        <v>21</v>
      </c>
      <c r="F715" t="s">
        <v>22</v>
      </c>
      <c r="G715">
        <v>13.85</v>
      </c>
      <c r="H715">
        <v>9</v>
      </c>
      <c r="I715">
        <v>6.2324999999999999</v>
      </c>
      <c r="J715">
        <v>130.88249999999999</v>
      </c>
      <c r="K715" s="1">
        <v>43500</v>
      </c>
      <c r="L715" s="2">
        <v>0.53472222222222221</v>
      </c>
      <c r="M715" t="s">
        <v>23</v>
      </c>
      <c r="N715">
        <v>124.65</v>
      </c>
      <c r="O715">
        <v>4.7619047620000003</v>
      </c>
      <c r="P715">
        <v>6.2324999999999999</v>
      </c>
      <c r="Q715">
        <v>6</v>
      </c>
    </row>
    <row r="716" spans="1:17" x14ac:dyDescent="0.3">
      <c r="A716" t="s">
        <v>750</v>
      </c>
      <c r="B716" t="s">
        <v>25</v>
      </c>
      <c r="C716" t="s">
        <v>26</v>
      </c>
      <c r="D716" t="s">
        <v>20</v>
      </c>
      <c r="E716" t="s">
        <v>31</v>
      </c>
      <c r="F716" t="s">
        <v>46</v>
      </c>
      <c r="G716">
        <v>98.7</v>
      </c>
      <c r="H716">
        <v>8</v>
      </c>
      <c r="I716">
        <v>39.479999999999997</v>
      </c>
      <c r="J716">
        <v>829.08</v>
      </c>
      <c r="K716" s="1">
        <v>43496</v>
      </c>
      <c r="L716" s="2">
        <v>0.44166666666666665</v>
      </c>
      <c r="M716" t="s">
        <v>23</v>
      </c>
      <c r="N716">
        <v>789.6</v>
      </c>
      <c r="O716">
        <v>4.7619047620000003</v>
      </c>
      <c r="P716">
        <v>39.479999999999997</v>
      </c>
      <c r="Q716">
        <v>8.5</v>
      </c>
    </row>
    <row r="717" spans="1:17" x14ac:dyDescent="0.3">
      <c r="A717" t="s">
        <v>751</v>
      </c>
      <c r="B717" t="s">
        <v>18</v>
      </c>
      <c r="C717" t="s">
        <v>19</v>
      </c>
      <c r="D717" t="s">
        <v>27</v>
      </c>
      <c r="E717" t="s">
        <v>21</v>
      </c>
      <c r="F717" t="s">
        <v>22</v>
      </c>
      <c r="G717">
        <v>35.68</v>
      </c>
      <c r="H717">
        <v>5</v>
      </c>
      <c r="I717">
        <v>8.92</v>
      </c>
      <c r="J717">
        <v>187.32</v>
      </c>
      <c r="K717" s="1">
        <v>43502</v>
      </c>
      <c r="L717" s="2">
        <v>0.7729166666666667</v>
      </c>
      <c r="M717" t="s">
        <v>33</v>
      </c>
      <c r="N717">
        <v>178.4</v>
      </c>
      <c r="O717">
        <v>4.7619047620000003</v>
      </c>
      <c r="P717">
        <v>8.92</v>
      </c>
      <c r="Q717">
        <v>6.6</v>
      </c>
    </row>
    <row r="718" spans="1:17" x14ac:dyDescent="0.3">
      <c r="A718" t="s">
        <v>752</v>
      </c>
      <c r="B718" t="s">
        <v>18</v>
      </c>
      <c r="C718" t="s">
        <v>19</v>
      </c>
      <c r="D718" t="s">
        <v>20</v>
      </c>
      <c r="E718" t="s">
        <v>21</v>
      </c>
      <c r="F718" t="s">
        <v>46</v>
      </c>
      <c r="G718">
        <v>71.459999999999994</v>
      </c>
      <c r="H718">
        <v>7</v>
      </c>
      <c r="I718">
        <v>25.010999999999999</v>
      </c>
      <c r="J718">
        <v>525.23099999999999</v>
      </c>
      <c r="K718" s="1">
        <v>43552</v>
      </c>
      <c r="L718" s="2">
        <v>0.67083333333333339</v>
      </c>
      <c r="M718" t="s">
        <v>23</v>
      </c>
      <c r="N718">
        <v>500.22</v>
      </c>
      <c r="O718">
        <v>4.7619047620000003</v>
      </c>
      <c r="P718">
        <v>25.010999999999999</v>
      </c>
      <c r="Q718">
        <v>4.5</v>
      </c>
    </row>
    <row r="719" spans="1:17" x14ac:dyDescent="0.3">
      <c r="A719" t="s">
        <v>753</v>
      </c>
      <c r="B719" t="s">
        <v>18</v>
      </c>
      <c r="C719" t="s">
        <v>19</v>
      </c>
      <c r="D719" t="s">
        <v>20</v>
      </c>
      <c r="E719" t="s">
        <v>31</v>
      </c>
      <c r="F719" t="s">
        <v>28</v>
      </c>
      <c r="G719">
        <v>11.94</v>
      </c>
      <c r="H719">
        <v>3</v>
      </c>
      <c r="I719">
        <v>1.7909999999999999</v>
      </c>
      <c r="J719">
        <v>37.610999999999997</v>
      </c>
      <c r="K719" s="1">
        <v>43484</v>
      </c>
      <c r="L719" s="2">
        <v>0.53263888888888888</v>
      </c>
      <c r="M719" t="s">
        <v>33</v>
      </c>
      <c r="N719">
        <v>35.82</v>
      </c>
      <c r="O719">
        <v>4.7619047620000003</v>
      </c>
      <c r="P719">
        <v>1.7909999999999999</v>
      </c>
      <c r="Q719">
        <v>8.1</v>
      </c>
    </row>
    <row r="720" spans="1:17" x14ac:dyDescent="0.3">
      <c r="A720" t="s">
        <v>754</v>
      </c>
      <c r="B720" t="s">
        <v>18</v>
      </c>
      <c r="C720" t="s">
        <v>19</v>
      </c>
      <c r="D720" t="s">
        <v>27</v>
      </c>
      <c r="E720" t="s">
        <v>31</v>
      </c>
      <c r="F720" t="s">
        <v>46</v>
      </c>
      <c r="G720">
        <v>45.38</v>
      </c>
      <c r="H720">
        <v>3</v>
      </c>
      <c r="I720">
        <v>6.8070000000000004</v>
      </c>
      <c r="J720">
        <v>142.947</v>
      </c>
      <c r="K720" s="1">
        <v>43513</v>
      </c>
      <c r="L720" s="2">
        <v>0.56527777777777777</v>
      </c>
      <c r="M720" t="s">
        <v>33</v>
      </c>
      <c r="N720">
        <v>136.13999999999999</v>
      </c>
      <c r="O720">
        <v>4.7619047620000003</v>
      </c>
      <c r="P720">
        <v>6.8070000000000004</v>
      </c>
      <c r="Q720">
        <v>7.2</v>
      </c>
    </row>
    <row r="721" spans="1:17" x14ac:dyDescent="0.3">
      <c r="A721" t="s">
        <v>755</v>
      </c>
      <c r="B721" t="s">
        <v>42</v>
      </c>
      <c r="C721" t="s">
        <v>43</v>
      </c>
      <c r="D721" t="s">
        <v>20</v>
      </c>
      <c r="E721" t="s">
        <v>21</v>
      </c>
      <c r="F721" t="s">
        <v>46</v>
      </c>
      <c r="G721">
        <v>17.48</v>
      </c>
      <c r="H721">
        <v>6</v>
      </c>
      <c r="I721">
        <v>5.2439999999999998</v>
      </c>
      <c r="J721">
        <v>110.124</v>
      </c>
      <c r="K721" s="1">
        <v>43483</v>
      </c>
      <c r="L721" s="2">
        <v>0.62777777777777777</v>
      </c>
      <c r="M721" t="s">
        <v>33</v>
      </c>
      <c r="N721">
        <v>104.88</v>
      </c>
      <c r="O721">
        <v>4.7619047620000003</v>
      </c>
      <c r="P721">
        <v>5.2439999999999998</v>
      </c>
      <c r="Q721">
        <v>6.1</v>
      </c>
    </row>
    <row r="722" spans="1:17" x14ac:dyDescent="0.3">
      <c r="A722" t="s">
        <v>756</v>
      </c>
      <c r="B722" t="s">
        <v>42</v>
      </c>
      <c r="C722" t="s">
        <v>43</v>
      </c>
      <c r="D722" t="s">
        <v>27</v>
      </c>
      <c r="E722" t="s">
        <v>21</v>
      </c>
      <c r="F722" t="s">
        <v>46</v>
      </c>
      <c r="G722">
        <v>25.56</v>
      </c>
      <c r="H722">
        <v>7</v>
      </c>
      <c r="I722">
        <v>8.9459999999999997</v>
      </c>
      <c r="J722">
        <v>187.86600000000001</v>
      </c>
      <c r="K722" s="1">
        <v>43498</v>
      </c>
      <c r="L722" s="2">
        <v>0.86249999999999993</v>
      </c>
      <c r="M722" t="s">
        <v>29</v>
      </c>
      <c r="N722">
        <v>178.92</v>
      </c>
      <c r="O722">
        <v>4.7619047620000003</v>
      </c>
      <c r="P722">
        <v>8.9459999999999997</v>
      </c>
      <c r="Q722">
        <v>7.1</v>
      </c>
    </row>
    <row r="723" spans="1:17" x14ac:dyDescent="0.3">
      <c r="A723" t="s">
        <v>757</v>
      </c>
      <c r="B723" t="s">
        <v>25</v>
      </c>
      <c r="C723" t="s">
        <v>26</v>
      </c>
      <c r="D723" t="s">
        <v>20</v>
      </c>
      <c r="E723" t="s">
        <v>21</v>
      </c>
      <c r="F723" t="s">
        <v>36</v>
      </c>
      <c r="G723">
        <v>90.63</v>
      </c>
      <c r="H723">
        <v>9</v>
      </c>
      <c r="I723">
        <v>40.783499999999997</v>
      </c>
      <c r="J723">
        <v>856.45349999999996</v>
      </c>
      <c r="K723" s="1">
        <v>43483</v>
      </c>
      <c r="L723" s="2">
        <v>0.64444444444444449</v>
      </c>
      <c r="M723" t="s">
        <v>29</v>
      </c>
      <c r="N723">
        <v>815.67</v>
      </c>
      <c r="O723">
        <v>4.7619047620000003</v>
      </c>
      <c r="P723">
        <v>40.783499999999997</v>
      </c>
      <c r="Q723">
        <v>5.0999999999999996</v>
      </c>
    </row>
    <row r="724" spans="1:17" x14ac:dyDescent="0.3">
      <c r="A724" t="s">
        <v>758</v>
      </c>
      <c r="B724" t="s">
        <v>42</v>
      </c>
      <c r="C724" t="s">
        <v>43</v>
      </c>
      <c r="D724" t="s">
        <v>27</v>
      </c>
      <c r="E724" t="s">
        <v>31</v>
      </c>
      <c r="F724" t="s">
        <v>32</v>
      </c>
      <c r="G724">
        <v>44.12</v>
      </c>
      <c r="H724">
        <v>3</v>
      </c>
      <c r="I724">
        <v>6.6180000000000003</v>
      </c>
      <c r="J724">
        <v>138.97800000000001</v>
      </c>
      <c r="K724" s="1">
        <v>43542</v>
      </c>
      <c r="L724" s="2">
        <v>0.57291666666666663</v>
      </c>
      <c r="M724" t="s">
        <v>33</v>
      </c>
      <c r="N724">
        <v>132.36000000000001</v>
      </c>
      <c r="O724">
        <v>4.7619047620000003</v>
      </c>
      <c r="P724">
        <v>6.6180000000000003</v>
      </c>
      <c r="Q724">
        <v>7.9</v>
      </c>
    </row>
    <row r="725" spans="1:17" x14ac:dyDescent="0.3">
      <c r="A725" t="s">
        <v>759</v>
      </c>
      <c r="B725" t="s">
        <v>25</v>
      </c>
      <c r="C725" t="s">
        <v>26</v>
      </c>
      <c r="D725" t="s">
        <v>20</v>
      </c>
      <c r="E725" t="s">
        <v>21</v>
      </c>
      <c r="F725" t="s">
        <v>44</v>
      </c>
      <c r="G725">
        <v>36.770000000000003</v>
      </c>
      <c r="H725">
        <v>7</v>
      </c>
      <c r="I725">
        <v>12.8695</v>
      </c>
      <c r="J725">
        <v>270.2595</v>
      </c>
      <c r="K725" s="1">
        <v>43476</v>
      </c>
      <c r="L725" s="2">
        <v>0.84027777777777779</v>
      </c>
      <c r="M725" t="s">
        <v>29</v>
      </c>
      <c r="N725">
        <v>257.39</v>
      </c>
      <c r="O725">
        <v>4.7619047620000003</v>
      </c>
      <c r="P725">
        <v>12.8695</v>
      </c>
      <c r="Q725">
        <v>7.4</v>
      </c>
    </row>
    <row r="726" spans="1:17" x14ac:dyDescent="0.3">
      <c r="A726" t="s">
        <v>760</v>
      </c>
      <c r="B726" t="s">
        <v>42</v>
      </c>
      <c r="C726" t="s">
        <v>43</v>
      </c>
      <c r="D726" t="s">
        <v>20</v>
      </c>
      <c r="E726" t="s">
        <v>31</v>
      </c>
      <c r="F726" t="s">
        <v>44</v>
      </c>
      <c r="G726">
        <v>23.34</v>
      </c>
      <c r="H726">
        <v>4</v>
      </c>
      <c r="I726">
        <v>4.6680000000000001</v>
      </c>
      <c r="J726">
        <v>98.028000000000006</v>
      </c>
      <c r="K726" s="1">
        <v>43500</v>
      </c>
      <c r="L726" s="2">
        <v>0.78680555555555554</v>
      </c>
      <c r="M726" t="s">
        <v>23</v>
      </c>
      <c r="N726">
        <v>93.36</v>
      </c>
      <c r="O726">
        <v>4.7619047620000003</v>
      </c>
      <c r="P726">
        <v>4.6680000000000001</v>
      </c>
      <c r="Q726">
        <v>7.4</v>
      </c>
    </row>
    <row r="727" spans="1:17" x14ac:dyDescent="0.3">
      <c r="A727" t="s">
        <v>761</v>
      </c>
      <c r="B727" t="s">
        <v>25</v>
      </c>
      <c r="C727" t="s">
        <v>26</v>
      </c>
      <c r="D727" t="s">
        <v>20</v>
      </c>
      <c r="E727" t="s">
        <v>21</v>
      </c>
      <c r="F727" t="s">
        <v>22</v>
      </c>
      <c r="G727">
        <v>28.5</v>
      </c>
      <c r="H727">
        <v>8</v>
      </c>
      <c r="I727">
        <v>11.4</v>
      </c>
      <c r="J727">
        <v>239.4</v>
      </c>
      <c r="K727" s="1">
        <v>43502</v>
      </c>
      <c r="L727" s="2">
        <v>0.6</v>
      </c>
      <c r="M727" t="s">
        <v>29</v>
      </c>
      <c r="N727">
        <v>228</v>
      </c>
      <c r="O727">
        <v>4.7619047620000003</v>
      </c>
      <c r="P727">
        <v>11.4</v>
      </c>
      <c r="Q727">
        <v>6.6</v>
      </c>
    </row>
    <row r="728" spans="1:17" x14ac:dyDescent="0.3">
      <c r="A728" t="s">
        <v>762</v>
      </c>
      <c r="B728" t="s">
        <v>25</v>
      </c>
      <c r="C728" t="s">
        <v>26</v>
      </c>
      <c r="D728" t="s">
        <v>20</v>
      </c>
      <c r="E728" t="s">
        <v>31</v>
      </c>
      <c r="F728" t="s">
        <v>32</v>
      </c>
      <c r="G728">
        <v>55.57</v>
      </c>
      <c r="H728">
        <v>3</v>
      </c>
      <c r="I728">
        <v>8.3354999999999997</v>
      </c>
      <c r="J728">
        <v>175.0455</v>
      </c>
      <c r="K728" s="1">
        <v>43473</v>
      </c>
      <c r="L728" s="2">
        <v>0.48749999999999999</v>
      </c>
      <c r="M728" t="s">
        <v>33</v>
      </c>
      <c r="N728">
        <v>166.71</v>
      </c>
      <c r="O728">
        <v>4.7619047620000003</v>
      </c>
      <c r="P728">
        <v>8.3354999999999997</v>
      </c>
      <c r="Q728">
        <v>5.9</v>
      </c>
    </row>
    <row r="729" spans="1:17" x14ac:dyDescent="0.3">
      <c r="A729" t="s">
        <v>763</v>
      </c>
      <c r="B729" t="s">
        <v>42</v>
      </c>
      <c r="C729" t="s">
        <v>43</v>
      </c>
      <c r="D729" t="s">
        <v>27</v>
      </c>
      <c r="E729" t="s">
        <v>31</v>
      </c>
      <c r="F729" t="s">
        <v>36</v>
      </c>
      <c r="G729">
        <v>69.739999999999995</v>
      </c>
      <c r="H729">
        <v>10</v>
      </c>
      <c r="I729">
        <v>34.869999999999997</v>
      </c>
      <c r="J729">
        <v>732.27</v>
      </c>
      <c r="K729" s="1">
        <v>43529</v>
      </c>
      <c r="L729" s="2">
        <v>0.74236111111111114</v>
      </c>
      <c r="M729" t="s">
        <v>33</v>
      </c>
      <c r="N729">
        <v>697.4</v>
      </c>
      <c r="O729">
        <v>4.7619047620000003</v>
      </c>
      <c r="P729">
        <v>34.869999999999997</v>
      </c>
      <c r="Q729">
        <v>8.9</v>
      </c>
    </row>
    <row r="730" spans="1:17" x14ac:dyDescent="0.3">
      <c r="A730" t="s">
        <v>764</v>
      </c>
      <c r="B730" t="s">
        <v>25</v>
      </c>
      <c r="C730" t="s">
        <v>26</v>
      </c>
      <c r="D730" t="s">
        <v>27</v>
      </c>
      <c r="E730" t="s">
        <v>31</v>
      </c>
      <c r="F730" t="s">
        <v>46</v>
      </c>
      <c r="G730">
        <v>97.26</v>
      </c>
      <c r="H730">
        <v>4</v>
      </c>
      <c r="I730">
        <v>19.452000000000002</v>
      </c>
      <c r="J730">
        <v>408.49200000000002</v>
      </c>
      <c r="K730" s="1">
        <v>43540</v>
      </c>
      <c r="L730" s="2">
        <v>0.6479166666666667</v>
      </c>
      <c r="M730" t="s">
        <v>23</v>
      </c>
      <c r="N730">
        <v>389.04</v>
      </c>
      <c r="O730">
        <v>4.7619047620000003</v>
      </c>
      <c r="P730">
        <v>19.452000000000002</v>
      </c>
      <c r="Q730">
        <v>6.8</v>
      </c>
    </row>
    <row r="731" spans="1:17" x14ac:dyDescent="0.3">
      <c r="A731" t="s">
        <v>765</v>
      </c>
      <c r="B731" t="s">
        <v>42</v>
      </c>
      <c r="C731" t="s">
        <v>43</v>
      </c>
      <c r="D731" t="s">
        <v>20</v>
      </c>
      <c r="E731" t="s">
        <v>21</v>
      </c>
      <c r="F731" t="s">
        <v>32</v>
      </c>
      <c r="G731">
        <v>52.18</v>
      </c>
      <c r="H731">
        <v>7</v>
      </c>
      <c r="I731">
        <v>18.263000000000002</v>
      </c>
      <c r="J731">
        <v>383.52300000000002</v>
      </c>
      <c r="K731" s="1">
        <v>43533</v>
      </c>
      <c r="L731" s="2">
        <v>0.45416666666666666</v>
      </c>
      <c r="M731" t="s">
        <v>29</v>
      </c>
      <c r="N731">
        <v>365.26</v>
      </c>
      <c r="O731">
        <v>4.7619047620000003</v>
      </c>
      <c r="P731">
        <v>18.263000000000002</v>
      </c>
      <c r="Q731">
        <v>9.3000000000000007</v>
      </c>
    </row>
    <row r="732" spans="1:17" x14ac:dyDescent="0.3">
      <c r="A732" t="s">
        <v>766</v>
      </c>
      <c r="B732" t="s">
        <v>18</v>
      </c>
      <c r="C732" t="s">
        <v>19</v>
      </c>
      <c r="D732" t="s">
        <v>20</v>
      </c>
      <c r="E732" t="s">
        <v>21</v>
      </c>
      <c r="F732" t="s">
        <v>46</v>
      </c>
      <c r="G732">
        <v>22.32</v>
      </c>
      <c r="H732">
        <v>4</v>
      </c>
      <c r="I732">
        <v>4.4640000000000004</v>
      </c>
      <c r="J732">
        <v>93.744</v>
      </c>
      <c r="K732" s="1">
        <v>43525</v>
      </c>
      <c r="L732" s="2">
        <v>0.68263888888888891</v>
      </c>
      <c r="M732" t="s">
        <v>33</v>
      </c>
      <c r="N732">
        <v>89.28</v>
      </c>
      <c r="O732">
        <v>4.7619047620000003</v>
      </c>
      <c r="P732">
        <v>4.4640000000000004</v>
      </c>
      <c r="Q732">
        <v>4.4000000000000004</v>
      </c>
    </row>
    <row r="733" spans="1:17" x14ac:dyDescent="0.3">
      <c r="A733" t="s">
        <v>767</v>
      </c>
      <c r="B733" t="s">
        <v>18</v>
      </c>
      <c r="C733" t="s">
        <v>19</v>
      </c>
      <c r="D733" t="s">
        <v>27</v>
      </c>
      <c r="E733" t="s">
        <v>31</v>
      </c>
      <c r="F733" t="s">
        <v>22</v>
      </c>
      <c r="G733">
        <v>56</v>
      </c>
      <c r="H733">
        <v>3</v>
      </c>
      <c r="I733">
        <v>8.4</v>
      </c>
      <c r="J733">
        <v>176.4</v>
      </c>
      <c r="K733" s="1">
        <v>43524</v>
      </c>
      <c r="L733" s="2">
        <v>0.81458333333333333</v>
      </c>
      <c r="M733" t="s">
        <v>23</v>
      </c>
      <c r="N733">
        <v>168</v>
      </c>
      <c r="O733">
        <v>4.7619047620000003</v>
      </c>
      <c r="P733">
        <v>8.4</v>
      </c>
      <c r="Q733">
        <v>4.8</v>
      </c>
    </row>
    <row r="734" spans="1:17" x14ac:dyDescent="0.3">
      <c r="A734" t="s">
        <v>768</v>
      </c>
      <c r="B734" t="s">
        <v>18</v>
      </c>
      <c r="C734" t="s">
        <v>19</v>
      </c>
      <c r="D734" t="s">
        <v>20</v>
      </c>
      <c r="E734" t="s">
        <v>31</v>
      </c>
      <c r="F734" t="s">
        <v>46</v>
      </c>
      <c r="G734">
        <v>19.7</v>
      </c>
      <c r="H734">
        <v>1</v>
      </c>
      <c r="I734">
        <v>0.98499999999999999</v>
      </c>
      <c r="J734">
        <v>20.684999999999999</v>
      </c>
      <c r="K734" s="1">
        <v>43504</v>
      </c>
      <c r="L734" s="2">
        <v>0.48541666666666666</v>
      </c>
      <c r="M734" t="s">
        <v>23</v>
      </c>
      <c r="N734">
        <v>19.7</v>
      </c>
      <c r="O734">
        <v>4.7619047620000003</v>
      </c>
      <c r="P734">
        <v>0.98499999999999999</v>
      </c>
      <c r="Q734">
        <v>9.5</v>
      </c>
    </row>
    <row r="735" spans="1:17" x14ac:dyDescent="0.3">
      <c r="A735" t="s">
        <v>769</v>
      </c>
      <c r="B735" t="s">
        <v>42</v>
      </c>
      <c r="C735" t="s">
        <v>43</v>
      </c>
      <c r="D735" t="s">
        <v>27</v>
      </c>
      <c r="E735" t="s">
        <v>31</v>
      </c>
      <c r="F735" t="s">
        <v>28</v>
      </c>
      <c r="G735">
        <v>75.88</v>
      </c>
      <c r="H735">
        <v>7</v>
      </c>
      <c r="I735">
        <v>26.558</v>
      </c>
      <c r="J735">
        <v>557.71799999999996</v>
      </c>
      <c r="K735" s="1">
        <v>43489</v>
      </c>
      <c r="L735" s="2">
        <v>0.44305555555555554</v>
      </c>
      <c r="M735" t="s">
        <v>23</v>
      </c>
      <c r="N735">
        <v>531.16</v>
      </c>
      <c r="O735">
        <v>4.7619047620000003</v>
      </c>
      <c r="P735">
        <v>26.558</v>
      </c>
      <c r="Q735">
        <v>8.9</v>
      </c>
    </row>
    <row r="736" spans="1:17" x14ac:dyDescent="0.3">
      <c r="A736" t="s">
        <v>770</v>
      </c>
      <c r="B736" t="s">
        <v>42</v>
      </c>
      <c r="C736" t="s">
        <v>43</v>
      </c>
      <c r="D736" t="s">
        <v>20</v>
      </c>
      <c r="E736" t="s">
        <v>31</v>
      </c>
      <c r="F736" t="s">
        <v>44</v>
      </c>
      <c r="G736">
        <v>53.72</v>
      </c>
      <c r="H736">
        <v>1</v>
      </c>
      <c r="I736">
        <v>2.6859999999999999</v>
      </c>
      <c r="J736">
        <v>56.405999999999999</v>
      </c>
      <c r="K736" s="1">
        <v>43525</v>
      </c>
      <c r="L736" s="2">
        <v>0.8354166666666667</v>
      </c>
      <c r="M736" t="s">
        <v>23</v>
      </c>
      <c r="N736">
        <v>53.72</v>
      </c>
      <c r="O736">
        <v>4.7619047620000003</v>
      </c>
      <c r="P736">
        <v>2.6859999999999999</v>
      </c>
      <c r="Q736">
        <v>6.4</v>
      </c>
    </row>
    <row r="737" spans="1:17" x14ac:dyDescent="0.3">
      <c r="A737" t="s">
        <v>771</v>
      </c>
      <c r="B737" t="s">
        <v>25</v>
      </c>
      <c r="C737" t="s">
        <v>26</v>
      </c>
      <c r="D737" t="s">
        <v>20</v>
      </c>
      <c r="E737" t="s">
        <v>31</v>
      </c>
      <c r="F737" t="s">
        <v>22</v>
      </c>
      <c r="G737">
        <v>81.95</v>
      </c>
      <c r="H737">
        <v>10</v>
      </c>
      <c r="I737">
        <v>40.975000000000001</v>
      </c>
      <c r="J737">
        <v>860.47500000000002</v>
      </c>
      <c r="K737" s="1">
        <v>43534</v>
      </c>
      <c r="L737" s="2">
        <v>0.52708333333333335</v>
      </c>
      <c r="M737" t="s">
        <v>33</v>
      </c>
      <c r="N737">
        <v>819.5</v>
      </c>
      <c r="O737">
        <v>4.7619047620000003</v>
      </c>
      <c r="P737">
        <v>40.975000000000001</v>
      </c>
      <c r="Q737">
        <v>6</v>
      </c>
    </row>
    <row r="738" spans="1:17" x14ac:dyDescent="0.3">
      <c r="A738" t="s">
        <v>772</v>
      </c>
      <c r="B738" t="s">
        <v>25</v>
      </c>
      <c r="C738" t="s">
        <v>26</v>
      </c>
      <c r="D738" t="s">
        <v>20</v>
      </c>
      <c r="E738" t="s">
        <v>21</v>
      </c>
      <c r="F738" t="s">
        <v>32</v>
      </c>
      <c r="G738">
        <v>81.2</v>
      </c>
      <c r="H738">
        <v>7</v>
      </c>
      <c r="I738">
        <v>28.42</v>
      </c>
      <c r="J738">
        <v>596.82000000000005</v>
      </c>
      <c r="K738" s="1">
        <v>43547</v>
      </c>
      <c r="L738" s="2">
        <v>0.66597222222222219</v>
      </c>
      <c r="M738" t="s">
        <v>33</v>
      </c>
      <c r="N738">
        <v>568.4</v>
      </c>
      <c r="O738">
        <v>4.7619047620000003</v>
      </c>
      <c r="P738">
        <v>28.42</v>
      </c>
      <c r="Q738">
        <v>8.1</v>
      </c>
    </row>
    <row r="739" spans="1:17" x14ac:dyDescent="0.3">
      <c r="A739" t="s">
        <v>773</v>
      </c>
      <c r="B739" t="s">
        <v>25</v>
      </c>
      <c r="C739" t="s">
        <v>26</v>
      </c>
      <c r="D739" t="s">
        <v>27</v>
      </c>
      <c r="E739" t="s">
        <v>31</v>
      </c>
      <c r="F739" t="s">
        <v>28</v>
      </c>
      <c r="G739">
        <v>58.76</v>
      </c>
      <c r="H739">
        <v>10</v>
      </c>
      <c r="I739">
        <v>29.38</v>
      </c>
      <c r="J739">
        <v>616.98</v>
      </c>
      <c r="K739" s="1">
        <v>43494</v>
      </c>
      <c r="L739" s="2">
        <v>0.60138888888888886</v>
      </c>
      <c r="M739" t="s">
        <v>23</v>
      </c>
      <c r="N739">
        <v>587.6</v>
      </c>
      <c r="O739">
        <v>4.7619047620000003</v>
      </c>
      <c r="P739">
        <v>29.38</v>
      </c>
      <c r="Q739">
        <v>9</v>
      </c>
    </row>
    <row r="740" spans="1:17" x14ac:dyDescent="0.3">
      <c r="A740" t="s">
        <v>774</v>
      </c>
      <c r="B740" t="s">
        <v>42</v>
      </c>
      <c r="C740" t="s">
        <v>43</v>
      </c>
      <c r="D740" t="s">
        <v>20</v>
      </c>
      <c r="E740" t="s">
        <v>31</v>
      </c>
      <c r="F740" t="s">
        <v>28</v>
      </c>
      <c r="G740">
        <v>91.56</v>
      </c>
      <c r="H740">
        <v>8</v>
      </c>
      <c r="I740">
        <v>36.624000000000002</v>
      </c>
      <c r="J740">
        <v>769.10400000000004</v>
      </c>
      <c r="K740" s="1">
        <v>43477</v>
      </c>
      <c r="L740" s="2">
        <v>0.76527777777777783</v>
      </c>
      <c r="M740" t="s">
        <v>23</v>
      </c>
      <c r="N740">
        <v>732.48</v>
      </c>
      <c r="O740">
        <v>4.7619047620000003</v>
      </c>
      <c r="P740">
        <v>36.624000000000002</v>
      </c>
      <c r="Q740">
        <v>6</v>
      </c>
    </row>
    <row r="741" spans="1:17" x14ac:dyDescent="0.3">
      <c r="A741" t="s">
        <v>775</v>
      </c>
      <c r="B741" t="s">
        <v>18</v>
      </c>
      <c r="C741" t="s">
        <v>19</v>
      </c>
      <c r="D741" t="s">
        <v>27</v>
      </c>
      <c r="E741" t="s">
        <v>31</v>
      </c>
      <c r="F741" t="s">
        <v>32</v>
      </c>
      <c r="G741">
        <v>93.96</v>
      </c>
      <c r="H741">
        <v>9</v>
      </c>
      <c r="I741">
        <v>42.281999999999996</v>
      </c>
      <c r="J741">
        <v>887.92200000000003</v>
      </c>
      <c r="K741" s="1">
        <v>43544</v>
      </c>
      <c r="L741" s="2">
        <v>0.48055555555555557</v>
      </c>
      <c r="M741" t="s">
        <v>29</v>
      </c>
      <c r="N741">
        <v>845.64</v>
      </c>
      <c r="O741">
        <v>4.7619047620000003</v>
      </c>
      <c r="P741">
        <v>42.281999999999996</v>
      </c>
      <c r="Q741">
        <v>9.8000000000000007</v>
      </c>
    </row>
    <row r="742" spans="1:17" x14ac:dyDescent="0.3">
      <c r="A742" t="s">
        <v>776</v>
      </c>
      <c r="B742" t="s">
        <v>25</v>
      </c>
      <c r="C742" t="s">
        <v>26</v>
      </c>
      <c r="D742" t="s">
        <v>27</v>
      </c>
      <c r="E742" t="s">
        <v>31</v>
      </c>
      <c r="F742" t="s">
        <v>32</v>
      </c>
      <c r="G742">
        <v>55.61</v>
      </c>
      <c r="H742">
        <v>7</v>
      </c>
      <c r="I742">
        <v>19.4635</v>
      </c>
      <c r="J742">
        <v>408.73349999999999</v>
      </c>
      <c r="K742" s="1">
        <v>43547</v>
      </c>
      <c r="L742" s="2">
        <v>0.52847222222222223</v>
      </c>
      <c r="M742" t="s">
        <v>29</v>
      </c>
      <c r="N742">
        <v>389.27</v>
      </c>
      <c r="O742">
        <v>4.7619047620000003</v>
      </c>
      <c r="P742">
        <v>19.4635</v>
      </c>
      <c r="Q742">
        <v>8.5</v>
      </c>
    </row>
    <row r="743" spans="1:17" x14ac:dyDescent="0.3">
      <c r="A743" t="s">
        <v>777</v>
      </c>
      <c r="B743" t="s">
        <v>25</v>
      </c>
      <c r="C743" t="s">
        <v>26</v>
      </c>
      <c r="D743" t="s">
        <v>27</v>
      </c>
      <c r="E743" t="s">
        <v>31</v>
      </c>
      <c r="F743" t="s">
        <v>44</v>
      </c>
      <c r="G743">
        <v>84.83</v>
      </c>
      <c r="H743">
        <v>1</v>
      </c>
      <c r="I743">
        <v>4.2415000000000003</v>
      </c>
      <c r="J743">
        <v>89.0715</v>
      </c>
      <c r="K743" s="1">
        <v>43479</v>
      </c>
      <c r="L743" s="2">
        <v>0.63888888888888895</v>
      </c>
      <c r="M743" t="s">
        <v>23</v>
      </c>
      <c r="N743">
        <v>84.83</v>
      </c>
      <c r="O743">
        <v>4.7619047620000003</v>
      </c>
      <c r="P743">
        <v>4.2415000000000003</v>
      </c>
      <c r="Q743">
        <v>8.8000000000000007</v>
      </c>
    </row>
    <row r="744" spans="1:17" x14ac:dyDescent="0.3">
      <c r="A744" t="s">
        <v>778</v>
      </c>
      <c r="B744" t="s">
        <v>18</v>
      </c>
      <c r="C744" t="s">
        <v>19</v>
      </c>
      <c r="D744" t="s">
        <v>20</v>
      </c>
      <c r="E744" t="s">
        <v>21</v>
      </c>
      <c r="F744" t="s">
        <v>36</v>
      </c>
      <c r="G744">
        <v>71.63</v>
      </c>
      <c r="H744">
        <v>2</v>
      </c>
      <c r="I744">
        <v>7.1630000000000003</v>
      </c>
      <c r="J744">
        <v>150.423</v>
      </c>
      <c r="K744" s="1">
        <v>43508</v>
      </c>
      <c r="L744" s="2">
        <v>0.60625000000000007</v>
      </c>
      <c r="M744" t="s">
        <v>23</v>
      </c>
      <c r="N744">
        <v>143.26</v>
      </c>
      <c r="O744">
        <v>4.7619047620000003</v>
      </c>
      <c r="P744">
        <v>7.1630000000000003</v>
      </c>
      <c r="Q744">
        <v>8.8000000000000007</v>
      </c>
    </row>
    <row r="745" spans="1:17" x14ac:dyDescent="0.3">
      <c r="A745" t="s">
        <v>779</v>
      </c>
      <c r="B745" t="s">
        <v>18</v>
      </c>
      <c r="C745" t="s">
        <v>19</v>
      </c>
      <c r="D745" t="s">
        <v>20</v>
      </c>
      <c r="E745" t="s">
        <v>31</v>
      </c>
      <c r="F745" t="s">
        <v>32</v>
      </c>
      <c r="G745">
        <v>37.69</v>
      </c>
      <c r="H745">
        <v>2</v>
      </c>
      <c r="I745">
        <v>3.7690000000000001</v>
      </c>
      <c r="J745">
        <v>79.149000000000001</v>
      </c>
      <c r="K745" s="1">
        <v>43516</v>
      </c>
      <c r="L745" s="2">
        <v>0.64513888888888882</v>
      </c>
      <c r="M745" t="s">
        <v>23</v>
      </c>
      <c r="N745">
        <v>75.38</v>
      </c>
      <c r="O745">
        <v>4.7619047620000003</v>
      </c>
      <c r="P745">
        <v>3.7690000000000001</v>
      </c>
      <c r="Q745">
        <v>9.5</v>
      </c>
    </row>
    <row r="746" spans="1:17" x14ac:dyDescent="0.3">
      <c r="A746" t="s">
        <v>780</v>
      </c>
      <c r="B746" t="s">
        <v>25</v>
      </c>
      <c r="C746" t="s">
        <v>26</v>
      </c>
      <c r="D746" t="s">
        <v>20</v>
      </c>
      <c r="E746" t="s">
        <v>21</v>
      </c>
      <c r="F746" t="s">
        <v>36</v>
      </c>
      <c r="G746">
        <v>31.67</v>
      </c>
      <c r="H746">
        <v>8</v>
      </c>
      <c r="I746">
        <v>12.667999999999999</v>
      </c>
      <c r="J746">
        <v>266.02800000000002</v>
      </c>
      <c r="K746" s="1">
        <v>43467</v>
      </c>
      <c r="L746" s="2">
        <v>0.67986111111111114</v>
      </c>
      <c r="M746" t="s">
        <v>33</v>
      </c>
      <c r="N746">
        <v>253.36</v>
      </c>
      <c r="O746">
        <v>4.7619047620000003</v>
      </c>
      <c r="P746">
        <v>12.667999999999999</v>
      </c>
      <c r="Q746">
        <v>5.6</v>
      </c>
    </row>
    <row r="747" spans="1:17" x14ac:dyDescent="0.3">
      <c r="A747" t="s">
        <v>781</v>
      </c>
      <c r="B747" t="s">
        <v>25</v>
      </c>
      <c r="C747" t="s">
        <v>26</v>
      </c>
      <c r="D747" t="s">
        <v>20</v>
      </c>
      <c r="E747" t="s">
        <v>21</v>
      </c>
      <c r="F747" t="s">
        <v>44</v>
      </c>
      <c r="G747">
        <v>38.42</v>
      </c>
      <c r="H747">
        <v>1</v>
      </c>
      <c r="I747">
        <v>1.921</v>
      </c>
      <c r="J747">
        <v>40.341000000000001</v>
      </c>
      <c r="K747" s="1">
        <v>43498</v>
      </c>
      <c r="L747" s="2">
        <v>0.68958333333333333</v>
      </c>
      <c r="M747" t="s">
        <v>29</v>
      </c>
      <c r="N747">
        <v>38.42</v>
      </c>
      <c r="O747">
        <v>4.7619047620000003</v>
      </c>
      <c r="P747">
        <v>1.921</v>
      </c>
      <c r="Q747">
        <v>8.6</v>
      </c>
    </row>
    <row r="748" spans="1:17" x14ac:dyDescent="0.3">
      <c r="A748" t="s">
        <v>782</v>
      </c>
      <c r="B748" t="s">
        <v>42</v>
      </c>
      <c r="C748" t="s">
        <v>43</v>
      </c>
      <c r="D748" t="s">
        <v>20</v>
      </c>
      <c r="E748" t="s">
        <v>31</v>
      </c>
      <c r="F748" t="s">
        <v>46</v>
      </c>
      <c r="G748">
        <v>65.23</v>
      </c>
      <c r="H748">
        <v>10</v>
      </c>
      <c r="I748">
        <v>32.615000000000002</v>
      </c>
      <c r="J748">
        <v>684.91499999999996</v>
      </c>
      <c r="K748" s="1">
        <v>43473</v>
      </c>
      <c r="L748" s="2">
        <v>0.79652777777777783</v>
      </c>
      <c r="M748" t="s">
        <v>33</v>
      </c>
      <c r="N748">
        <v>652.29999999999995</v>
      </c>
      <c r="O748">
        <v>4.7619047620000003</v>
      </c>
      <c r="P748">
        <v>32.615000000000002</v>
      </c>
      <c r="Q748">
        <v>5.2</v>
      </c>
    </row>
    <row r="749" spans="1:17" x14ac:dyDescent="0.3">
      <c r="A749" t="s">
        <v>783</v>
      </c>
      <c r="B749" t="s">
        <v>25</v>
      </c>
      <c r="C749" t="s">
        <v>26</v>
      </c>
      <c r="D749" t="s">
        <v>20</v>
      </c>
      <c r="E749" t="s">
        <v>21</v>
      </c>
      <c r="F749" t="s">
        <v>32</v>
      </c>
      <c r="G749">
        <v>10.53</v>
      </c>
      <c r="H749">
        <v>5</v>
      </c>
      <c r="I749">
        <v>2.6324999999999998</v>
      </c>
      <c r="J749">
        <v>55.282499999999999</v>
      </c>
      <c r="K749" s="1">
        <v>43495</v>
      </c>
      <c r="L749" s="2">
        <v>0.61319444444444449</v>
      </c>
      <c r="M749" t="s">
        <v>33</v>
      </c>
      <c r="N749">
        <v>52.65</v>
      </c>
      <c r="O749">
        <v>4.7619047620000003</v>
      </c>
      <c r="P749">
        <v>2.6324999999999998</v>
      </c>
      <c r="Q749">
        <v>5.8</v>
      </c>
    </row>
    <row r="750" spans="1:17" x14ac:dyDescent="0.3">
      <c r="A750" t="s">
        <v>784</v>
      </c>
      <c r="B750" t="s">
        <v>42</v>
      </c>
      <c r="C750" t="s">
        <v>43</v>
      </c>
      <c r="D750" t="s">
        <v>20</v>
      </c>
      <c r="E750" t="s">
        <v>21</v>
      </c>
      <c r="F750" t="s">
        <v>32</v>
      </c>
      <c r="G750">
        <v>12.29</v>
      </c>
      <c r="H750">
        <v>9</v>
      </c>
      <c r="I750">
        <v>5.5305</v>
      </c>
      <c r="J750">
        <v>116.1405</v>
      </c>
      <c r="K750" s="1">
        <v>43550</v>
      </c>
      <c r="L750" s="2">
        <v>0.81111111111111101</v>
      </c>
      <c r="M750" t="s">
        <v>33</v>
      </c>
      <c r="N750">
        <v>110.61</v>
      </c>
      <c r="O750">
        <v>4.7619047620000003</v>
      </c>
      <c r="P750">
        <v>5.5305</v>
      </c>
      <c r="Q750">
        <v>8</v>
      </c>
    </row>
    <row r="751" spans="1:17" x14ac:dyDescent="0.3">
      <c r="A751" t="s">
        <v>785</v>
      </c>
      <c r="B751" t="s">
        <v>25</v>
      </c>
      <c r="C751" t="s">
        <v>26</v>
      </c>
      <c r="D751" t="s">
        <v>20</v>
      </c>
      <c r="E751" t="s">
        <v>31</v>
      </c>
      <c r="F751" t="s">
        <v>22</v>
      </c>
      <c r="G751">
        <v>81.23</v>
      </c>
      <c r="H751">
        <v>7</v>
      </c>
      <c r="I751">
        <v>28.430499999999999</v>
      </c>
      <c r="J751">
        <v>597.04049999999995</v>
      </c>
      <c r="K751" s="1">
        <v>43480</v>
      </c>
      <c r="L751" s="2">
        <v>0.86388888888888893</v>
      </c>
      <c r="M751" t="s">
        <v>29</v>
      </c>
      <c r="N751">
        <v>568.61</v>
      </c>
      <c r="O751">
        <v>4.7619047620000003</v>
      </c>
      <c r="P751">
        <v>28.430499999999999</v>
      </c>
      <c r="Q751">
        <v>9</v>
      </c>
    </row>
    <row r="752" spans="1:17" x14ac:dyDescent="0.3">
      <c r="A752" t="s">
        <v>786</v>
      </c>
      <c r="B752" t="s">
        <v>42</v>
      </c>
      <c r="C752" t="s">
        <v>43</v>
      </c>
      <c r="D752" t="s">
        <v>20</v>
      </c>
      <c r="E752" t="s">
        <v>21</v>
      </c>
      <c r="F752" t="s">
        <v>46</v>
      </c>
      <c r="G752">
        <v>22.32</v>
      </c>
      <c r="H752">
        <v>4</v>
      </c>
      <c r="I752">
        <v>4.4640000000000004</v>
      </c>
      <c r="J752">
        <v>93.744</v>
      </c>
      <c r="K752" s="1">
        <v>43538</v>
      </c>
      <c r="L752" s="2">
        <v>0.4694444444444445</v>
      </c>
      <c r="M752" t="s">
        <v>23</v>
      </c>
      <c r="N752">
        <v>89.28</v>
      </c>
      <c r="O752">
        <v>4.7619047620000003</v>
      </c>
      <c r="P752">
        <v>4.4640000000000004</v>
      </c>
      <c r="Q752">
        <v>4.0999999999999996</v>
      </c>
    </row>
    <row r="753" spans="1:17" x14ac:dyDescent="0.3">
      <c r="A753" t="s">
        <v>787</v>
      </c>
      <c r="B753" t="s">
        <v>18</v>
      </c>
      <c r="C753" t="s">
        <v>19</v>
      </c>
      <c r="D753" t="s">
        <v>27</v>
      </c>
      <c r="E753" t="s">
        <v>21</v>
      </c>
      <c r="F753" t="s">
        <v>44</v>
      </c>
      <c r="G753">
        <v>27.28</v>
      </c>
      <c r="H753">
        <v>5</v>
      </c>
      <c r="I753">
        <v>6.82</v>
      </c>
      <c r="J753">
        <v>143.22</v>
      </c>
      <c r="K753" s="1">
        <v>43499</v>
      </c>
      <c r="L753" s="2">
        <v>0.4381944444444445</v>
      </c>
      <c r="M753" t="s">
        <v>33</v>
      </c>
      <c r="N753">
        <v>136.4</v>
      </c>
      <c r="O753">
        <v>4.7619047620000003</v>
      </c>
      <c r="P753">
        <v>6.82</v>
      </c>
      <c r="Q753">
        <v>8.6</v>
      </c>
    </row>
    <row r="754" spans="1:17" x14ac:dyDescent="0.3">
      <c r="A754" t="s">
        <v>788</v>
      </c>
      <c r="B754" t="s">
        <v>18</v>
      </c>
      <c r="C754" t="s">
        <v>19</v>
      </c>
      <c r="D754" t="s">
        <v>20</v>
      </c>
      <c r="E754" t="s">
        <v>21</v>
      </c>
      <c r="F754" t="s">
        <v>28</v>
      </c>
      <c r="G754">
        <v>17.420000000000002</v>
      </c>
      <c r="H754">
        <v>10</v>
      </c>
      <c r="I754">
        <v>8.7100000000000009</v>
      </c>
      <c r="J754">
        <v>182.91</v>
      </c>
      <c r="K754" s="1">
        <v>43518</v>
      </c>
      <c r="L754" s="2">
        <v>0.52083333333333337</v>
      </c>
      <c r="M754" t="s">
        <v>23</v>
      </c>
      <c r="N754">
        <v>174.2</v>
      </c>
      <c r="O754">
        <v>4.7619047620000003</v>
      </c>
      <c r="P754">
        <v>8.7100000000000009</v>
      </c>
      <c r="Q754">
        <v>7</v>
      </c>
    </row>
    <row r="755" spans="1:17" x14ac:dyDescent="0.3">
      <c r="A755" t="s">
        <v>789</v>
      </c>
      <c r="B755" t="s">
        <v>42</v>
      </c>
      <c r="C755" t="s">
        <v>43</v>
      </c>
      <c r="D755" t="s">
        <v>27</v>
      </c>
      <c r="E755" t="s">
        <v>31</v>
      </c>
      <c r="F755" t="s">
        <v>32</v>
      </c>
      <c r="G755">
        <v>73.28</v>
      </c>
      <c r="H755">
        <v>5</v>
      </c>
      <c r="I755">
        <v>18.32</v>
      </c>
      <c r="J755">
        <v>384.72</v>
      </c>
      <c r="K755" s="1">
        <v>43489</v>
      </c>
      <c r="L755" s="2">
        <v>0.62847222222222221</v>
      </c>
      <c r="M755" t="s">
        <v>23</v>
      </c>
      <c r="N755">
        <v>366.4</v>
      </c>
      <c r="O755">
        <v>4.7619047620000003</v>
      </c>
      <c r="P755">
        <v>18.32</v>
      </c>
      <c r="Q755">
        <v>8.4</v>
      </c>
    </row>
    <row r="756" spans="1:17" x14ac:dyDescent="0.3">
      <c r="A756" t="s">
        <v>790</v>
      </c>
      <c r="B756" t="s">
        <v>25</v>
      </c>
      <c r="C756" t="s">
        <v>26</v>
      </c>
      <c r="D756" t="s">
        <v>20</v>
      </c>
      <c r="E756" t="s">
        <v>21</v>
      </c>
      <c r="F756" t="s">
        <v>46</v>
      </c>
      <c r="G756">
        <v>84.87</v>
      </c>
      <c r="H756">
        <v>3</v>
      </c>
      <c r="I756">
        <v>12.730499999999999</v>
      </c>
      <c r="J756">
        <v>267.34050000000002</v>
      </c>
      <c r="K756" s="1">
        <v>43490</v>
      </c>
      <c r="L756" s="2">
        <v>0.77083333333333337</v>
      </c>
      <c r="M756" t="s">
        <v>23</v>
      </c>
      <c r="N756">
        <v>254.61</v>
      </c>
      <c r="O756">
        <v>4.7619047620000003</v>
      </c>
      <c r="P756">
        <v>12.730499999999999</v>
      </c>
      <c r="Q756">
        <v>7.4</v>
      </c>
    </row>
    <row r="757" spans="1:17" x14ac:dyDescent="0.3">
      <c r="A757" t="s">
        <v>791</v>
      </c>
      <c r="B757" t="s">
        <v>18</v>
      </c>
      <c r="C757" t="s">
        <v>19</v>
      </c>
      <c r="D757" t="s">
        <v>27</v>
      </c>
      <c r="E757" t="s">
        <v>21</v>
      </c>
      <c r="F757" t="s">
        <v>46</v>
      </c>
      <c r="G757">
        <v>97.29</v>
      </c>
      <c r="H757">
        <v>8</v>
      </c>
      <c r="I757">
        <v>38.915999999999997</v>
      </c>
      <c r="J757">
        <v>817.23599999999999</v>
      </c>
      <c r="K757" s="1">
        <v>43533</v>
      </c>
      <c r="L757" s="2">
        <v>0.5541666666666667</v>
      </c>
      <c r="M757" t="s">
        <v>33</v>
      </c>
      <c r="N757">
        <v>778.32</v>
      </c>
      <c r="O757">
        <v>4.7619047620000003</v>
      </c>
      <c r="P757">
        <v>38.915999999999997</v>
      </c>
      <c r="Q757">
        <v>6.2</v>
      </c>
    </row>
    <row r="758" spans="1:17" x14ac:dyDescent="0.3">
      <c r="A758" t="s">
        <v>792</v>
      </c>
      <c r="B758" t="s">
        <v>42</v>
      </c>
      <c r="C758" t="s">
        <v>43</v>
      </c>
      <c r="D758" t="s">
        <v>20</v>
      </c>
      <c r="E758" t="s">
        <v>21</v>
      </c>
      <c r="F758" t="s">
        <v>28</v>
      </c>
      <c r="G758">
        <v>35.74</v>
      </c>
      <c r="H758">
        <v>8</v>
      </c>
      <c r="I758">
        <v>14.295999999999999</v>
      </c>
      <c r="J758">
        <v>300.21600000000001</v>
      </c>
      <c r="K758" s="1">
        <v>43513</v>
      </c>
      <c r="L758" s="2">
        <v>0.64444444444444449</v>
      </c>
      <c r="M758" t="s">
        <v>23</v>
      </c>
      <c r="N758">
        <v>285.92</v>
      </c>
      <c r="O758">
        <v>4.7619047620000003</v>
      </c>
      <c r="P758">
        <v>14.295999999999999</v>
      </c>
      <c r="Q758">
        <v>4.9000000000000004</v>
      </c>
    </row>
    <row r="759" spans="1:17" x14ac:dyDescent="0.3">
      <c r="A759" t="s">
        <v>793</v>
      </c>
      <c r="B759" t="s">
        <v>18</v>
      </c>
      <c r="C759" t="s">
        <v>19</v>
      </c>
      <c r="D759" t="s">
        <v>27</v>
      </c>
      <c r="E759" t="s">
        <v>21</v>
      </c>
      <c r="F759" t="s">
        <v>32</v>
      </c>
      <c r="G759">
        <v>96.52</v>
      </c>
      <c r="H759">
        <v>6</v>
      </c>
      <c r="I759">
        <v>28.956</v>
      </c>
      <c r="J759">
        <v>608.07600000000002</v>
      </c>
      <c r="K759" s="1">
        <v>43476</v>
      </c>
      <c r="L759" s="2">
        <v>0.49444444444444446</v>
      </c>
      <c r="M759" t="s">
        <v>29</v>
      </c>
      <c r="N759">
        <v>579.12</v>
      </c>
      <c r="O759">
        <v>4.7619047620000003</v>
      </c>
      <c r="P759">
        <v>28.956</v>
      </c>
      <c r="Q759">
        <v>4.5</v>
      </c>
    </row>
    <row r="760" spans="1:17" x14ac:dyDescent="0.3">
      <c r="A760" t="s">
        <v>794</v>
      </c>
      <c r="B760" t="s">
        <v>18</v>
      </c>
      <c r="C760" t="s">
        <v>19</v>
      </c>
      <c r="D760" t="s">
        <v>20</v>
      </c>
      <c r="E760" t="s">
        <v>31</v>
      </c>
      <c r="F760" t="s">
        <v>44</v>
      </c>
      <c r="G760">
        <v>18.850000000000001</v>
      </c>
      <c r="H760">
        <v>10</v>
      </c>
      <c r="I760">
        <v>9.4250000000000007</v>
      </c>
      <c r="J760">
        <v>197.92500000000001</v>
      </c>
      <c r="K760" s="1">
        <v>43523</v>
      </c>
      <c r="L760" s="2">
        <v>0.76666666666666661</v>
      </c>
      <c r="M760" t="s">
        <v>23</v>
      </c>
      <c r="N760">
        <v>188.5</v>
      </c>
      <c r="O760">
        <v>4.7619047620000003</v>
      </c>
      <c r="P760">
        <v>9.4250000000000007</v>
      </c>
      <c r="Q760">
        <v>5.6</v>
      </c>
    </row>
    <row r="761" spans="1:17" x14ac:dyDescent="0.3">
      <c r="A761" t="s">
        <v>795</v>
      </c>
      <c r="B761" t="s">
        <v>18</v>
      </c>
      <c r="C761" t="s">
        <v>19</v>
      </c>
      <c r="D761" t="s">
        <v>27</v>
      </c>
      <c r="E761" t="s">
        <v>21</v>
      </c>
      <c r="F761" t="s">
        <v>44</v>
      </c>
      <c r="G761">
        <v>55.39</v>
      </c>
      <c r="H761">
        <v>4</v>
      </c>
      <c r="I761">
        <v>11.077999999999999</v>
      </c>
      <c r="J761">
        <v>232.63800000000001</v>
      </c>
      <c r="K761" s="1">
        <v>43549</v>
      </c>
      <c r="L761" s="2">
        <v>0.6381944444444444</v>
      </c>
      <c r="M761" t="s">
        <v>23</v>
      </c>
      <c r="N761">
        <v>221.56</v>
      </c>
      <c r="O761">
        <v>4.7619047620000003</v>
      </c>
      <c r="P761">
        <v>11.077999999999999</v>
      </c>
      <c r="Q761">
        <v>8</v>
      </c>
    </row>
    <row r="762" spans="1:17" x14ac:dyDescent="0.3">
      <c r="A762" t="s">
        <v>796</v>
      </c>
      <c r="B762" t="s">
        <v>42</v>
      </c>
      <c r="C762" t="s">
        <v>43</v>
      </c>
      <c r="D762" t="s">
        <v>20</v>
      </c>
      <c r="E762" t="s">
        <v>21</v>
      </c>
      <c r="F762" t="s">
        <v>44</v>
      </c>
      <c r="G762">
        <v>77.2</v>
      </c>
      <c r="H762">
        <v>10</v>
      </c>
      <c r="I762">
        <v>38.6</v>
      </c>
      <c r="J762">
        <v>810.6</v>
      </c>
      <c r="K762" s="1">
        <v>43507</v>
      </c>
      <c r="L762" s="2">
        <v>0.44305555555555554</v>
      </c>
      <c r="M762" t="s">
        <v>33</v>
      </c>
      <c r="N762">
        <v>772</v>
      </c>
      <c r="O762">
        <v>4.7619047620000003</v>
      </c>
      <c r="P762">
        <v>38.6</v>
      </c>
      <c r="Q762">
        <v>5.6</v>
      </c>
    </row>
    <row r="763" spans="1:17" x14ac:dyDescent="0.3">
      <c r="A763" t="s">
        <v>797</v>
      </c>
      <c r="B763" t="s">
        <v>42</v>
      </c>
      <c r="C763" t="s">
        <v>43</v>
      </c>
      <c r="D763" t="s">
        <v>27</v>
      </c>
      <c r="E763" t="s">
        <v>31</v>
      </c>
      <c r="F763" t="s">
        <v>28</v>
      </c>
      <c r="G763">
        <v>72.13</v>
      </c>
      <c r="H763">
        <v>10</v>
      </c>
      <c r="I763">
        <v>36.064999999999998</v>
      </c>
      <c r="J763">
        <v>757.36500000000001</v>
      </c>
      <c r="K763" s="1">
        <v>43496</v>
      </c>
      <c r="L763" s="2">
        <v>0.6333333333333333</v>
      </c>
      <c r="M763" t="s">
        <v>33</v>
      </c>
      <c r="N763">
        <v>721.3</v>
      </c>
      <c r="O763">
        <v>4.7619047620000003</v>
      </c>
      <c r="P763">
        <v>36.064999999999998</v>
      </c>
      <c r="Q763">
        <v>4.2</v>
      </c>
    </row>
    <row r="764" spans="1:17" x14ac:dyDescent="0.3">
      <c r="A764" t="s">
        <v>798</v>
      </c>
      <c r="B764" t="s">
        <v>18</v>
      </c>
      <c r="C764" t="s">
        <v>19</v>
      </c>
      <c r="D764" t="s">
        <v>20</v>
      </c>
      <c r="E764" t="s">
        <v>21</v>
      </c>
      <c r="F764" t="s">
        <v>46</v>
      </c>
      <c r="G764">
        <v>63.88</v>
      </c>
      <c r="H764">
        <v>8</v>
      </c>
      <c r="I764">
        <v>25.552</v>
      </c>
      <c r="J764">
        <v>536.59199999999998</v>
      </c>
      <c r="K764" s="1">
        <v>43485</v>
      </c>
      <c r="L764" s="2">
        <v>0.7416666666666667</v>
      </c>
      <c r="M764" t="s">
        <v>23</v>
      </c>
      <c r="N764">
        <v>511.04</v>
      </c>
      <c r="O764">
        <v>4.7619047620000003</v>
      </c>
      <c r="P764">
        <v>25.552</v>
      </c>
      <c r="Q764">
        <v>9.9</v>
      </c>
    </row>
    <row r="765" spans="1:17" x14ac:dyDescent="0.3">
      <c r="A765" t="s">
        <v>799</v>
      </c>
      <c r="B765" t="s">
        <v>18</v>
      </c>
      <c r="C765" t="s">
        <v>19</v>
      </c>
      <c r="D765" t="s">
        <v>20</v>
      </c>
      <c r="E765" t="s">
        <v>21</v>
      </c>
      <c r="F765" t="s">
        <v>22</v>
      </c>
      <c r="G765">
        <v>10.69</v>
      </c>
      <c r="H765">
        <v>5</v>
      </c>
      <c r="I765">
        <v>2.6724999999999999</v>
      </c>
      <c r="J765">
        <v>56.122500000000002</v>
      </c>
      <c r="K765" s="1">
        <v>43550</v>
      </c>
      <c r="L765" s="2">
        <v>0.46319444444444446</v>
      </c>
      <c r="M765" t="s">
        <v>23</v>
      </c>
      <c r="N765">
        <v>53.45</v>
      </c>
      <c r="O765">
        <v>4.7619047620000003</v>
      </c>
      <c r="P765">
        <v>2.6724999999999999</v>
      </c>
      <c r="Q765">
        <v>7.6</v>
      </c>
    </row>
    <row r="766" spans="1:17" x14ac:dyDescent="0.3">
      <c r="A766" t="s">
        <v>800</v>
      </c>
      <c r="B766" t="s">
        <v>18</v>
      </c>
      <c r="C766" t="s">
        <v>19</v>
      </c>
      <c r="D766" t="s">
        <v>20</v>
      </c>
      <c r="E766" t="s">
        <v>31</v>
      </c>
      <c r="F766" t="s">
        <v>22</v>
      </c>
      <c r="G766">
        <v>55.5</v>
      </c>
      <c r="H766">
        <v>4</v>
      </c>
      <c r="I766">
        <v>11.1</v>
      </c>
      <c r="J766">
        <v>233.1</v>
      </c>
      <c r="K766" s="1">
        <v>43485</v>
      </c>
      <c r="L766" s="2">
        <v>0.65833333333333333</v>
      </c>
      <c r="M766" t="s">
        <v>33</v>
      </c>
      <c r="N766">
        <v>222</v>
      </c>
      <c r="O766">
        <v>4.7619047620000003</v>
      </c>
      <c r="P766">
        <v>11.1</v>
      </c>
      <c r="Q766">
        <v>6.6</v>
      </c>
    </row>
    <row r="767" spans="1:17" x14ac:dyDescent="0.3">
      <c r="A767" t="s">
        <v>801</v>
      </c>
      <c r="B767" t="s">
        <v>42</v>
      </c>
      <c r="C767" t="s">
        <v>43</v>
      </c>
      <c r="D767" t="s">
        <v>27</v>
      </c>
      <c r="E767" t="s">
        <v>21</v>
      </c>
      <c r="F767" t="s">
        <v>32</v>
      </c>
      <c r="G767">
        <v>95.46</v>
      </c>
      <c r="H767">
        <v>8</v>
      </c>
      <c r="I767">
        <v>38.183999999999997</v>
      </c>
      <c r="J767">
        <v>801.86400000000003</v>
      </c>
      <c r="K767" s="1">
        <v>43529</v>
      </c>
      <c r="L767" s="2">
        <v>0.81944444444444453</v>
      </c>
      <c r="M767" t="s">
        <v>23</v>
      </c>
      <c r="N767">
        <v>763.68</v>
      </c>
      <c r="O767">
        <v>4.7619047620000003</v>
      </c>
      <c r="P767">
        <v>38.183999999999997</v>
      </c>
      <c r="Q767">
        <v>4.7</v>
      </c>
    </row>
    <row r="768" spans="1:17" x14ac:dyDescent="0.3">
      <c r="A768" t="s">
        <v>802</v>
      </c>
      <c r="B768" t="s">
        <v>25</v>
      </c>
      <c r="C768" t="s">
        <v>26</v>
      </c>
      <c r="D768" t="s">
        <v>27</v>
      </c>
      <c r="E768" t="s">
        <v>21</v>
      </c>
      <c r="F768" t="s">
        <v>46</v>
      </c>
      <c r="G768">
        <v>76.06</v>
      </c>
      <c r="H768">
        <v>3</v>
      </c>
      <c r="I768">
        <v>11.409000000000001</v>
      </c>
      <c r="J768">
        <v>239.589</v>
      </c>
      <c r="K768" s="1">
        <v>43470</v>
      </c>
      <c r="L768" s="2">
        <v>0.85416666666666663</v>
      </c>
      <c r="M768" t="s">
        <v>33</v>
      </c>
      <c r="N768">
        <v>228.18</v>
      </c>
      <c r="O768">
        <v>4.7619047620000003</v>
      </c>
      <c r="P768">
        <v>11.409000000000001</v>
      </c>
      <c r="Q768">
        <v>9.8000000000000007</v>
      </c>
    </row>
    <row r="769" spans="1:17" x14ac:dyDescent="0.3">
      <c r="A769" t="s">
        <v>803</v>
      </c>
      <c r="B769" t="s">
        <v>42</v>
      </c>
      <c r="C769" t="s">
        <v>43</v>
      </c>
      <c r="D769" t="s">
        <v>27</v>
      </c>
      <c r="E769" t="s">
        <v>31</v>
      </c>
      <c r="F769" t="s">
        <v>36</v>
      </c>
      <c r="G769">
        <v>13.69</v>
      </c>
      <c r="H769">
        <v>6</v>
      </c>
      <c r="I769">
        <v>4.1070000000000002</v>
      </c>
      <c r="J769">
        <v>86.247</v>
      </c>
      <c r="K769" s="1">
        <v>43509</v>
      </c>
      <c r="L769" s="2">
        <v>0.58263888888888882</v>
      </c>
      <c r="M769" t="s">
        <v>29</v>
      </c>
      <c r="N769">
        <v>82.14</v>
      </c>
      <c r="O769">
        <v>4.7619047620000003</v>
      </c>
      <c r="P769">
        <v>4.1070000000000002</v>
      </c>
      <c r="Q769">
        <v>6.3</v>
      </c>
    </row>
    <row r="770" spans="1:17" x14ac:dyDescent="0.3">
      <c r="A770" t="s">
        <v>804</v>
      </c>
      <c r="B770" t="s">
        <v>42</v>
      </c>
      <c r="C770" t="s">
        <v>43</v>
      </c>
      <c r="D770" t="s">
        <v>27</v>
      </c>
      <c r="E770" t="s">
        <v>21</v>
      </c>
      <c r="F770" t="s">
        <v>28</v>
      </c>
      <c r="G770">
        <v>95.64</v>
      </c>
      <c r="H770">
        <v>4</v>
      </c>
      <c r="I770">
        <v>19.128</v>
      </c>
      <c r="J770">
        <v>401.68799999999999</v>
      </c>
      <c r="K770" s="1">
        <v>43540</v>
      </c>
      <c r="L770" s="2">
        <v>0.78541666666666676</v>
      </c>
      <c r="M770" t="s">
        <v>29</v>
      </c>
      <c r="N770">
        <v>382.56</v>
      </c>
      <c r="O770">
        <v>4.7619047620000003</v>
      </c>
      <c r="P770">
        <v>19.128</v>
      </c>
      <c r="Q770">
        <v>7.9</v>
      </c>
    </row>
    <row r="771" spans="1:17" x14ac:dyDescent="0.3">
      <c r="A771" t="s">
        <v>805</v>
      </c>
      <c r="B771" t="s">
        <v>18</v>
      </c>
      <c r="C771" t="s">
        <v>19</v>
      </c>
      <c r="D771" t="s">
        <v>27</v>
      </c>
      <c r="E771" t="s">
        <v>21</v>
      </c>
      <c r="F771" t="s">
        <v>32</v>
      </c>
      <c r="G771">
        <v>11.43</v>
      </c>
      <c r="H771">
        <v>6</v>
      </c>
      <c r="I771">
        <v>3.4289999999999998</v>
      </c>
      <c r="J771">
        <v>72.009</v>
      </c>
      <c r="K771" s="1">
        <v>43480</v>
      </c>
      <c r="L771" s="2">
        <v>0.72499999999999998</v>
      </c>
      <c r="M771" t="s">
        <v>29</v>
      </c>
      <c r="N771">
        <v>68.58</v>
      </c>
      <c r="O771">
        <v>4.7619047620000003</v>
      </c>
      <c r="P771">
        <v>3.4289999999999998</v>
      </c>
      <c r="Q771">
        <v>7.7</v>
      </c>
    </row>
    <row r="772" spans="1:17" x14ac:dyDescent="0.3">
      <c r="A772" t="s">
        <v>806</v>
      </c>
      <c r="B772" t="s">
        <v>42</v>
      </c>
      <c r="C772" t="s">
        <v>43</v>
      </c>
      <c r="D772" t="s">
        <v>20</v>
      </c>
      <c r="E772" t="s">
        <v>21</v>
      </c>
      <c r="F772" t="s">
        <v>36</v>
      </c>
      <c r="G772">
        <v>95.54</v>
      </c>
      <c r="H772">
        <v>4</v>
      </c>
      <c r="I772">
        <v>19.108000000000001</v>
      </c>
      <c r="J772">
        <v>401.26799999999997</v>
      </c>
      <c r="K772" s="1">
        <v>43522</v>
      </c>
      <c r="L772" s="2">
        <v>0.49861111111111112</v>
      </c>
      <c r="M772" t="s">
        <v>23</v>
      </c>
      <c r="N772">
        <v>382.16</v>
      </c>
      <c r="O772">
        <v>4.7619047620000003</v>
      </c>
      <c r="P772">
        <v>19.108000000000001</v>
      </c>
      <c r="Q772">
        <v>4.5</v>
      </c>
    </row>
    <row r="773" spans="1:17" x14ac:dyDescent="0.3">
      <c r="A773" t="s">
        <v>807</v>
      </c>
      <c r="B773" t="s">
        <v>25</v>
      </c>
      <c r="C773" t="s">
        <v>26</v>
      </c>
      <c r="D773" t="s">
        <v>20</v>
      </c>
      <c r="E773" t="s">
        <v>21</v>
      </c>
      <c r="F773" t="s">
        <v>22</v>
      </c>
      <c r="G773">
        <v>85.87</v>
      </c>
      <c r="H773">
        <v>7</v>
      </c>
      <c r="I773">
        <v>30.054500000000001</v>
      </c>
      <c r="J773">
        <v>631.14449999999999</v>
      </c>
      <c r="K773" s="1">
        <v>43523</v>
      </c>
      <c r="L773" s="2">
        <v>0.79236111111111107</v>
      </c>
      <c r="M773" t="s">
        <v>33</v>
      </c>
      <c r="N773">
        <v>601.09</v>
      </c>
      <c r="O773">
        <v>4.7619047620000003</v>
      </c>
      <c r="P773">
        <v>30.054500000000001</v>
      </c>
      <c r="Q773">
        <v>8</v>
      </c>
    </row>
    <row r="774" spans="1:17" x14ac:dyDescent="0.3">
      <c r="A774" t="s">
        <v>808</v>
      </c>
      <c r="B774" t="s">
        <v>25</v>
      </c>
      <c r="C774" t="s">
        <v>26</v>
      </c>
      <c r="D774" t="s">
        <v>20</v>
      </c>
      <c r="E774" t="s">
        <v>21</v>
      </c>
      <c r="F774" t="s">
        <v>36</v>
      </c>
      <c r="G774">
        <v>67.989999999999995</v>
      </c>
      <c r="H774">
        <v>7</v>
      </c>
      <c r="I774">
        <v>23.796500000000002</v>
      </c>
      <c r="J774">
        <v>499.72649999999999</v>
      </c>
      <c r="K774" s="1">
        <v>43513</v>
      </c>
      <c r="L774" s="2">
        <v>0.70138888888888884</v>
      </c>
      <c r="M774" t="s">
        <v>23</v>
      </c>
      <c r="N774">
        <v>475.93</v>
      </c>
      <c r="O774">
        <v>4.7619047620000003</v>
      </c>
      <c r="P774">
        <v>23.796500000000002</v>
      </c>
      <c r="Q774">
        <v>5.7</v>
      </c>
    </row>
    <row r="775" spans="1:17" x14ac:dyDescent="0.3">
      <c r="A775" t="s">
        <v>809</v>
      </c>
      <c r="B775" t="s">
        <v>25</v>
      </c>
      <c r="C775" t="s">
        <v>26</v>
      </c>
      <c r="D775" t="s">
        <v>27</v>
      </c>
      <c r="E775" t="s">
        <v>21</v>
      </c>
      <c r="F775" t="s">
        <v>44</v>
      </c>
      <c r="G775">
        <v>52.42</v>
      </c>
      <c r="H775">
        <v>1</v>
      </c>
      <c r="I775">
        <v>2.621</v>
      </c>
      <c r="J775">
        <v>55.040999999999997</v>
      </c>
      <c r="K775" s="1">
        <v>43502</v>
      </c>
      <c r="L775" s="2">
        <v>0.43194444444444446</v>
      </c>
      <c r="M775" t="s">
        <v>33</v>
      </c>
      <c r="N775">
        <v>52.42</v>
      </c>
      <c r="O775">
        <v>4.7619047620000003</v>
      </c>
      <c r="P775">
        <v>2.621</v>
      </c>
      <c r="Q775">
        <v>6.3</v>
      </c>
    </row>
    <row r="776" spans="1:17" x14ac:dyDescent="0.3">
      <c r="A776" t="s">
        <v>810</v>
      </c>
      <c r="B776" t="s">
        <v>25</v>
      </c>
      <c r="C776" t="s">
        <v>26</v>
      </c>
      <c r="D776" t="s">
        <v>20</v>
      </c>
      <c r="E776" t="s">
        <v>31</v>
      </c>
      <c r="F776" t="s">
        <v>44</v>
      </c>
      <c r="G776">
        <v>65.650000000000006</v>
      </c>
      <c r="H776">
        <v>2</v>
      </c>
      <c r="I776">
        <v>6.5650000000000004</v>
      </c>
      <c r="J776">
        <v>137.86500000000001</v>
      </c>
      <c r="K776" s="1">
        <v>43482</v>
      </c>
      <c r="L776" s="2">
        <v>0.69861111111111107</v>
      </c>
      <c r="M776" t="s">
        <v>29</v>
      </c>
      <c r="N776">
        <v>131.30000000000001</v>
      </c>
      <c r="O776">
        <v>4.7619047620000003</v>
      </c>
      <c r="P776">
        <v>6.5650000000000004</v>
      </c>
      <c r="Q776">
        <v>6</v>
      </c>
    </row>
    <row r="777" spans="1:17" x14ac:dyDescent="0.3">
      <c r="A777" t="s">
        <v>811</v>
      </c>
      <c r="B777" t="s">
        <v>42</v>
      </c>
      <c r="C777" t="s">
        <v>43</v>
      </c>
      <c r="D777" t="s">
        <v>27</v>
      </c>
      <c r="E777" t="s">
        <v>21</v>
      </c>
      <c r="F777" t="s">
        <v>44</v>
      </c>
      <c r="G777">
        <v>28.86</v>
      </c>
      <c r="H777">
        <v>5</v>
      </c>
      <c r="I777">
        <v>7.2149999999999999</v>
      </c>
      <c r="J777">
        <v>151.51499999999999</v>
      </c>
      <c r="K777" s="1">
        <v>43487</v>
      </c>
      <c r="L777" s="2">
        <v>0.75555555555555554</v>
      </c>
      <c r="M777" t="s">
        <v>33</v>
      </c>
      <c r="N777">
        <v>144.30000000000001</v>
      </c>
      <c r="O777">
        <v>4.7619047620000003</v>
      </c>
      <c r="P777">
        <v>7.2149999999999999</v>
      </c>
      <c r="Q777">
        <v>8</v>
      </c>
    </row>
    <row r="778" spans="1:17" x14ac:dyDescent="0.3">
      <c r="A778" t="s">
        <v>812</v>
      </c>
      <c r="B778" t="s">
        <v>25</v>
      </c>
      <c r="C778" t="s">
        <v>26</v>
      </c>
      <c r="D778" t="s">
        <v>20</v>
      </c>
      <c r="E778" t="s">
        <v>31</v>
      </c>
      <c r="F778" t="s">
        <v>22</v>
      </c>
      <c r="G778">
        <v>65.31</v>
      </c>
      <c r="H778">
        <v>7</v>
      </c>
      <c r="I778">
        <v>22.858499999999999</v>
      </c>
      <c r="J778">
        <v>480.02850000000001</v>
      </c>
      <c r="K778" s="1">
        <v>43529</v>
      </c>
      <c r="L778" s="2">
        <v>0.75138888888888899</v>
      </c>
      <c r="M778" t="s">
        <v>33</v>
      </c>
      <c r="N778">
        <v>457.17</v>
      </c>
      <c r="O778">
        <v>4.7619047620000003</v>
      </c>
      <c r="P778">
        <v>22.858499999999999</v>
      </c>
      <c r="Q778">
        <v>4.2</v>
      </c>
    </row>
    <row r="779" spans="1:17" x14ac:dyDescent="0.3">
      <c r="A779" t="s">
        <v>813</v>
      </c>
      <c r="B779" t="s">
        <v>42</v>
      </c>
      <c r="C779" t="s">
        <v>43</v>
      </c>
      <c r="D779" t="s">
        <v>27</v>
      </c>
      <c r="E779" t="s">
        <v>31</v>
      </c>
      <c r="F779" t="s">
        <v>36</v>
      </c>
      <c r="G779">
        <v>93.38</v>
      </c>
      <c r="H779">
        <v>1</v>
      </c>
      <c r="I779">
        <v>4.6689999999999996</v>
      </c>
      <c r="J779">
        <v>98.049000000000007</v>
      </c>
      <c r="K779" s="1">
        <v>43468</v>
      </c>
      <c r="L779" s="2">
        <v>0.54652777777777783</v>
      </c>
      <c r="M779" t="s">
        <v>29</v>
      </c>
      <c r="N779">
        <v>93.38</v>
      </c>
      <c r="O779">
        <v>4.7619047620000003</v>
      </c>
      <c r="P779">
        <v>4.6689999999999996</v>
      </c>
      <c r="Q779">
        <v>9.6</v>
      </c>
    </row>
    <row r="780" spans="1:17" x14ac:dyDescent="0.3">
      <c r="A780" t="s">
        <v>814</v>
      </c>
      <c r="B780" t="s">
        <v>25</v>
      </c>
      <c r="C780" t="s">
        <v>26</v>
      </c>
      <c r="D780" t="s">
        <v>20</v>
      </c>
      <c r="E780" t="s">
        <v>31</v>
      </c>
      <c r="F780" t="s">
        <v>36</v>
      </c>
      <c r="G780">
        <v>25.25</v>
      </c>
      <c r="H780">
        <v>5</v>
      </c>
      <c r="I780">
        <v>6.3125</v>
      </c>
      <c r="J780">
        <v>132.5625</v>
      </c>
      <c r="K780" s="1">
        <v>43544</v>
      </c>
      <c r="L780" s="2">
        <v>0.74444444444444446</v>
      </c>
      <c r="M780" t="s">
        <v>29</v>
      </c>
      <c r="N780">
        <v>126.25</v>
      </c>
      <c r="O780">
        <v>4.7619047620000003</v>
      </c>
      <c r="P780">
        <v>6.3125</v>
      </c>
      <c r="Q780">
        <v>6.1</v>
      </c>
    </row>
    <row r="781" spans="1:17" x14ac:dyDescent="0.3">
      <c r="A781" t="s">
        <v>815</v>
      </c>
      <c r="B781" t="s">
        <v>42</v>
      </c>
      <c r="C781" t="s">
        <v>43</v>
      </c>
      <c r="D781" t="s">
        <v>20</v>
      </c>
      <c r="E781" t="s">
        <v>31</v>
      </c>
      <c r="F781" t="s">
        <v>28</v>
      </c>
      <c r="G781">
        <v>87.87</v>
      </c>
      <c r="H781">
        <v>9</v>
      </c>
      <c r="I781">
        <v>39.541499999999999</v>
      </c>
      <c r="J781">
        <v>830.37149999999997</v>
      </c>
      <c r="K781" s="1">
        <v>43496</v>
      </c>
      <c r="L781" s="2">
        <v>0.85555555555555562</v>
      </c>
      <c r="M781" t="s">
        <v>23</v>
      </c>
      <c r="N781">
        <v>790.83</v>
      </c>
      <c r="O781">
        <v>4.7619047620000003</v>
      </c>
      <c r="P781">
        <v>39.541499999999999</v>
      </c>
      <c r="Q781">
        <v>5.6</v>
      </c>
    </row>
    <row r="782" spans="1:17" x14ac:dyDescent="0.3">
      <c r="A782" t="s">
        <v>816</v>
      </c>
      <c r="B782" t="s">
        <v>25</v>
      </c>
      <c r="C782" t="s">
        <v>26</v>
      </c>
      <c r="D782" t="s">
        <v>27</v>
      </c>
      <c r="E782" t="s">
        <v>31</v>
      </c>
      <c r="F782" t="s">
        <v>22</v>
      </c>
      <c r="G782">
        <v>21.8</v>
      </c>
      <c r="H782">
        <v>8</v>
      </c>
      <c r="I782">
        <v>8.7200000000000006</v>
      </c>
      <c r="J782">
        <v>183.12</v>
      </c>
      <c r="K782" s="1">
        <v>43515</v>
      </c>
      <c r="L782" s="2">
        <v>0.80833333333333324</v>
      </c>
      <c r="M782" t="s">
        <v>29</v>
      </c>
      <c r="N782">
        <v>174.4</v>
      </c>
      <c r="O782">
        <v>4.7619047620000003</v>
      </c>
      <c r="P782">
        <v>8.7200000000000006</v>
      </c>
      <c r="Q782">
        <v>8.3000000000000007</v>
      </c>
    </row>
    <row r="783" spans="1:17" x14ac:dyDescent="0.3">
      <c r="A783" t="s">
        <v>817</v>
      </c>
      <c r="B783" t="s">
        <v>18</v>
      </c>
      <c r="C783" t="s">
        <v>19</v>
      </c>
      <c r="D783" t="s">
        <v>27</v>
      </c>
      <c r="E783" t="s">
        <v>21</v>
      </c>
      <c r="F783" t="s">
        <v>36</v>
      </c>
      <c r="G783">
        <v>94.76</v>
      </c>
      <c r="H783">
        <v>4</v>
      </c>
      <c r="I783">
        <v>18.952000000000002</v>
      </c>
      <c r="J783">
        <v>397.99200000000002</v>
      </c>
      <c r="K783" s="1">
        <v>43507</v>
      </c>
      <c r="L783" s="2">
        <v>0.67083333333333339</v>
      </c>
      <c r="M783" t="s">
        <v>23</v>
      </c>
      <c r="N783">
        <v>379.04</v>
      </c>
      <c r="O783">
        <v>4.7619047620000003</v>
      </c>
      <c r="P783">
        <v>18.952000000000002</v>
      </c>
      <c r="Q783">
        <v>7.8</v>
      </c>
    </row>
    <row r="784" spans="1:17" x14ac:dyDescent="0.3">
      <c r="A784" t="s">
        <v>818</v>
      </c>
      <c r="B784" t="s">
        <v>18</v>
      </c>
      <c r="C784" t="s">
        <v>19</v>
      </c>
      <c r="D784" t="s">
        <v>20</v>
      </c>
      <c r="E784" t="s">
        <v>21</v>
      </c>
      <c r="F784" t="s">
        <v>46</v>
      </c>
      <c r="G784">
        <v>30.62</v>
      </c>
      <c r="H784">
        <v>1</v>
      </c>
      <c r="I784">
        <v>1.5309999999999999</v>
      </c>
      <c r="J784">
        <v>32.151000000000003</v>
      </c>
      <c r="K784" s="1">
        <v>43501</v>
      </c>
      <c r="L784" s="2">
        <v>0.59305555555555556</v>
      </c>
      <c r="M784" t="s">
        <v>33</v>
      </c>
      <c r="N784">
        <v>30.62</v>
      </c>
      <c r="O784">
        <v>4.7619047620000003</v>
      </c>
      <c r="P784">
        <v>1.5309999999999999</v>
      </c>
      <c r="Q784">
        <v>4.0999999999999996</v>
      </c>
    </row>
    <row r="785" spans="1:17" x14ac:dyDescent="0.3">
      <c r="A785" t="s">
        <v>819</v>
      </c>
      <c r="B785" t="s">
        <v>25</v>
      </c>
      <c r="C785" t="s">
        <v>26</v>
      </c>
      <c r="D785" t="s">
        <v>27</v>
      </c>
      <c r="E785" t="s">
        <v>21</v>
      </c>
      <c r="F785" t="s">
        <v>32</v>
      </c>
      <c r="G785">
        <v>44.01</v>
      </c>
      <c r="H785">
        <v>8</v>
      </c>
      <c r="I785">
        <v>17.603999999999999</v>
      </c>
      <c r="J785">
        <v>369.68400000000003</v>
      </c>
      <c r="K785" s="1">
        <v>43527</v>
      </c>
      <c r="L785" s="2">
        <v>0.73333333333333339</v>
      </c>
      <c r="M785" t="s">
        <v>29</v>
      </c>
      <c r="N785">
        <v>352.08</v>
      </c>
      <c r="O785">
        <v>4.7619047620000003</v>
      </c>
      <c r="P785">
        <v>17.603999999999999</v>
      </c>
      <c r="Q785">
        <v>8.8000000000000007</v>
      </c>
    </row>
    <row r="786" spans="1:17" x14ac:dyDescent="0.3">
      <c r="A786" t="s">
        <v>820</v>
      </c>
      <c r="B786" t="s">
        <v>25</v>
      </c>
      <c r="C786" t="s">
        <v>26</v>
      </c>
      <c r="D786" t="s">
        <v>20</v>
      </c>
      <c r="E786" t="s">
        <v>21</v>
      </c>
      <c r="F786" t="s">
        <v>22</v>
      </c>
      <c r="G786">
        <v>10.16</v>
      </c>
      <c r="H786">
        <v>5</v>
      </c>
      <c r="I786">
        <v>2.54</v>
      </c>
      <c r="J786">
        <v>53.34</v>
      </c>
      <c r="K786" s="1">
        <v>43520</v>
      </c>
      <c r="L786" s="2">
        <v>0.54722222222222217</v>
      </c>
      <c r="M786" t="s">
        <v>23</v>
      </c>
      <c r="N786">
        <v>50.8</v>
      </c>
      <c r="O786">
        <v>4.7619047620000003</v>
      </c>
      <c r="P786">
        <v>2.54</v>
      </c>
      <c r="Q786">
        <v>4.0999999999999996</v>
      </c>
    </row>
    <row r="787" spans="1:17" x14ac:dyDescent="0.3">
      <c r="A787" t="s">
        <v>821</v>
      </c>
      <c r="B787" t="s">
        <v>18</v>
      </c>
      <c r="C787" t="s">
        <v>19</v>
      </c>
      <c r="D787" t="s">
        <v>27</v>
      </c>
      <c r="E787" t="s">
        <v>31</v>
      </c>
      <c r="F787" t="s">
        <v>28</v>
      </c>
      <c r="G787">
        <v>74.58</v>
      </c>
      <c r="H787">
        <v>7</v>
      </c>
      <c r="I787">
        <v>26.103000000000002</v>
      </c>
      <c r="J787">
        <v>548.16300000000001</v>
      </c>
      <c r="K787" s="1">
        <v>43500</v>
      </c>
      <c r="L787" s="2">
        <v>0.67291666666666661</v>
      </c>
      <c r="M787" t="s">
        <v>33</v>
      </c>
      <c r="N787">
        <v>522.05999999999995</v>
      </c>
      <c r="O787">
        <v>4.7619047620000003</v>
      </c>
      <c r="P787">
        <v>26.103000000000002</v>
      </c>
      <c r="Q787">
        <v>9</v>
      </c>
    </row>
    <row r="788" spans="1:17" x14ac:dyDescent="0.3">
      <c r="A788" t="s">
        <v>822</v>
      </c>
      <c r="B788" t="s">
        <v>25</v>
      </c>
      <c r="C788" t="s">
        <v>26</v>
      </c>
      <c r="D788" t="s">
        <v>27</v>
      </c>
      <c r="E788" t="s">
        <v>31</v>
      </c>
      <c r="F788" t="s">
        <v>28</v>
      </c>
      <c r="G788">
        <v>71.89</v>
      </c>
      <c r="H788">
        <v>8</v>
      </c>
      <c r="I788">
        <v>28.756</v>
      </c>
      <c r="J788">
        <v>603.87599999999998</v>
      </c>
      <c r="K788" s="1">
        <v>43515</v>
      </c>
      <c r="L788" s="2">
        <v>0.48125000000000001</v>
      </c>
      <c r="M788" t="s">
        <v>23</v>
      </c>
      <c r="N788">
        <v>575.12</v>
      </c>
      <c r="O788">
        <v>4.7619047620000003</v>
      </c>
      <c r="P788">
        <v>28.756</v>
      </c>
      <c r="Q788">
        <v>5.5</v>
      </c>
    </row>
    <row r="789" spans="1:17" x14ac:dyDescent="0.3">
      <c r="A789" t="s">
        <v>823</v>
      </c>
      <c r="B789" t="s">
        <v>25</v>
      </c>
      <c r="C789" t="s">
        <v>26</v>
      </c>
      <c r="D789" t="s">
        <v>27</v>
      </c>
      <c r="E789" t="s">
        <v>21</v>
      </c>
      <c r="F789" t="s">
        <v>22</v>
      </c>
      <c r="G789">
        <v>10.99</v>
      </c>
      <c r="H789">
        <v>5</v>
      </c>
      <c r="I789">
        <v>2.7475000000000001</v>
      </c>
      <c r="J789">
        <v>57.697499999999998</v>
      </c>
      <c r="K789" s="1">
        <v>43488</v>
      </c>
      <c r="L789" s="2">
        <v>0.4291666666666667</v>
      </c>
      <c r="M789" t="s">
        <v>33</v>
      </c>
      <c r="N789">
        <v>54.95</v>
      </c>
      <c r="O789">
        <v>4.7619047620000003</v>
      </c>
      <c r="P789">
        <v>2.7475000000000001</v>
      </c>
      <c r="Q789">
        <v>9.3000000000000007</v>
      </c>
    </row>
    <row r="790" spans="1:17" x14ac:dyDescent="0.3">
      <c r="A790" t="s">
        <v>824</v>
      </c>
      <c r="B790" t="s">
        <v>25</v>
      </c>
      <c r="C790" t="s">
        <v>26</v>
      </c>
      <c r="D790" t="s">
        <v>20</v>
      </c>
      <c r="E790" t="s">
        <v>31</v>
      </c>
      <c r="F790" t="s">
        <v>22</v>
      </c>
      <c r="G790">
        <v>60.47</v>
      </c>
      <c r="H790">
        <v>3</v>
      </c>
      <c r="I790">
        <v>9.0704999999999991</v>
      </c>
      <c r="J790">
        <v>190.48050000000001</v>
      </c>
      <c r="K790" s="1">
        <v>43479</v>
      </c>
      <c r="L790" s="2">
        <v>0.4548611111111111</v>
      </c>
      <c r="M790" t="s">
        <v>33</v>
      </c>
      <c r="N790">
        <v>181.41</v>
      </c>
      <c r="O790">
        <v>4.7619047620000003</v>
      </c>
      <c r="P790">
        <v>9.0704999999999991</v>
      </c>
      <c r="Q790">
        <v>5.6</v>
      </c>
    </row>
    <row r="791" spans="1:17" x14ac:dyDescent="0.3">
      <c r="A791" t="s">
        <v>825</v>
      </c>
      <c r="B791" t="s">
        <v>18</v>
      </c>
      <c r="C791" t="s">
        <v>19</v>
      </c>
      <c r="D791" t="s">
        <v>27</v>
      </c>
      <c r="E791" t="s">
        <v>31</v>
      </c>
      <c r="F791" t="s">
        <v>36</v>
      </c>
      <c r="G791">
        <v>58.91</v>
      </c>
      <c r="H791">
        <v>7</v>
      </c>
      <c r="I791">
        <v>20.618500000000001</v>
      </c>
      <c r="J791">
        <v>432.98849999999999</v>
      </c>
      <c r="K791" s="1">
        <v>43482</v>
      </c>
      <c r="L791" s="2">
        <v>0.63541666666666663</v>
      </c>
      <c r="M791" t="s">
        <v>23</v>
      </c>
      <c r="N791">
        <v>412.37</v>
      </c>
      <c r="O791">
        <v>4.7619047620000003</v>
      </c>
      <c r="P791">
        <v>20.618500000000001</v>
      </c>
      <c r="Q791">
        <v>9.6999999999999993</v>
      </c>
    </row>
    <row r="792" spans="1:17" x14ac:dyDescent="0.3">
      <c r="A792" t="s">
        <v>826</v>
      </c>
      <c r="B792" t="s">
        <v>18</v>
      </c>
      <c r="C792" t="s">
        <v>19</v>
      </c>
      <c r="D792" t="s">
        <v>27</v>
      </c>
      <c r="E792" t="s">
        <v>31</v>
      </c>
      <c r="F792" t="s">
        <v>46</v>
      </c>
      <c r="G792">
        <v>46.41</v>
      </c>
      <c r="H792">
        <v>1</v>
      </c>
      <c r="I792">
        <v>2.3205</v>
      </c>
      <c r="J792">
        <v>48.730499999999999</v>
      </c>
      <c r="K792" s="1">
        <v>43527</v>
      </c>
      <c r="L792" s="2">
        <v>0.83750000000000002</v>
      </c>
      <c r="M792" t="s">
        <v>33</v>
      </c>
      <c r="N792">
        <v>46.41</v>
      </c>
      <c r="O792">
        <v>4.7619047620000003</v>
      </c>
      <c r="P792">
        <v>2.3205</v>
      </c>
      <c r="Q792">
        <v>4</v>
      </c>
    </row>
    <row r="793" spans="1:17" x14ac:dyDescent="0.3">
      <c r="A793" t="s">
        <v>827</v>
      </c>
      <c r="B793" t="s">
        <v>25</v>
      </c>
      <c r="C793" t="s">
        <v>26</v>
      </c>
      <c r="D793" t="s">
        <v>20</v>
      </c>
      <c r="E793" t="s">
        <v>31</v>
      </c>
      <c r="F793" t="s">
        <v>22</v>
      </c>
      <c r="G793">
        <v>68.55</v>
      </c>
      <c r="H793">
        <v>4</v>
      </c>
      <c r="I793">
        <v>13.71</v>
      </c>
      <c r="J793">
        <v>287.91000000000003</v>
      </c>
      <c r="K793" s="1">
        <v>43511</v>
      </c>
      <c r="L793" s="2">
        <v>0.84791666666666676</v>
      </c>
      <c r="M793" t="s">
        <v>33</v>
      </c>
      <c r="N793">
        <v>274.2</v>
      </c>
      <c r="O793">
        <v>4.7619047620000003</v>
      </c>
      <c r="P793">
        <v>13.71</v>
      </c>
      <c r="Q793">
        <v>9.1999999999999993</v>
      </c>
    </row>
    <row r="794" spans="1:17" x14ac:dyDescent="0.3">
      <c r="A794" t="s">
        <v>828</v>
      </c>
      <c r="B794" t="s">
        <v>42</v>
      </c>
      <c r="C794" t="s">
        <v>43</v>
      </c>
      <c r="D794" t="s">
        <v>27</v>
      </c>
      <c r="E794" t="s">
        <v>21</v>
      </c>
      <c r="F794" t="s">
        <v>32</v>
      </c>
      <c r="G794">
        <v>97.37</v>
      </c>
      <c r="H794">
        <v>10</v>
      </c>
      <c r="I794">
        <v>48.685000000000002</v>
      </c>
      <c r="J794">
        <v>1022.385</v>
      </c>
      <c r="K794" s="1">
        <v>43480</v>
      </c>
      <c r="L794" s="2">
        <v>0.57500000000000007</v>
      </c>
      <c r="M794" t="s">
        <v>33</v>
      </c>
      <c r="N794">
        <v>973.7</v>
      </c>
      <c r="O794">
        <v>4.7619047620000003</v>
      </c>
      <c r="P794">
        <v>48.685000000000002</v>
      </c>
      <c r="Q794">
        <v>4.9000000000000004</v>
      </c>
    </row>
    <row r="795" spans="1:17" x14ac:dyDescent="0.3">
      <c r="A795" t="s">
        <v>829</v>
      </c>
      <c r="B795" t="s">
        <v>18</v>
      </c>
      <c r="C795" t="s">
        <v>19</v>
      </c>
      <c r="D795" t="s">
        <v>20</v>
      </c>
      <c r="E795" t="s">
        <v>31</v>
      </c>
      <c r="F795" t="s">
        <v>28</v>
      </c>
      <c r="G795">
        <v>92.6</v>
      </c>
      <c r="H795">
        <v>7</v>
      </c>
      <c r="I795">
        <v>32.409999999999997</v>
      </c>
      <c r="J795">
        <v>680.61</v>
      </c>
      <c r="K795" s="1">
        <v>43523</v>
      </c>
      <c r="L795" s="2">
        <v>0.53611111111111109</v>
      </c>
      <c r="M795" t="s">
        <v>33</v>
      </c>
      <c r="N795">
        <v>648.20000000000005</v>
      </c>
      <c r="O795">
        <v>4.7619047620000003</v>
      </c>
      <c r="P795">
        <v>32.409999999999997</v>
      </c>
      <c r="Q795">
        <v>9.3000000000000007</v>
      </c>
    </row>
    <row r="796" spans="1:17" x14ac:dyDescent="0.3">
      <c r="A796" t="s">
        <v>830</v>
      </c>
      <c r="B796" t="s">
        <v>18</v>
      </c>
      <c r="C796" t="s">
        <v>19</v>
      </c>
      <c r="D796" t="s">
        <v>27</v>
      </c>
      <c r="E796" t="s">
        <v>21</v>
      </c>
      <c r="F796" t="s">
        <v>28</v>
      </c>
      <c r="G796">
        <v>46.61</v>
      </c>
      <c r="H796">
        <v>2</v>
      </c>
      <c r="I796">
        <v>4.6609999999999996</v>
      </c>
      <c r="J796">
        <v>97.881</v>
      </c>
      <c r="K796" s="1">
        <v>43522</v>
      </c>
      <c r="L796" s="2">
        <v>0.51944444444444449</v>
      </c>
      <c r="M796" t="s">
        <v>33</v>
      </c>
      <c r="N796">
        <v>93.22</v>
      </c>
      <c r="O796">
        <v>4.7619047620000003</v>
      </c>
      <c r="P796">
        <v>4.6609999999999996</v>
      </c>
      <c r="Q796">
        <v>6.6</v>
      </c>
    </row>
    <row r="797" spans="1:17" x14ac:dyDescent="0.3">
      <c r="A797" t="s">
        <v>831</v>
      </c>
      <c r="B797" t="s">
        <v>42</v>
      </c>
      <c r="C797" t="s">
        <v>43</v>
      </c>
      <c r="D797" t="s">
        <v>27</v>
      </c>
      <c r="E797" t="s">
        <v>31</v>
      </c>
      <c r="F797" t="s">
        <v>46</v>
      </c>
      <c r="G797">
        <v>27.18</v>
      </c>
      <c r="H797">
        <v>2</v>
      </c>
      <c r="I797">
        <v>2.718</v>
      </c>
      <c r="J797">
        <v>57.078000000000003</v>
      </c>
      <c r="K797" s="1">
        <v>43539</v>
      </c>
      <c r="L797" s="2">
        <v>0.68472222222222223</v>
      </c>
      <c r="M797" t="s">
        <v>23</v>
      </c>
      <c r="N797">
        <v>54.36</v>
      </c>
      <c r="O797">
        <v>4.7619047620000003</v>
      </c>
      <c r="P797">
        <v>2.718</v>
      </c>
      <c r="Q797">
        <v>4.3</v>
      </c>
    </row>
    <row r="798" spans="1:17" x14ac:dyDescent="0.3">
      <c r="A798" t="s">
        <v>832</v>
      </c>
      <c r="B798" t="s">
        <v>25</v>
      </c>
      <c r="C798" t="s">
        <v>26</v>
      </c>
      <c r="D798" t="s">
        <v>20</v>
      </c>
      <c r="E798" t="s">
        <v>21</v>
      </c>
      <c r="F798" t="s">
        <v>32</v>
      </c>
      <c r="G798">
        <v>60.87</v>
      </c>
      <c r="H798">
        <v>1</v>
      </c>
      <c r="I798">
        <v>3.0434999999999999</v>
      </c>
      <c r="J798">
        <v>63.913499999999999</v>
      </c>
      <c r="K798" s="1">
        <v>43489</v>
      </c>
      <c r="L798" s="2">
        <v>0.55833333333333335</v>
      </c>
      <c r="M798" t="s">
        <v>29</v>
      </c>
      <c r="N798">
        <v>60.87</v>
      </c>
      <c r="O798">
        <v>4.7619047620000003</v>
      </c>
      <c r="P798">
        <v>3.0434999999999999</v>
      </c>
      <c r="Q798">
        <v>5.5</v>
      </c>
    </row>
    <row r="799" spans="1:17" x14ac:dyDescent="0.3">
      <c r="A799" t="s">
        <v>833</v>
      </c>
      <c r="B799" t="s">
        <v>18</v>
      </c>
      <c r="C799" t="s">
        <v>19</v>
      </c>
      <c r="D799" t="s">
        <v>20</v>
      </c>
      <c r="E799" t="s">
        <v>21</v>
      </c>
      <c r="F799" t="s">
        <v>36</v>
      </c>
      <c r="G799">
        <v>24.49</v>
      </c>
      <c r="H799">
        <v>10</v>
      </c>
      <c r="I799">
        <v>12.244999999999999</v>
      </c>
      <c r="J799">
        <v>257.14499999999998</v>
      </c>
      <c r="K799" s="1">
        <v>43518</v>
      </c>
      <c r="L799" s="2">
        <v>0.63541666666666663</v>
      </c>
      <c r="M799" t="s">
        <v>29</v>
      </c>
      <c r="N799">
        <v>244.9</v>
      </c>
      <c r="O799">
        <v>4.7619047620000003</v>
      </c>
      <c r="P799">
        <v>12.244999999999999</v>
      </c>
      <c r="Q799">
        <v>8.1</v>
      </c>
    </row>
    <row r="800" spans="1:17" x14ac:dyDescent="0.3">
      <c r="A800" t="s">
        <v>834</v>
      </c>
      <c r="B800" t="s">
        <v>42</v>
      </c>
      <c r="C800" t="s">
        <v>43</v>
      </c>
      <c r="D800" t="s">
        <v>27</v>
      </c>
      <c r="E800" t="s">
        <v>31</v>
      </c>
      <c r="F800" t="s">
        <v>22</v>
      </c>
      <c r="G800">
        <v>92.78</v>
      </c>
      <c r="H800">
        <v>1</v>
      </c>
      <c r="I800">
        <v>4.6390000000000002</v>
      </c>
      <c r="J800">
        <v>97.418999999999997</v>
      </c>
      <c r="K800" s="1">
        <v>43539</v>
      </c>
      <c r="L800" s="2">
        <v>0.4513888888888889</v>
      </c>
      <c r="M800" t="s">
        <v>33</v>
      </c>
      <c r="N800">
        <v>92.78</v>
      </c>
      <c r="O800">
        <v>4.7619047620000003</v>
      </c>
      <c r="P800">
        <v>4.6390000000000002</v>
      </c>
      <c r="Q800">
        <v>9.8000000000000007</v>
      </c>
    </row>
    <row r="801" spans="1:17" x14ac:dyDescent="0.3">
      <c r="A801" t="s">
        <v>835</v>
      </c>
      <c r="B801" t="s">
        <v>25</v>
      </c>
      <c r="C801" t="s">
        <v>26</v>
      </c>
      <c r="D801" t="s">
        <v>20</v>
      </c>
      <c r="E801" t="s">
        <v>31</v>
      </c>
      <c r="F801" t="s">
        <v>32</v>
      </c>
      <c r="G801">
        <v>86.69</v>
      </c>
      <c r="H801">
        <v>5</v>
      </c>
      <c r="I801">
        <v>21.672499999999999</v>
      </c>
      <c r="J801">
        <v>455.1225</v>
      </c>
      <c r="K801" s="1">
        <v>43507</v>
      </c>
      <c r="L801" s="2">
        <v>0.77638888888888891</v>
      </c>
      <c r="M801" t="s">
        <v>23</v>
      </c>
      <c r="N801">
        <v>433.45</v>
      </c>
      <c r="O801">
        <v>4.7619047620000003</v>
      </c>
      <c r="P801">
        <v>21.672499999999999</v>
      </c>
      <c r="Q801">
        <v>9.4</v>
      </c>
    </row>
    <row r="802" spans="1:17" x14ac:dyDescent="0.3">
      <c r="A802" t="s">
        <v>836</v>
      </c>
      <c r="B802" t="s">
        <v>42</v>
      </c>
      <c r="C802" t="s">
        <v>43</v>
      </c>
      <c r="D802" t="s">
        <v>27</v>
      </c>
      <c r="E802" t="s">
        <v>31</v>
      </c>
      <c r="F802" t="s">
        <v>36</v>
      </c>
      <c r="G802">
        <v>23.01</v>
      </c>
      <c r="H802">
        <v>6</v>
      </c>
      <c r="I802">
        <v>6.9029999999999996</v>
      </c>
      <c r="J802">
        <v>144.96299999999999</v>
      </c>
      <c r="K802" s="1">
        <v>43477</v>
      </c>
      <c r="L802" s="2">
        <v>0.69791666666666663</v>
      </c>
      <c r="M802" t="s">
        <v>23</v>
      </c>
      <c r="N802">
        <v>138.06</v>
      </c>
      <c r="O802">
        <v>4.7619047620000003</v>
      </c>
      <c r="P802">
        <v>6.9029999999999996</v>
      </c>
      <c r="Q802">
        <v>7.9</v>
      </c>
    </row>
    <row r="803" spans="1:17" x14ac:dyDescent="0.3">
      <c r="A803" t="s">
        <v>837</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3">
      <c r="A804" t="s">
        <v>838</v>
      </c>
      <c r="B804" t="s">
        <v>25</v>
      </c>
      <c r="C804" t="s">
        <v>26</v>
      </c>
      <c r="D804" t="s">
        <v>20</v>
      </c>
      <c r="E804" t="s">
        <v>31</v>
      </c>
      <c r="F804" t="s">
        <v>46</v>
      </c>
      <c r="G804">
        <v>67.39</v>
      </c>
      <c r="H804">
        <v>7</v>
      </c>
      <c r="I804">
        <v>23.586500000000001</v>
      </c>
      <c r="J804">
        <v>495.31650000000002</v>
      </c>
      <c r="K804" s="1">
        <v>43547</v>
      </c>
      <c r="L804" s="2">
        <v>0.55763888888888891</v>
      </c>
      <c r="M804" t="s">
        <v>23</v>
      </c>
      <c r="N804">
        <v>471.73</v>
      </c>
      <c r="O804">
        <v>4.7619047620000003</v>
      </c>
      <c r="P804">
        <v>23.586500000000001</v>
      </c>
      <c r="Q804">
        <v>6.9</v>
      </c>
    </row>
    <row r="805" spans="1:17" x14ac:dyDescent="0.3">
      <c r="A805" t="s">
        <v>839</v>
      </c>
      <c r="B805" t="s">
        <v>18</v>
      </c>
      <c r="C805" t="s">
        <v>19</v>
      </c>
      <c r="D805" t="s">
        <v>20</v>
      </c>
      <c r="E805" t="s">
        <v>21</v>
      </c>
      <c r="F805" t="s">
        <v>46</v>
      </c>
      <c r="G805">
        <v>48.96</v>
      </c>
      <c r="H805">
        <v>9</v>
      </c>
      <c r="I805">
        <v>22.032</v>
      </c>
      <c r="J805">
        <v>462.67200000000003</v>
      </c>
      <c r="K805" s="1">
        <v>43528</v>
      </c>
      <c r="L805" s="2">
        <v>0.4770833333333333</v>
      </c>
      <c r="M805" t="s">
        <v>29</v>
      </c>
      <c r="N805">
        <v>440.64</v>
      </c>
      <c r="O805">
        <v>4.7619047620000003</v>
      </c>
      <c r="P805">
        <v>22.032</v>
      </c>
      <c r="Q805">
        <v>8</v>
      </c>
    </row>
    <row r="806" spans="1:17" x14ac:dyDescent="0.3">
      <c r="A806" t="s">
        <v>840</v>
      </c>
      <c r="B806" t="s">
        <v>42</v>
      </c>
      <c r="C806" t="s">
        <v>43</v>
      </c>
      <c r="D806" t="s">
        <v>20</v>
      </c>
      <c r="E806" t="s">
        <v>21</v>
      </c>
      <c r="F806" t="s">
        <v>28</v>
      </c>
      <c r="G806">
        <v>75.59</v>
      </c>
      <c r="H806">
        <v>9</v>
      </c>
      <c r="I806">
        <v>34.015500000000003</v>
      </c>
      <c r="J806">
        <v>714.32550000000003</v>
      </c>
      <c r="K806" s="1">
        <v>43519</v>
      </c>
      <c r="L806" s="2">
        <v>0.46666666666666662</v>
      </c>
      <c r="M806" t="s">
        <v>29</v>
      </c>
      <c r="N806">
        <v>680.31</v>
      </c>
      <c r="O806">
        <v>4.7619047620000003</v>
      </c>
      <c r="P806">
        <v>34.015500000000003</v>
      </c>
      <c r="Q806">
        <v>8</v>
      </c>
    </row>
    <row r="807" spans="1:17" x14ac:dyDescent="0.3">
      <c r="A807" t="s">
        <v>841</v>
      </c>
      <c r="B807" t="s">
        <v>18</v>
      </c>
      <c r="C807" t="s">
        <v>19</v>
      </c>
      <c r="D807" t="s">
        <v>27</v>
      </c>
      <c r="E807" t="s">
        <v>21</v>
      </c>
      <c r="F807" t="s">
        <v>32</v>
      </c>
      <c r="G807">
        <v>77.47</v>
      </c>
      <c r="H807">
        <v>4</v>
      </c>
      <c r="I807">
        <v>15.494</v>
      </c>
      <c r="J807">
        <v>325.37400000000002</v>
      </c>
      <c r="K807" s="1">
        <v>43541</v>
      </c>
      <c r="L807" s="2">
        <v>0.69166666666666676</v>
      </c>
      <c r="M807" t="s">
        <v>29</v>
      </c>
      <c r="N807">
        <v>309.88</v>
      </c>
      <c r="O807">
        <v>4.7619047620000003</v>
      </c>
      <c r="P807">
        <v>15.494</v>
      </c>
      <c r="Q807">
        <v>4.2</v>
      </c>
    </row>
    <row r="808" spans="1:17" x14ac:dyDescent="0.3">
      <c r="A808" t="s">
        <v>842</v>
      </c>
      <c r="B808" t="s">
        <v>18</v>
      </c>
      <c r="C808" t="s">
        <v>19</v>
      </c>
      <c r="D808" t="s">
        <v>27</v>
      </c>
      <c r="E808" t="s">
        <v>21</v>
      </c>
      <c r="F808" t="s">
        <v>36</v>
      </c>
      <c r="G808">
        <v>93.18</v>
      </c>
      <c r="H808">
        <v>2</v>
      </c>
      <c r="I808">
        <v>9.3179999999999996</v>
      </c>
      <c r="J808">
        <v>195.678</v>
      </c>
      <c r="K808" s="1">
        <v>43481</v>
      </c>
      <c r="L808" s="2">
        <v>0.77847222222222223</v>
      </c>
      <c r="M808" t="s">
        <v>33</v>
      </c>
      <c r="N808">
        <v>186.36</v>
      </c>
      <c r="O808">
        <v>4.7619047620000003</v>
      </c>
      <c r="P808">
        <v>9.3179999999999996</v>
      </c>
      <c r="Q808">
        <v>8.5</v>
      </c>
    </row>
    <row r="809" spans="1:17" x14ac:dyDescent="0.3">
      <c r="A809" t="s">
        <v>843</v>
      </c>
      <c r="B809" t="s">
        <v>18</v>
      </c>
      <c r="C809" t="s">
        <v>19</v>
      </c>
      <c r="D809" t="s">
        <v>27</v>
      </c>
      <c r="E809" t="s">
        <v>21</v>
      </c>
      <c r="F809" t="s">
        <v>28</v>
      </c>
      <c r="G809">
        <v>50.23</v>
      </c>
      <c r="H809">
        <v>4</v>
      </c>
      <c r="I809">
        <v>10.045999999999999</v>
      </c>
      <c r="J809">
        <v>210.96600000000001</v>
      </c>
      <c r="K809" s="1">
        <v>43473</v>
      </c>
      <c r="L809" s="2">
        <v>0.71666666666666667</v>
      </c>
      <c r="M809" t="s">
        <v>29</v>
      </c>
      <c r="N809">
        <v>200.92</v>
      </c>
      <c r="O809">
        <v>4.7619047620000003</v>
      </c>
      <c r="P809">
        <v>10.045999999999999</v>
      </c>
      <c r="Q809">
        <v>9</v>
      </c>
    </row>
    <row r="810" spans="1:17" x14ac:dyDescent="0.3">
      <c r="A810" t="s">
        <v>844</v>
      </c>
      <c r="B810" t="s">
        <v>42</v>
      </c>
      <c r="C810" t="s">
        <v>43</v>
      </c>
      <c r="D810" t="s">
        <v>27</v>
      </c>
      <c r="E810" t="s">
        <v>21</v>
      </c>
      <c r="F810" t="s">
        <v>22</v>
      </c>
      <c r="G810">
        <v>17.75</v>
      </c>
      <c r="H810">
        <v>1</v>
      </c>
      <c r="I810">
        <v>0.88749999999999996</v>
      </c>
      <c r="J810">
        <v>18.637499999999999</v>
      </c>
      <c r="K810" s="1">
        <v>43479</v>
      </c>
      <c r="L810" s="2">
        <v>0.44305555555555554</v>
      </c>
      <c r="M810" t="s">
        <v>29</v>
      </c>
      <c r="N810">
        <v>17.75</v>
      </c>
      <c r="O810">
        <v>4.7619047620000003</v>
      </c>
      <c r="P810">
        <v>0.88749999999999996</v>
      </c>
      <c r="Q810">
        <v>8.6</v>
      </c>
    </row>
    <row r="811" spans="1:17" x14ac:dyDescent="0.3">
      <c r="A811" t="s">
        <v>845</v>
      </c>
      <c r="B811" t="s">
        <v>25</v>
      </c>
      <c r="C811" t="s">
        <v>26</v>
      </c>
      <c r="D811" t="s">
        <v>27</v>
      </c>
      <c r="E811" t="s">
        <v>21</v>
      </c>
      <c r="F811" t="s">
        <v>46</v>
      </c>
      <c r="G811">
        <v>62.18</v>
      </c>
      <c r="H811">
        <v>10</v>
      </c>
      <c r="I811">
        <v>31.09</v>
      </c>
      <c r="J811">
        <v>652.89</v>
      </c>
      <c r="K811" s="1">
        <v>43496</v>
      </c>
      <c r="L811" s="2">
        <v>0.43958333333333338</v>
      </c>
      <c r="M811" t="s">
        <v>23</v>
      </c>
      <c r="N811">
        <v>621.79999999999995</v>
      </c>
      <c r="O811">
        <v>4.7619047620000003</v>
      </c>
      <c r="P811">
        <v>31.09</v>
      </c>
      <c r="Q811">
        <v>6</v>
      </c>
    </row>
    <row r="812" spans="1:17" x14ac:dyDescent="0.3">
      <c r="A812" t="s">
        <v>846</v>
      </c>
      <c r="B812" t="s">
        <v>42</v>
      </c>
      <c r="C812" t="s">
        <v>43</v>
      </c>
      <c r="D812" t="s">
        <v>27</v>
      </c>
      <c r="E812" t="s">
        <v>31</v>
      </c>
      <c r="F812" t="s">
        <v>22</v>
      </c>
      <c r="G812">
        <v>10.75</v>
      </c>
      <c r="H812">
        <v>8</v>
      </c>
      <c r="I812">
        <v>4.3</v>
      </c>
      <c r="J812">
        <v>90.3</v>
      </c>
      <c r="K812" s="1">
        <v>43539</v>
      </c>
      <c r="L812" s="2">
        <v>0.60972222222222217</v>
      </c>
      <c r="M812" t="s">
        <v>23</v>
      </c>
      <c r="N812">
        <v>86</v>
      </c>
      <c r="O812">
        <v>4.7619047620000003</v>
      </c>
      <c r="P812">
        <v>4.3</v>
      </c>
      <c r="Q812">
        <v>6.2</v>
      </c>
    </row>
    <row r="813" spans="1:17" x14ac:dyDescent="0.3">
      <c r="A813" t="s">
        <v>847</v>
      </c>
      <c r="B813" t="s">
        <v>18</v>
      </c>
      <c r="C813" t="s">
        <v>19</v>
      </c>
      <c r="D813" t="s">
        <v>27</v>
      </c>
      <c r="E813" t="s">
        <v>21</v>
      </c>
      <c r="F813" t="s">
        <v>28</v>
      </c>
      <c r="G813">
        <v>40.26</v>
      </c>
      <c r="H813">
        <v>10</v>
      </c>
      <c r="I813">
        <v>20.13</v>
      </c>
      <c r="J813">
        <v>422.73</v>
      </c>
      <c r="K813" s="1">
        <v>43520</v>
      </c>
      <c r="L813" s="2">
        <v>0.75416666666666676</v>
      </c>
      <c r="M813" t="s">
        <v>33</v>
      </c>
      <c r="N813">
        <v>402.6</v>
      </c>
      <c r="O813">
        <v>4.7619047620000003</v>
      </c>
      <c r="P813">
        <v>20.13</v>
      </c>
      <c r="Q813">
        <v>5</v>
      </c>
    </row>
    <row r="814" spans="1:17" x14ac:dyDescent="0.3">
      <c r="A814" t="s">
        <v>848</v>
      </c>
      <c r="B814" t="s">
        <v>25</v>
      </c>
      <c r="C814" t="s">
        <v>26</v>
      </c>
      <c r="D814" t="s">
        <v>20</v>
      </c>
      <c r="E814" t="s">
        <v>21</v>
      </c>
      <c r="F814" t="s">
        <v>36</v>
      </c>
      <c r="G814">
        <v>64.97</v>
      </c>
      <c r="H814">
        <v>5</v>
      </c>
      <c r="I814">
        <v>16.2425</v>
      </c>
      <c r="J814">
        <v>341.09249999999997</v>
      </c>
      <c r="K814" s="1">
        <v>43504</v>
      </c>
      <c r="L814" s="2">
        <v>0.53611111111111109</v>
      </c>
      <c r="M814" t="s">
        <v>33</v>
      </c>
      <c r="N814">
        <v>324.85000000000002</v>
      </c>
      <c r="O814">
        <v>4.7619047620000003</v>
      </c>
      <c r="P814">
        <v>16.2425</v>
      </c>
      <c r="Q814">
        <v>6.5</v>
      </c>
    </row>
    <row r="815" spans="1:17" x14ac:dyDescent="0.3">
      <c r="A815" t="s">
        <v>849</v>
      </c>
      <c r="B815" t="s">
        <v>18</v>
      </c>
      <c r="C815" t="s">
        <v>19</v>
      </c>
      <c r="D815" t="s">
        <v>27</v>
      </c>
      <c r="E815" t="s">
        <v>31</v>
      </c>
      <c r="F815" t="s">
        <v>28</v>
      </c>
      <c r="G815">
        <v>95.15</v>
      </c>
      <c r="H815">
        <v>1</v>
      </c>
      <c r="I815">
        <v>4.7575000000000003</v>
      </c>
      <c r="J815">
        <v>99.907499999999999</v>
      </c>
      <c r="K815" s="1">
        <v>43546</v>
      </c>
      <c r="L815" s="2">
        <v>0.58333333333333337</v>
      </c>
      <c r="M815" t="s">
        <v>29</v>
      </c>
      <c r="N815">
        <v>95.15</v>
      </c>
      <c r="O815">
        <v>4.7619047620000003</v>
      </c>
      <c r="P815">
        <v>4.7575000000000003</v>
      </c>
      <c r="Q815">
        <v>6</v>
      </c>
    </row>
    <row r="816" spans="1:17" x14ac:dyDescent="0.3">
      <c r="A816" t="s">
        <v>850</v>
      </c>
      <c r="B816" t="s">
        <v>18</v>
      </c>
      <c r="C816" t="s">
        <v>19</v>
      </c>
      <c r="D816" t="s">
        <v>20</v>
      </c>
      <c r="E816" t="s">
        <v>21</v>
      </c>
      <c r="F816" t="s">
        <v>28</v>
      </c>
      <c r="G816">
        <v>48.62</v>
      </c>
      <c r="H816">
        <v>8</v>
      </c>
      <c r="I816">
        <v>19.448</v>
      </c>
      <c r="J816">
        <v>408.40800000000002</v>
      </c>
      <c r="K816" s="1">
        <v>43489</v>
      </c>
      <c r="L816" s="2">
        <v>0.45624999999999999</v>
      </c>
      <c r="M816" t="s">
        <v>29</v>
      </c>
      <c r="N816">
        <v>388.96</v>
      </c>
      <c r="O816">
        <v>4.7619047620000003</v>
      </c>
      <c r="P816">
        <v>19.448</v>
      </c>
      <c r="Q816">
        <v>5</v>
      </c>
    </row>
    <row r="817" spans="1:17" x14ac:dyDescent="0.3">
      <c r="A817" t="s">
        <v>851</v>
      </c>
      <c r="B817" t="s">
        <v>42</v>
      </c>
      <c r="C817" t="s">
        <v>43</v>
      </c>
      <c r="D817" t="s">
        <v>27</v>
      </c>
      <c r="E817" t="s">
        <v>21</v>
      </c>
      <c r="F817" t="s">
        <v>44</v>
      </c>
      <c r="G817">
        <v>53.21</v>
      </c>
      <c r="H817">
        <v>8</v>
      </c>
      <c r="I817">
        <v>21.283999999999999</v>
      </c>
      <c r="J817">
        <v>446.964</v>
      </c>
      <c r="K817" s="1">
        <v>43538</v>
      </c>
      <c r="L817" s="2">
        <v>0.69791666666666663</v>
      </c>
      <c r="M817" t="s">
        <v>23</v>
      </c>
      <c r="N817">
        <v>425.68</v>
      </c>
      <c r="O817">
        <v>4.7619047620000003</v>
      </c>
      <c r="P817">
        <v>21.283999999999999</v>
      </c>
      <c r="Q817">
        <v>5</v>
      </c>
    </row>
    <row r="818" spans="1:17" x14ac:dyDescent="0.3">
      <c r="A818" t="s">
        <v>852</v>
      </c>
      <c r="B818" t="s">
        <v>25</v>
      </c>
      <c r="C818" t="s">
        <v>26</v>
      </c>
      <c r="D818" t="s">
        <v>27</v>
      </c>
      <c r="E818" t="s">
        <v>21</v>
      </c>
      <c r="F818" t="s">
        <v>46</v>
      </c>
      <c r="G818">
        <v>45.44</v>
      </c>
      <c r="H818">
        <v>7</v>
      </c>
      <c r="I818">
        <v>15.904</v>
      </c>
      <c r="J818">
        <v>333.98399999999998</v>
      </c>
      <c r="K818" s="1">
        <v>43488</v>
      </c>
      <c r="L818" s="2">
        <v>0.46875</v>
      </c>
      <c r="M818" t="s">
        <v>29</v>
      </c>
      <c r="N818">
        <v>318.08</v>
      </c>
      <c r="O818">
        <v>4.7619047620000003</v>
      </c>
      <c r="P818">
        <v>15.904</v>
      </c>
      <c r="Q818">
        <v>9.1999999999999993</v>
      </c>
    </row>
    <row r="819" spans="1:17" x14ac:dyDescent="0.3">
      <c r="A819" t="s">
        <v>853</v>
      </c>
      <c r="B819" t="s">
        <v>18</v>
      </c>
      <c r="C819" t="s">
        <v>19</v>
      </c>
      <c r="D819" t="s">
        <v>27</v>
      </c>
      <c r="E819" t="s">
        <v>31</v>
      </c>
      <c r="F819" t="s">
        <v>44</v>
      </c>
      <c r="G819">
        <v>33.880000000000003</v>
      </c>
      <c r="H819">
        <v>8</v>
      </c>
      <c r="I819">
        <v>13.552</v>
      </c>
      <c r="J819">
        <v>284.59199999999998</v>
      </c>
      <c r="K819" s="1">
        <v>43484</v>
      </c>
      <c r="L819" s="2">
        <v>0.8534722222222223</v>
      </c>
      <c r="M819" t="s">
        <v>23</v>
      </c>
      <c r="N819">
        <v>271.04000000000002</v>
      </c>
      <c r="O819">
        <v>4.7619047620000003</v>
      </c>
      <c r="P819">
        <v>13.552</v>
      </c>
      <c r="Q819">
        <v>9.6</v>
      </c>
    </row>
    <row r="820" spans="1:17" x14ac:dyDescent="0.3">
      <c r="A820" t="s">
        <v>854</v>
      </c>
      <c r="B820" t="s">
        <v>42</v>
      </c>
      <c r="C820" t="s">
        <v>43</v>
      </c>
      <c r="D820" t="s">
        <v>20</v>
      </c>
      <c r="E820" t="s">
        <v>31</v>
      </c>
      <c r="F820" t="s">
        <v>22</v>
      </c>
      <c r="G820">
        <v>96.16</v>
      </c>
      <c r="H820">
        <v>4</v>
      </c>
      <c r="I820">
        <v>19.231999999999999</v>
      </c>
      <c r="J820">
        <v>403.87200000000001</v>
      </c>
      <c r="K820" s="1">
        <v>43492</v>
      </c>
      <c r="L820" s="2">
        <v>0.8354166666666667</v>
      </c>
      <c r="M820" t="s">
        <v>33</v>
      </c>
      <c r="N820">
        <v>384.64</v>
      </c>
      <c r="O820">
        <v>4.7619047620000003</v>
      </c>
      <c r="P820">
        <v>19.231999999999999</v>
      </c>
      <c r="Q820">
        <v>8.4</v>
      </c>
    </row>
    <row r="821" spans="1:17" x14ac:dyDescent="0.3">
      <c r="A821" t="s">
        <v>855</v>
      </c>
      <c r="B821" t="s">
        <v>42</v>
      </c>
      <c r="C821" t="s">
        <v>43</v>
      </c>
      <c r="D821" t="s">
        <v>20</v>
      </c>
      <c r="E821" t="s">
        <v>31</v>
      </c>
      <c r="F821" t="s">
        <v>44</v>
      </c>
      <c r="G821">
        <v>47.16</v>
      </c>
      <c r="H821">
        <v>5</v>
      </c>
      <c r="I821">
        <v>11.79</v>
      </c>
      <c r="J821">
        <v>247.59</v>
      </c>
      <c r="K821" s="1">
        <v>43499</v>
      </c>
      <c r="L821" s="2">
        <v>0.60763888888888895</v>
      </c>
      <c r="M821" t="s">
        <v>33</v>
      </c>
      <c r="N821">
        <v>235.8</v>
      </c>
      <c r="O821">
        <v>4.7619047620000003</v>
      </c>
      <c r="P821">
        <v>11.79</v>
      </c>
      <c r="Q821">
        <v>6</v>
      </c>
    </row>
    <row r="822" spans="1:17" x14ac:dyDescent="0.3">
      <c r="A822" t="s">
        <v>856</v>
      </c>
      <c r="B822" t="s">
        <v>42</v>
      </c>
      <c r="C822" t="s">
        <v>43</v>
      </c>
      <c r="D822" t="s">
        <v>27</v>
      </c>
      <c r="E822" t="s">
        <v>31</v>
      </c>
      <c r="F822" t="s">
        <v>28</v>
      </c>
      <c r="G822">
        <v>52.89</v>
      </c>
      <c r="H822">
        <v>4</v>
      </c>
      <c r="I822">
        <v>10.577999999999999</v>
      </c>
      <c r="J822">
        <v>222.13800000000001</v>
      </c>
      <c r="K822" s="1">
        <v>43549</v>
      </c>
      <c r="L822" s="2">
        <v>0.68888888888888899</v>
      </c>
      <c r="M822" t="s">
        <v>23</v>
      </c>
      <c r="N822">
        <v>211.56</v>
      </c>
      <c r="O822">
        <v>4.7619047620000003</v>
      </c>
      <c r="P822">
        <v>10.577999999999999</v>
      </c>
      <c r="Q822">
        <v>6.7</v>
      </c>
    </row>
    <row r="823" spans="1:17" x14ac:dyDescent="0.3">
      <c r="A823" t="s">
        <v>857</v>
      </c>
      <c r="B823" t="s">
        <v>18</v>
      </c>
      <c r="C823" t="s">
        <v>19</v>
      </c>
      <c r="D823" t="s">
        <v>20</v>
      </c>
      <c r="E823" t="s">
        <v>21</v>
      </c>
      <c r="F823" t="s">
        <v>32</v>
      </c>
      <c r="G823">
        <v>47.68</v>
      </c>
      <c r="H823">
        <v>2</v>
      </c>
      <c r="I823">
        <v>4.7679999999999998</v>
      </c>
      <c r="J823">
        <v>100.128</v>
      </c>
      <c r="K823" s="1">
        <v>43520</v>
      </c>
      <c r="L823" s="2">
        <v>0.4236111111111111</v>
      </c>
      <c r="M823" t="s">
        <v>33</v>
      </c>
      <c r="N823">
        <v>95.36</v>
      </c>
      <c r="O823">
        <v>4.7619047620000003</v>
      </c>
      <c r="P823">
        <v>4.7679999999999998</v>
      </c>
      <c r="Q823">
        <v>4.0999999999999996</v>
      </c>
    </row>
    <row r="824" spans="1:17" x14ac:dyDescent="0.3">
      <c r="A824" t="s">
        <v>858</v>
      </c>
      <c r="B824" t="s">
        <v>25</v>
      </c>
      <c r="C824" t="s">
        <v>26</v>
      </c>
      <c r="D824" t="s">
        <v>20</v>
      </c>
      <c r="E824" t="s">
        <v>31</v>
      </c>
      <c r="F824" t="s">
        <v>36</v>
      </c>
      <c r="G824">
        <v>10.17</v>
      </c>
      <c r="H824">
        <v>1</v>
      </c>
      <c r="I824">
        <v>0.50849999999999995</v>
      </c>
      <c r="J824">
        <v>10.6785</v>
      </c>
      <c r="K824" s="1">
        <v>43503</v>
      </c>
      <c r="L824" s="2">
        <v>0.59375</v>
      </c>
      <c r="M824" t="s">
        <v>29</v>
      </c>
      <c r="N824">
        <v>10.17</v>
      </c>
      <c r="O824">
        <v>4.7619047620000003</v>
      </c>
      <c r="P824">
        <v>0.50849999999999995</v>
      </c>
      <c r="Q824">
        <v>5.9</v>
      </c>
    </row>
    <row r="825" spans="1:17" x14ac:dyDescent="0.3">
      <c r="A825" t="s">
        <v>859</v>
      </c>
      <c r="B825" t="s">
        <v>18</v>
      </c>
      <c r="C825" t="s">
        <v>19</v>
      </c>
      <c r="D825" t="s">
        <v>27</v>
      </c>
      <c r="E825" t="s">
        <v>21</v>
      </c>
      <c r="F825" t="s">
        <v>22</v>
      </c>
      <c r="G825">
        <v>68.709999999999994</v>
      </c>
      <c r="H825">
        <v>3</v>
      </c>
      <c r="I825">
        <v>10.3065</v>
      </c>
      <c r="J825">
        <v>216.4365</v>
      </c>
      <c r="K825" s="1">
        <v>43528</v>
      </c>
      <c r="L825" s="2">
        <v>0.4201388888888889</v>
      </c>
      <c r="M825" t="s">
        <v>29</v>
      </c>
      <c r="N825">
        <v>206.13</v>
      </c>
      <c r="O825">
        <v>4.7619047620000003</v>
      </c>
      <c r="P825">
        <v>10.3065</v>
      </c>
      <c r="Q825">
        <v>8.6999999999999993</v>
      </c>
    </row>
    <row r="826" spans="1:17" x14ac:dyDescent="0.3">
      <c r="A826" t="s">
        <v>860</v>
      </c>
      <c r="B826" t="s">
        <v>42</v>
      </c>
      <c r="C826" t="s">
        <v>43</v>
      </c>
      <c r="D826" t="s">
        <v>20</v>
      </c>
      <c r="E826" t="s">
        <v>21</v>
      </c>
      <c r="F826" t="s">
        <v>36</v>
      </c>
      <c r="G826">
        <v>60.08</v>
      </c>
      <c r="H826">
        <v>7</v>
      </c>
      <c r="I826">
        <v>21.027999999999999</v>
      </c>
      <c r="J826">
        <v>441.58800000000002</v>
      </c>
      <c r="K826" s="1">
        <v>43510</v>
      </c>
      <c r="L826" s="2">
        <v>0.48333333333333334</v>
      </c>
      <c r="M826" t="s">
        <v>33</v>
      </c>
      <c r="N826">
        <v>420.56</v>
      </c>
      <c r="O826">
        <v>4.7619047620000003</v>
      </c>
      <c r="P826">
        <v>21.027999999999999</v>
      </c>
      <c r="Q826">
        <v>4.5</v>
      </c>
    </row>
    <row r="827" spans="1:17" x14ac:dyDescent="0.3">
      <c r="A827" t="s">
        <v>861</v>
      </c>
      <c r="B827" t="s">
        <v>18</v>
      </c>
      <c r="C827" t="s">
        <v>19</v>
      </c>
      <c r="D827" t="s">
        <v>20</v>
      </c>
      <c r="E827" t="s">
        <v>21</v>
      </c>
      <c r="F827" t="s">
        <v>36</v>
      </c>
      <c r="G827">
        <v>22.01</v>
      </c>
      <c r="H827">
        <v>4</v>
      </c>
      <c r="I827">
        <v>4.4020000000000001</v>
      </c>
      <c r="J827">
        <v>92.441999999999993</v>
      </c>
      <c r="K827" s="1">
        <v>43494</v>
      </c>
      <c r="L827" s="2">
        <v>0.76041666666666663</v>
      </c>
      <c r="M827" t="s">
        <v>33</v>
      </c>
      <c r="N827">
        <v>88.04</v>
      </c>
      <c r="O827">
        <v>4.7619047620000003</v>
      </c>
      <c r="P827">
        <v>4.4020000000000001</v>
      </c>
      <c r="Q827">
        <v>6.6</v>
      </c>
    </row>
    <row r="828" spans="1:17" x14ac:dyDescent="0.3">
      <c r="A828" t="s">
        <v>862</v>
      </c>
      <c r="B828" t="s">
        <v>42</v>
      </c>
      <c r="C828" t="s">
        <v>43</v>
      </c>
      <c r="D828" t="s">
        <v>20</v>
      </c>
      <c r="E828" t="s">
        <v>21</v>
      </c>
      <c r="F828" t="s">
        <v>22</v>
      </c>
      <c r="G828">
        <v>72.11</v>
      </c>
      <c r="H828">
        <v>9</v>
      </c>
      <c r="I828">
        <v>32.4495</v>
      </c>
      <c r="J828">
        <v>681.43949999999995</v>
      </c>
      <c r="K828" s="1">
        <v>43493</v>
      </c>
      <c r="L828" s="2">
        <v>0.57847222222222217</v>
      </c>
      <c r="M828" t="s">
        <v>33</v>
      </c>
      <c r="N828">
        <v>648.99</v>
      </c>
      <c r="O828">
        <v>4.7619047620000003</v>
      </c>
      <c r="P828">
        <v>32.4495</v>
      </c>
      <c r="Q828">
        <v>7.7</v>
      </c>
    </row>
    <row r="829" spans="1:17" x14ac:dyDescent="0.3">
      <c r="A829" t="s">
        <v>863</v>
      </c>
      <c r="B829" t="s">
        <v>18</v>
      </c>
      <c r="C829" t="s">
        <v>19</v>
      </c>
      <c r="D829" t="s">
        <v>20</v>
      </c>
      <c r="E829" t="s">
        <v>31</v>
      </c>
      <c r="F829" t="s">
        <v>46</v>
      </c>
      <c r="G829">
        <v>41.28</v>
      </c>
      <c r="H829">
        <v>3</v>
      </c>
      <c r="I829">
        <v>6.1920000000000002</v>
      </c>
      <c r="J829">
        <v>130.03200000000001</v>
      </c>
      <c r="K829" s="1">
        <v>43550</v>
      </c>
      <c r="L829" s="2">
        <v>0.77569444444444446</v>
      </c>
      <c r="M829" t="s">
        <v>33</v>
      </c>
      <c r="N829">
        <v>123.84</v>
      </c>
      <c r="O829">
        <v>4.7619047620000003</v>
      </c>
      <c r="P829">
        <v>6.1920000000000002</v>
      </c>
      <c r="Q829">
        <v>8.5</v>
      </c>
    </row>
    <row r="830" spans="1:17" x14ac:dyDescent="0.3">
      <c r="A830" t="s">
        <v>864</v>
      </c>
      <c r="B830" t="s">
        <v>25</v>
      </c>
      <c r="C830" t="s">
        <v>26</v>
      </c>
      <c r="D830" t="s">
        <v>27</v>
      </c>
      <c r="E830" t="s">
        <v>31</v>
      </c>
      <c r="F830" t="s">
        <v>28</v>
      </c>
      <c r="G830">
        <v>64.95</v>
      </c>
      <c r="H830">
        <v>10</v>
      </c>
      <c r="I830">
        <v>32.475000000000001</v>
      </c>
      <c r="J830">
        <v>681.97500000000002</v>
      </c>
      <c r="K830" s="1">
        <v>43548</v>
      </c>
      <c r="L830" s="2">
        <v>0.76874999999999993</v>
      </c>
      <c r="M830" t="s">
        <v>29</v>
      </c>
      <c r="N830">
        <v>649.5</v>
      </c>
      <c r="O830">
        <v>4.7619047620000003</v>
      </c>
      <c r="P830">
        <v>32.475000000000001</v>
      </c>
      <c r="Q830">
        <v>5.2</v>
      </c>
    </row>
    <row r="831" spans="1:17" x14ac:dyDescent="0.3">
      <c r="A831" t="s">
        <v>865</v>
      </c>
      <c r="B831" t="s">
        <v>18</v>
      </c>
      <c r="C831" t="s">
        <v>19</v>
      </c>
      <c r="D831" t="s">
        <v>20</v>
      </c>
      <c r="E831" t="s">
        <v>21</v>
      </c>
      <c r="F831" t="s">
        <v>28</v>
      </c>
      <c r="G831">
        <v>74.22</v>
      </c>
      <c r="H831">
        <v>10</v>
      </c>
      <c r="I831">
        <v>37.11</v>
      </c>
      <c r="J831">
        <v>779.31</v>
      </c>
      <c r="K831" s="1">
        <v>43466</v>
      </c>
      <c r="L831" s="2">
        <v>0.61249999999999993</v>
      </c>
      <c r="M831" t="s">
        <v>33</v>
      </c>
      <c r="N831">
        <v>742.2</v>
      </c>
      <c r="O831">
        <v>4.7619047620000003</v>
      </c>
      <c r="P831">
        <v>37.11</v>
      </c>
      <c r="Q831">
        <v>4.3</v>
      </c>
    </row>
    <row r="832" spans="1:17" x14ac:dyDescent="0.3">
      <c r="A832" t="s">
        <v>866</v>
      </c>
      <c r="B832" t="s">
        <v>18</v>
      </c>
      <c r="C832" t="s">
        <v>19</v>
      </c>
      <c r="D832" t="s">
        <v>27</v>
      </c>
      <c r="E832" t="s">
        <v>31</v>
      </c>
      <c r="F832" t="s">
        <v>28</v>
      </c>
      <c r="G832">
        <v>10.56</v>
      </c>
      <c r="H832">
        <v>8</v>
      </c>
      <c r="I832">
        <v>4.2240000000000002</v>
      </c>
      <c r="J832">
        <v>88.703999999999994</v>
      </c>
      <c r="K832" s="1">
        <v>43489</v>
      </c>
      <c r="L832" s="2">
        <v>0.73819444444444438</v>
      </c>
      <c r="M832" t="s">
        <v>29</v>
      </c>
      <c r="N832">
        <v>84.48</v>
      </c>
      <c r="O832">
        <v>4.7619047620000003</v>
      </c>
      <c r="P832">
        <v>4.2240000000000002</v>
      </c>
      <c r="Q832">
        <v>7.6</v>
      </c>
    </row>
    <row r="833" spans="1:17" x14ac:dyDescent="0.3">
      <c r="A833" t="s">
        <v>867</v>
      </c>
      <c r="B833" t="s">
        <v>42</v>
      </c>
      <c r="C833" t="s">
        <v>43</v>
      </c>
      <c r="D833" t="s">
        <v>27</v>
      </c>
      <c r="E833" t="s">
        <v>31</v>
      </c>
      <c r="F833" t="s">
        <v>22</v>
      </c>
      <c r="G833">
        <v>62.57</v>
      </c>
      <c r="H833">
        <v>4</v>
      </c>
      <c r="I833">
        <v>12.513999999999999</v>
      </c>
      <c r="J833">
        <v>262.79399999999998</v>
      </c>
      <c r="K833" s="1">
        <v>43521</v>
      </c>
      <c r="L833" s="2">
        <v>0.77569444444444446</v>
      </c>
      <c r="M833" t="s">
        <v>29</v>
      </c>
      <c r="N833">
        <v>250.28</v>
      </c>
      <c r="O833">
        <v>4.7619047620000003</v>
      </c>
      <c r="P833">
        <v>12.513999999999999</v>
      </c>
      <c r="Q833">
        <v>9.5</v>
      </c>
    </row>
    <row r="834" spans="1:17" x14ac:dyDescent="0.3">
      <c r="A834" t="s">
        <v>868</v>
      </c>
      <c r="B834" t="s">
        <v>42</v>
      </c>
      <c r="C834" t="s">
        <v>43</v>
      </c>
      <c r="D834" t="s">
        <v>20</v>
      </c>
      <c r="E834" t="s">
        <v>21</v>
      </c>
      <c r="F834" t="s">
        <v>36</v>
      </c>
      <c r="G834">
        <v>11.85</v>
      </c>
      <c r="H834">
        <v>8</v>
      </c>
      <c r="I834">
        <v>4.74</v>
      </c>
      <c r="J834">
        <v>99.54</v>
      </c>
      <c r="K834" s="1">
        <v>43474</v>
      </c>
      <c r="L834" s="2">
        <v>0.69027777777777777</v>
      </c>
      <c r="M834" t="s">
        <v>29</v>
      </c>
      <c r="N834">
        <v>94.8</v>
      </c>
      <c r="O834">
        <v>4.7619047620000003</v>
      </c>
      <c r="P834">
        <v>4.74</v>
      </c>
      <c r="Q834">
        <v>4.0999999999999996</v>
      </c>
    </row>
    <row r="835" spans="1:17" x14ac:dyDescent="0.3">
      <c r="A835" t="s">
        <v>869</v>
      </c>
      <c r="B835" t="s">
        <v>18</v>
      </c>
      <c r="C835" t="s">
        <v>19</v>
      </c>
      <c r="D835" t="s">
        <v>20</v>
      </c>
      <c r="E835" t="s">
        <v>31</v>
      </c>
      <c r="F835" t="s">
        <v>22</v>
      </c>
      <c r="G835">
        <v>91.3</v>
      </c>
      <c r="H835">
        <v>1</v>
      </c>
      <c r="I835">
        <v>4.5650000000000004</v>
      </c>
      <c r="J835">
        <v>95.864999999999995</v>
      </c>
      <c r="K835" s="1">
        <v>43510</v>
      </c>
      <c r="L835" s="2">
        <v>0.61249999999999993</v>
      </c>
      <c r="M835" t="s">
        <v>23</v>
      </c>
      <c r="N835">
        <v>91.3</v>
      </c>
      <c r="O835">
        <v>4.7619047620000003</v>
      </c>
      <c r="P835">
        <v>4.5650000000000004</v>
      </c>
      <c r="Q835">
        <v>9.1999999999999993</v>
      </c>
    </row>
    <row r="836" spans="1:17" x14ac:dyDescent="0.3">
      <c r="A836" t="s">
        <v>870</v>
      </c>
      <c r="B836" t="s">
        <v>42</v>
      </c>
      <c r="C836" t="s">
        <v>43</v>
      </c>
      <c r="D836" t="s">
        <v>20</v>
      </c>
      <c r="E836" t="s">
        <v>21</v>
      </c>
      <c r="F836" t="s">
        <v>32</v>
      </c>
      <c r="G836">
        <v>40.729999999999997</v>
      </c>
      <c r="H836">
        <v>7</v>
      </c>
      <c r="I836">
        <v>14.2555</v>
      </c>
      <c r="J836">
        <v>299.3655</v>
      </c>
      <c r="K836" s="1">
        <v>43536</v>
      </c>
      <c r="L836" s="2">
        <v>0.45902777777777781</v>
      </c>
      <c r="M836" t="s">
        <v>23</v>
      </c>
      <c r="N836">
        <v>285.11</v>
      </c>
      <c r="O836">
        <v>4.7619047620000003</v>
      </c>
      <c r="P836">
        <v>14.2555</v>
      </c>
      <c r="Q836">
        <v>5.4</v>
      </c>
    </row>
    <row r="837" spans="1:17" x14ac:dyDescent="0.3">
      <c r="A837" t="s">
        <v>871</v>
      </c>
      <c r="B837" t="s">
        <v>18</v>
      </c>
      <c r="C837" t="s">
        <v>19</v>
      </c>
      <c r="D837" t="s">
        <v>27</v>
      </c>
      <c r="E837" t="s">
        <v>31</v>
      </c>
      <c r="F837" t="s">
        <v>46</v>
      </c>
      <c r="G837">
        <v>52.38</v>
      </c>
      <c r="H837">
        <v>1</v>
      </c>
      <c r="I837">
        <v>2.6190000000000002</v>
      </c>
      <c r="J837">
        <v>54.999000000000002</v>
      </c>
      <c r="K837" s="1">
        <v>43550</v>
      </c>
      <c r="L837" s="2">
        <v>0.8222222222222223</v>
      </c>
      <c r="M837" t="s">
        <v>29</v>
      </c>
      <c r="N837">
        <v>52.38</v>
      </c>
      <c r="O837">
        <v>4.7619047620000003</v>
      </c>
      <c r="P837">
        <v>2.6190000000000002</v>
      </c>
      <c r="Q837">
        <v>5.8</v>
      </c>
    </row>
    <row r="838" spans="1:17" x14ac:dyDescent="0.3">
      <c r="A838" t="s">
        <v>872</v>
      </c>
      <c r="B838" t="s">
        <v>18</v>
      </c>
      <c r="C838" t="s">
        <v>19</v>
      </c>
      <c r="D838" t="s">
        <v>20</v>
      </c>
      <c r="E838" t="s">
        <v>31</v>
      </c>
      <c r="F838" t="s">
        <v>46</v>
      </c>
      <c r="G838">
        <v>38.54</v>
      </c>
      <c r="H838">
        <v>5</v>
      </c>
      <c r="I838">
        <v>9.6349999999999998</v>
      </c>
      <c r="J838">
        <v>202.33500000000001</v>
      </c>
      <c r="K838" s="1">
        <v>43474</v>
      </c>
      <c r="L838" s="2">
        <v>0.56527777777777777</v>
      </c>
      <c r="M838" t="s">
        <v>23</v>
      </c>
      <c r="N838">
        <v>192.7</v>
      </c>
      <c r="O838">
        <v>4.7619047620000003</v>
      </c>
      <c r="P838">
        <v>9.6349999999999998</v>
      </c>
      <c r="Q838">
        <v>5.6</v>
      </c>
    </row>
    <row r="839" spans="1:17" x14ac:dyDescent="0.3">
      <c r="A839" t="s">
        <v>873</v>
      </c>
      <c r="B839" t="s">
        <v>42</v>
      </c>
      <c r="C839" t="s">
        <v>43</v>
      </c>
      <c r="D839" t="s">
        <v>27</v>
      </c>
      <c r="E839" t="s">
        <v>31</v>
      </c>
      <c r="F839" t="s">
        <v>36</v>
      </c>
      <c r="G839">
        <v>44.63</v>
      </c>
      <c r="H839">
        <v>6</v>
      </c>
      <c r="I839">
        <v>13.388999999999999</v>
      </c>
      <c r="J839">
        <v>281.16899999999998</v>
      </c>
      <c r="K839" s="1">
        <v>43467</v>
      </c>
      <c r="L839" s="2">
        <v>0.83888888888888891</v>
      </c>
      <c r="M839" t="s">
        <v>33</v>
      </c>
      <c r="N839">
        <v>267.77999999999997</v>
      </c>
      <c r="O839">
        <v>4.7619047620000003</v>
      </c>
      <c r="P839">
        <v>13.388999999999999</v>
      </c>
      <c r="Q839">
        <v>5.0999999999999996</v>
      </c>
    </row>
    <row r="840" spans="1:17" x14ac:dyDescent="0.3">
      <c r="A840" t="s">
        <v>874</v>
      </c>
      <c r="B840" t="s">
        <v>25</v>
      </c>
      <c r="C840" t="s">
        <v>26</v>
      </c>
      <c r="D840" t="s">
        <v>27</v>
      </c>
      <c r="E840" t="s">
        <v>31</v>
      </c>
      <c r="F840" t="s">
        <v>28</v>
      </c>
      <c r="G840">
        <v>55.87</v>
      </c>
      <c r="H840">
        <v>10</v>
      </c>
      <c r="I840">
        <v>27.934999999999999</v>
      </c>
      <c r="J840">
        <v>586.63499999999999</v>
      </c>
      <c r="K840" s="1">
        <v>43480</v>
      </c>
      <c r="L840" s="2">
        <v>0.62569444444444444</v>
      </c>
      <c r="M840" t="s">
        <v>29</v>
      </c>
      <c r="N840">
        <v>558.70000000000005</v>
      </c>
      <c r="O840">
        <v>4.7619047620000003</v>
      </c>
      <c r="P840">
        <v>27.934999999999999</v>
      </c>
      <c r="Q840">
        <v>5.8</v>
      </c>
    </row>
    <row r="841" spans="1:17" x14ac:dyDescent="0.3">
      <c r="A841" t="s">
        <v>875</v>
      </c>
      <c r="B841" t="s">
        <v>25</v>
      </c>
      <c r="C841" t="s">
        <v>26</v>
      </c>
      <c r="D841" t="s">
        <v>20</v>
      </c>
      <c r="E841" t="s">
        <v>21</v>
      </c>
      <c r="F841" t="s">
        <v>36</v>
      </c>
      <c r="G841">
        <v>29.22</v>
      </c>
      <c r="H841">
        <v>6</v>
      </c>
      <c r="I841">
        <v>8.766</v>
      </c>
      <c r="J841">
        <v>184.08600000000001</v>
      </c>
      <c r="K841" s="1">
        <v>43466</v>
      </c>
      <c r="L841" s="2">
        <v>0.4861111111111111</v>
      </c>
      <c r="M841" t="s">
        <v>23</v>
      </c>
      <c r="N841">
        <v>175.32</v>
      </c>
      <c r="O841">
        <v>4.7619047620000003</v>
      </c>
      <c r="P841">
        <v>8.766</v>
      </c>
      <c r="Q841">
        <v>5</v>
      </c>
    </row>
    <row r="842" spans="1:17" x14ac:dyDescent="0.3">
      <c r="A842" t="s">
        <v>876</v>
      </c>
      <c r="B842" t="s">
        <v>18</v>
      </c>
      <c r="C842" t="s">
        <v>19</v>
      </c>
      <c r="D842" t="s">
        <v>27</v>
      </c>
      <c r="E842" t="s">
        <v>31</v>
      </c>
      <c r="F842" t="s">
        <v>46</v>
      </c>
      <c r="G842">
        <v>51.94</v>
      </c>
      <c r="H842">
        <v>3</v>
      </c>
      <c r="I842">
        <v>7.7910000000000004</v>
      </c>
      <c r="J842">
        <v>163.61099999999999</v>
      </c>
      <c r="K842" s="1">
        <v>43511</v>
      </c>
      <c r="L842" s="2">
        <v>0.63958333333333328</v>
      </c>
      <c r="M842" t="s">
        <v>29</v>
      </c>
      <c r="N842">
        <v>155.82</v>
      </c>
      <c r="O842">
        <v>4.7619047620000003</v>
      </c>
      <c r="P842">
        <v>7.7910000000000004</v>
      </c>
      <c r="Q842">
        <v>7.9</v>
      </c>
    </row>
    <row r="843" spans="1:17" x14ac:dyDescent="0.3">
      <c r="A843" t="s">
        <v>877</v>
      </c>
      <c r="B843" t="s">
        <v>42</v>
      </c>
      <c r="C843" t="s">
        <v>43</v>
      </c>
      <c r="D843" t="s">
        <v>27</v>
      </c>
      <c r="E843" t="s">
        <v>31</v>
      </c>
      <c r="F843" t="s">
        <v>28</v>
      </c>
      <c r="G843">
        <v>60.3</v>
      </c>
      <c r="H843">
        <v>1</v>
      </c>
      <c r="I843">
        <v>3.0150000000000001</v>
      </c>
      <c r="J843">
        <v>63.314999999999998</v>
      </c>
      <c r="K843" s="1">
        <v>43524</v>
      </c>
      <c r="L843" s="2">
        <v>0.73472222222222217</v>
      </c>
      <c r="M843" t="s">
        <v>29</v>
      </c>
      <c r="N843">
        <v>60.3</v>
      </c>
      <c r="O843">
        <v>4.7619047620000003</v>
      </c>
      <c r="P843">
        <v>3.0150000000000001</v>
      </c>
      <c r="Q843">
        <v>6</v>
      </c>
    </row>
    <row r="844" spans="1:17" x14ac:dyDescent="0.3">
      <c r="A844" t="s">
        <v>878</v>
      </c>
      <c r="B844" t="s">
        <v>18</v>
      </c>
      <c r="C844" t="s">
        <v>19</v>
      </c>
      <c r="D844" t="s">
        <v>20</v>
      </c>
      <c r="E844" t="s">
        <v>21</v>
      </c>
      <c r="F844" t="s">
        <v>36</v>
      </c>
      <c r="G844">
        <v>39.47</v>
      </c>
      <c r="H844">
        <v>2</v>
      </c>
      <c r="I844">
        <v>3.9470000000000001</v>
      </c>
      <c r="J844">
        <v>82.887</v>
      </c>
      <c r="K844" s="1">
        <v>43526</v>
      </c>
      <c r="L844" s="2">
        <v>0.6777777777777777</v>
      </c>
      <c r="M844" t="s">
        <v>33</v>
      </c>
      <c r="N844">
        <v>78.94</v>
      </c>
      <c r="O844">
        <v>4.7619047620000003</v>
      </c>
      <c r="P844">
        <v>3.9470000000000001</v>
      </c>
      <c r="Q844">
        <v>5</v>
      </c>
    </row>
    <row r="845" spans="1:17" x14ac:dyDescent="0.3">
      <c r="A845" t="s">
        <v>879</v>
      </c>
      <c r="B845" t="s">
        <v>25</v>
      </c>
      <c r="C845" t="s">
        <v>26</v>
      </c>
      <c r="D845" t="s">
        <v>20</v>
      </c>
      <c r="E845" t="s">
        <v>21</v>
      </c>
      <c r="F845" t="s">
        <v>44</v>
      </c>
      <c r="G845">
        <v>14.87</v>
      </c>
      <c r="H845">
        <v>2</v>
      </c>
      <c r="I845">
        <v>1.4870000000000001</v>
      </c>
      <c r="J845">
        <v>31.227</v>
      </c>
      <c r="K845" s="1">
        <v>43509</v>
      </c>
      <c r="L845" s="2">
        <v>0.76041666666666663</v>
      </c>
      <c r="M845" t="s">
        <v>33</v>
      </c>
      <c r="N845">
        <v>29.74</v>
      </c>
      <c r="O845">
        <v>4.7619047620000003</v>
      </c>
      <c r="P845">
        <v>1.4870000000000001</v>
      </c>
      <c r="Q845">
        <v>8.9</v>
      </c>
    </row>
    <row r="846" spans="1:17" x14ac:dyDescent="0.3">
      <c r="A846" t="s">
        <v>880</v>
      </c>
      <c r="B846" t="s">
        <v>18</v>
      </c>
      <c r="C846" t="s">
        <v>19</v>
      </c>
      <c r="D846" t="s">
        <v>27</v>
      </c>
      <c r="E846" t="s">
        <v>31</v>
      </c>
      <c r="F846" t="s">
        <v>46</v>
      </c>
      <c r="G846">
        <v>21.32</v>
      </c>
      <c r="H846">
        <v>1</v>
      </c>
      <c r="I846">
        <v>1.0660000000000001</v>
      </c>
      <c r="J846">
        <v>22.385999999999999</v>
      </c>
      <c r="K846" s="1">
        <v>43491</v>
      </c>
      <c r="L846" s="2">
        <v>0.52986111111111112</v>
      </c>
      <c r="M846" t="s">
        <v>29</v>
      </c>
      <c r="N846">
        <v>21.32</v>
      </c>
      <c r="O846">
        <v>4.7619047620000003</v>
      </c>
      <c r="P846">
        <v>1.0660000000000001</v>
      </c>
      <c r="Q846">
        <v>5.9</v>
      </c>
    </row>
    <row r="847" spans="1:17" x14ac:dyDescent="0.3">
      <c r="A847" t="s">
        <v>881</v>
      </c>
      <c r="B847" t="s">
        <v>18</v>
      </c>
      <c r="C847" t="s">
        <v>19</v>
      </c>
      <c r="D847" t="s">
        <v>20</v>
      </c>
      <c r="E847" t="s">
        <v>31</v>
      </c>
      <c r="F847" t="s">
        <v>28</v>
      </c>
      <c r="G847">
        <v>93.78</v>
      </c>
      <c r="H847">
        <v>3</v>
      </c>
      <c r="I847">
        <v>14.067</v>
      </c>
      <c r="J847">
        <v>295.40699999999998</v>
      </c>
      <c r="K847" s="1">
        <v>43495</v>
      </c>
      <c r="L847" s="2">
        <v>0.48055555555555557</v>
      </c>
      <c r="M847" t="s">
        <v>33</v>
      </c>
      <c r="N847">
        <v>281.33999999999997</v>
      </c>
      <c r="O847">
        <v>4.7619047620000003</v>
      </c>
      <c r="P847">
        <v>14.067</v>
      </c>
      <c r="Q847">
        <v>5.9</v>
      </c>
    </row>
    <row r="848" spans="1:17" x14ac:dyDescent="0.3">
      <c r="A848" t="s">
        <v>882</v>
      </c>
      <c r="B848" t="s">
        <v>18</v>
      </c>
      <c r="C848" t="s">
        <v>19</v>
      </c>
      <c r="D848" t="s">
        <v>20</v>
      </c>
      <c r="E848" t="s">
        <v>31</v>
      </c>
      <c r="F848" t="s">
        <v>28</v>
      </c>
      <c r="G848">
        <v>73.260000000000005</v>
      </c>
      <c r="H848">
        <v>1</v>
      </c>
      <c r="I848">
        <v>3.6629999999999998</v>
      </c>
      <c r="J848">
        <v>76.923000000000002</v>
      </c>
      <c r="K848" s="1">
        <v>43492</v>
      </c>
      <c r="L848" s="2">
        <v>0.75555555555555554</v>
      </c>
      <c r="M848" t="s">
        <v>23</v>
      </c>
      <c r="N848">
        <v>73.260000000000005</v>
      </c>
      <c r="O848">
        <v>4.7619047620000003</v>
      </c>
      <c r="P848">
        <v>3.6629999999999998</v>
      </c>
      <c r="Q848">
        <v>9.6999999999999993</v>
      </c>
    </row>
    <row r="849" spans="1:17" x14ac:dyDescent="0.3">
      <c r="A849" t="s">
        <v>883</v>
      </c>
      <c r="B849" t="s">
        <v>25</v>
      </c>
      <c r="C849" t="s">
        <v>26</v>
      </c>
      <c r="D849" t="s">
        <v>27</v>
      </c>
      <c r="E849" t="s">
        <v>21</v>
      </c>
      <c r="F849" t="s">
        <v>36</v>
      </c>
      <c r="G849">
        <v>22.38</v>
      </c>
      <c r="H849">
        <v>1</v>
      </c>
      <c r="I849">
        <v>1.119</v>
      </c>
      <c r="J849">
        <v>23.498999999999999</v>
      </c>
      <c r="K849" s="1">
        <v>43495</v>
      </c>
      <c r="L849" s="2">
        <v>0.71388888888888891</v>
      </c>
      <c r="M849" t="s">
        <v>33</v>
      </c>
      <c r="N849">
        <v>22.38</v>
      </c>
      <c r="O849">
        <v>4.7619047620000003</v>
      </c>
      <c r="P849">
        <v>1.119</v>
      </c>
      <c r="Q849">
        <v>8.6</v>
      </c>
    </row>
    <row r="850" spans="1:17" x14ac:dyDescent="0.3">
      <c r="A850" t="s">
        <v>884</v>
      </c>
      <c r="B850" t="s">
        <v>25</v>
      </c>
      <c r="C850" t="s">
        <v>26</v>
      </c>
      <c r="D850" t="s">
        <v>20</v>
      </c>
      <c r="E850" t="s">
        <v>21</v>
      </c>
      <c r="F850" t="s">
        <v>44</v>
      </c>
      <c r="G850">
        <v>72.88</v>
      </c>
      <c r="H850">
        <v>9</v>
      </c>
      <c r="I850">
        <v>32.795999999999999</v>
      </c>
      <c r="J850">
        <v>688.71600000000001</v>
      </c>
      <c r="K850" s="1">
        <v>43473</v>
      </c>
      <c r="L850" s="2">
        <v>0.81805555555555554</v>
      </c>
      <c r="M850" t="s">
        <v>29</v>
      </c>
      <c r="N850">
        <v>655.92</v>
      </c>
      <c r="O850">
        <v>4.7619047620000003</v>
      </c>
      <c r="P850">
        <v>32.795999999999999</v>
      </c>
      <c r="Q850">
        <v>4</v>
      </c>
    </row>
    <row r="851" spans="1:17" x14ac:dyDescent="0.3">
      <c r="A851" t="s">
        <v>885</v>
      </c>
      <c r="B851" t="s">
        <v>18</v>
      </c>
      <c r="C851" t="s">
        <v>19</v>
      </c>
      <c r="D851" t="s">
        <v>27</v>
      </c>
      <c r="E851" t="s">
        <v>21</v>
      </c>
      <c r="F851" t="s">
        <v>46</v>
      </c>
      <c r="G851">
        <v>99.1</v>
      </c>
      <c r="H851">
        <v>6</v>
      </c>
      <c r="I851">
        <v>29.73</v>
      </c>
      <c r="J851">
        <v>624.33000000000004</v>
      </c>
      <c r="K851" s="1">
        <v>43484</v>
      </c>
      <c r="L851" s="2">
        <v>0.5493055555555556</v>
      </c>
      <c r="M851" t="s">
        <v>29</v>
      </c>
      <c r="N851">
        <v>594.6</v>
      </c>
      <c r="O851">
        <v>4.7619047620000003</v>
      </c>
      <c r="P851">
        <v>29.73</v>
      </c>
      <c r="Q851">
        <v>4.2</v>
      </c>
    </row>
    <row r="852" spans="1:17" x14ac:dyDescent="0.3">
      <c r="A852" t="s">
        <v>886</v>
      </c>
      <c r="B852" t="s">
        <v>18</v>
      </c>
      <c r="C852" t="s">
        <v>19</v>
      </c>
      <c r="D852" t="s">
        <v>27</v>
      </c>
      <c r="E852" t="s">
        <v>31</v>
      </c>
      <c r="F852" t="s">
        <v>46</v>
      </c>
      <c r="G852">
        <v>74.099999999999994</v>
      </c>
      <c r="H852">
        <v>1</v>
      </c>
      <c r="I852">
        <v>3.7050000000000001</v>
      </c>
      <c r="J852">
        <v>77.805000000000007</v>
      </c>
      <c r="K852" s="1">
        <v>43490</v>
      </c>
      <c r="L852" s="2">
        <v>0.46180555555555558</v>
      </c>
      <c r="M852" t="s">
        <v>29</v>
      </c>
      <c r="N852">
        <v>74.099999999999994</v>
      </c>
      <c r="O852">
        <v>4.7619047620000003</v>
      </c>
      <c r="P852">
        <v>3.7050000000000001</v>
      </c>
      <c r="Q852">
        <v>9.1999999999999993</v>
      </c>
    </row>
    <row r="853" spans="1:17" x14ac:dyDescent="0.3">
      <c r="A853" t="s">
        <v>887</v>
      </c>
      <c r="B853" t="s">
        <v>18</v>
      </c>
      <c r="C853" t="s">
        <v>19</v>
      </c>
      <c r="D853" t="s">
        <v>27</v>
      </c>
      <c r="E853" t="s">
        <v>21</v>
      </c>
      <c r="F853" t="s">
        <v>46</v>
      </c>
      <c r="G853">
        <v>98.48</v>
      </c>
      <c r="H853">
        <v>2</v>
      </c>
      <c r="I853">
        <v>9.8480000000000008</v>
      </c>
      <c r="J853">
        <v>206.80799999999999</v>
      </c>
      <c r="K853" s="1">
        <v>43515</v>
      </c>
      <c r="L853" s="2">
        <v>0.42499999999999999</v>
      </c>
      <c r="M853" t="s">
        <v>23</v>
      </c>
      <c r="N853">
        <v>196.96</v>
      </c>
      <c r="O853">
        <v>4.7619047620000003</v>
      </c>
      <c r="P853">
        <v>9.8480000000000008</v>
      </c>
      <c r="Q853">
        <v>9.1999999999999993</v>
      </c>
    </row>
    <row r="854" spans="1:17" x14ac:dyDescent="0.3">
      <c r="A854" t="s">
        <v>888</v>
      </c>
      <c r="B854" t="s">
        <v>25</v>
      </c>
      <c r="C854" t="s">
        <v>26</v>
      </c>
      <c r="D854" t="s">
        <v>27</v>
      </c>
      <c r="E854" t="s">
        <v>31</v>
      </c>
      <c r="F854" t="s">
        <v>22</v>
      </c>
      <c r="G854">
        <v>53.19</v>
      </c>
      <c r="H854">
        <v>7</v>
      </c>
      <c r="I854">
        <v>18.616499999999998</v>
      </c>
      <c r="J854">
        <v>390.94650000000001</v>
      </c>
      <c r="K854" s="1">
        <v>43479</v>
      </c>
      <c r="L854" s="2">
        <v>0.65416666666666667</v>
      </c>
      <c r="M854" t="s">
        <v>23</v>
      </c>
      <c r="N854">
        <v>372.33</v>
      </c>
      <c r="O854">
        <v>4.7619047620000003</v>
      </c>
      <c r="P854">
        <v>18.616499999999998</v>
      </c>
      <c r="Q854">
        <v>5</v>
      </c>
    </row>
    <row r="855" spans="1:17" x14ac:dyDescent="0.3">
      <c r="A855" t="s">
        <v>889</v>
      </c>
      <c r="B855" t="s">
        <v>42</v>
      </c>
      <c r="C855" t="s">
        <v>43</v>
      </c>
      <c r="D855" t="s">
        <v>27</v>
      </c>
      <c r="E855" t="s">
        <v>21</v>
      </c>
      <c r="F855" t="s">
        <v>28</v>
      </c>
      <c r="G855">
        <v>52.79</v>
      </c>
      <c r="H855">
        <v>10</v>
      </c>
      <c r="I855">
        <v>26.395</v>
      </c>
      <c r="J855">
        <v>554.29499999999996</v>
      </c>
      <c r="K855" s="1">
        <v>43521</v>
      </c>
      <c r="L855" s="2">
        <v>0.49861111111111112</v>
      </c>
      <c r="M855" t="s">
        <v>23</v>
      </c>
      <c r="N855">
        <v>527.9</v>
      </c>
      <c r="O855">
        <v>4.7619047620000003</v>
      </c>
      <c r="P855">
        <v>26.395</v>
      </c>
      <c r="Q855">
        <v>10</v>
      </c>
    </row>
    <row r="856" spans="1:17" x14ac:dyDescent="0.3">
      <c r="A856" t="s">
        <v>890</v>
      </c>
      <c r="B856" t="s">
        <v>18</v>
      </c>
      <c r="C856" t="s">
        <v>19</v>
      </c>
      <c r="D856" t="s">
        <v>20</v>
      </c>
      <c r="E856" t="s">
        <v>21</v>
      </c>
      <c r="F856" t="s">
        <v>22</v>
      </c>
      <c r="G856">
        <v>95.95</v>
      </c>
      <c r="H856">
        <v>5</v>
      </c>
      <c r="I856">
        <v>23.987500000000001</v>
      </c>
      <c r="J856">
        <v>503.73750000000001</v>
      </c>
      <c r="K856" s="1">
        <v>43488</v>
      </c>
      <c r="L856" s="2">
        <v>0.59791666666666665</v>
      </c>
      <c r="M856" t="s">
        <v>23</v>
      </c>
      <c r="N856">
        <v>479.75</v>
      </c>
      <c r="O856">
        <v>4.7619047620000003</v>
      </c>
      <c r="P856">
        <v>23.987500000000001</v>
      </c>
      <c r="Q856">
        <v>8.8000000000000007</v>
      </c>
    </row>
    <row r="857" spans="1:17" x14ac:dyDescent="0.3">
      <c r="A857" t="s">
        <v>891</v>
      </c>
      <c r="B857" t="s">
        <v>42</v>
      </c>
      <c r="C857" t="s">
        <v>43</v>
      </c>
      <c r="D857" t="s">
        <v>27</v>
      </c>
      <c r="E857" t="s">
        <v>21</v>
      </c>
      <c r="F857" t="s">
        <v>46</v>
      </c>
      <c r="G857">
        <v>36.51</v>
      </c>
      <c r="H857">
        <v>9</v>
      </c>
      <c r="I857">
        <v>16.429500000000001</v>
      </c>
      <c r="J857">
        <v>345.01949999999999</v>
      </c>
      <c r="K857" s="1">
        <v>43512</v>
      </c>
      <c r="L857" s="2">
        <v>0.45277777777777778</v>
      </c>
      <c r="M857" t="s">
        <v>29</v>
      </c>
      <c r="N857">
        <v>328.59</v>
      </c>
      <c r="O857">
        <v>4.7619047620000003</v>
      </c>
      <c r="P857">
        <v>16.429500000000001</v>
      </c>
      <c r="Q857">
        <v>4.2</v>
      </c>
    </row>
    <row r="858" spans="1:17" x14ac:dyDescent="0.3">
      <c r="A858" t="s">
        <v>892</v>
      </c>
      <c r="B858" t="s">
        <v>42</v>
      </c>
      <c r="C858" t="s">
        <v>43</v>
      </c>
      <c r="D858" t="s">
        <v>27</v>
      </c>
      <c r="E858" t="s">
        <v>31</v>
      </c>
      <c r="F858" t="s">
        <v>44</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3">
      <c r="A859" t="s">
        <v>893</v>
      </c>
      <c r="B859" t="s">
        <v>18</v>
      </c>
      <c r="C859" t="s">
        <v>19</v>
      </c>
      <c r="D859" t="s">
        <v>20</v>
      </c>
      <c r="E859" t="s">
        <v>21</v>
      </c>
      <c r="F859" t="s">
        <v>32</v>
      </c>
      <c r="G859">
        <v>28.31</v>
      </c>
      <c r="H859">
        <v>4</v>
      </c>
      <c r="I859">
        <v>5.6619999999999999</v>
      </c>
      <c r="J859">
        <v>118.902</v>
      </c>
      <c r="K859" s="1">
        <v>43531</v>
      </c>
      <c r="L859" s="2">
        <v>0.77430555555555547</v>
      </c>
      <c r="M859" t="s">
        <v>29</v>
      </c>
      <c r="N859">
        <v>113.24</v>
      </c>
      <c r="O859">
        <v>4.7619047620000003</v>
      </c>
      <c r="P859">
        <v>5.6619999999999999</v>
      </c>
      <c r="Q859">
        <v>8.1999999999999993</v>
      </c>
    </row>
    <row r="860" spans="1:17" x14ac:dyDescent="0.3">
      <c r="A860" t="s">
        <v>894</v>
      </c>
      <c r="B860" t="s">
        <v>42</v>
      </c>
      <c r="C860" t="s">
        <v>43</v>
      </c>
      <c r="D860" t="s">
        <v>27</v>
      </c>
      <c r="E860" t="s">
        <v>31</v>
      </c>
      <c r="F860" t="s">
        <v>22</v>
      </c>
      <c r="G860">
        <v>57.59</v>
      </c>
      <c r="H860">
        <v>6</v>
      </c>
      <c r="I860">
        <v>17.277000000000001</v>
      </c>
      <c r="J860">
        <v>362.81700000000001</v>
      </c>
      <c r="K860" s="1">
        <v>43511</v>
      </c>
      <c r="L860" s="2">
        <v>0.57708333333333328</v>
      </c>
      <c r="M860" t="s">
        <v>29</v>
      </c>
      <c r="N860">
        <v>345.54</v>
      </c>
      <c r="O860">
        <v>4.7619047620000003</v>
      </c>
      <c r="P860">
        <v>17.277000000000001</v>
      </c>
      <c r="Q860">
        <v>5.0999999999999996</v>
      </c>
    </row>
    <row r="861" spans="1:17" x14ac:dyDescent="0.3">
      <c r="A861" t="s">
        <v>895</v>
      </c>
      <c r="B861" t="s">
        <v>18</v>
      </c>
      <c r="C861" t="s">
        <v>19</v>
      </c>
      <c r="D861" t="s">
        <v>20</v>
      </c>
      <c r="E861" t="s">
        <v>21</v>
      </c>
      <c r="F861" t="s">
        <v>44</v>
      </c>
      <c r="G861">
        <v>47.63</v>
      </c>
      <c r="H861">
        <v>9</v>
      </c>
      <c r="I861">
        <v>21.433499999999999</v>
      </c>
      <c r="J861">
        <v>450.1035</v>
      </c>
      <c r="K861" s="1">
        <v>43488</v>
      </c>
      <c r="L861" s="2">
        <v>0.52430555555555558</v>
      </c>
      <c r="M861" t="s">
        <v>29</v>
      </c>
      <c r="N861">
        <v>428.67</v>
      </c>
      <c r="O861">
        <v>4.7619047620000003</v>
      </c>
      <c r="P861">
        <v>21.433499999999999</v>
      </c>
      <c r="Q861">
        <v>5</v>
      </c>
    </row>
    <row r="862" spans="1:17" x14ac:dyDescent="0.3">
      <c r="A862" t="s">
        <v>896</v>
      </c>
      <c r="B862" t="s">
        <v>25</v>
      </c>
      <c r="C862" t="s">
        <v>26</v>
      </c>
      <c r="D862" t="s">
        <v>20</v>
      </c>
      <c r="E862" t="s">
        <v>21</v>
      </c>
      <c r="F862" t="s">
        <v>32</v>
      </c>
      <c r="G862">
        <v>86.27</v>
      </c>
      <c r="H862">
        <v>1</v>
      </c>
      <c r="I862">
        <v>4.3135000000000003</v>
      </c>
      <c r="J862">
        <v>90.583500000000001</v>
      </c>
      <c r="K862" s="1">
        <v>43516</v>
      </c>
      <c r="L862" s="2">
        <v>0.55833333333333335</v>
      </c>
      <c r="M862" t="s">
        <v>23</v>
      </c>
      <c r="N862">
        <v>86.27</v>
      </c>
      <c r="O862">
        <v>4.7619047620000003</v>
      </c>
      <c r="P862">
        <v>4.3135000000000003</v>
      </c>
      <c r="Q862">
        <v>7</v>
      </c>
    </row>
    <row r="863" spans="1:17" x14ac:dyDescent="0.3">
      <c r="A863" t="s">
        <v>897</v>
      </c>
      <c r="B863" t="s">
        <v>18</v>
      </c>
      <c r="C863" t="s">
        <v>19</v>
      </c>
      <c r="D863" t="s">
        <v>20</v>
      </c>
      <c r="E863" t="s">
        <v>31</v>
      </c>
      <c r="F863" t="s">
        <v>36</v>
      </c>
      <c r="G863">
        <v>12.76</v>
      </c>
      <c r="H863">
        <v>2</v>
      </c>
      <c r="I863">
        <v>1.276</v>
      </c>
      <c r="J863">
        <v>26.795999999999999</v>
      </c>
      <c r="K863" s="1">
        <v>43473</v>
      </c>
      <c r="L863" s="2">
        <v>0.75416666666666676</v>
      </c>
      <c r="M863" t="s">
        <v>23</v>
      </c>
      <c r="N863">
        <v>25.52</v>
      </c>
      <c r="O863">
        <v>4.7619047620000003</v>
      </c>
      <c r="P863">
        <v>1.276</v>
      </c>
      <c r="Q863">
        <v>7.8</v>
      </c>
    </row>
    <row r="864" spans="1:17" x14ac:dyDescent="0.3">
      <c r="A864" t="s">
        <v>898</v>
      </c>
      <c r="B864" t="s">
        <v>42</v>
      </c>
      <c r="C864" t="s">
        <v>43</v>
      </c>
      <c r="D864" t="s">
        <v>27</v>
      </c>
      <c r="E864" t="s">
        <v>21</v>
      </c>
      <c r="F864" t="s">
        <v>32</v>
      </c>
      <c r="G864">
        <v>11.28</v>
      </c>
      <c r="H864">
        <v>9</v>
      </c>
      <c r="I864">
        <v>5.0759999999999996</v>
      </c>
      <c r="J864">
        <v>106.596</v>
      </c>
      <c r="K864" s="1">
        <v>43541</v>
      </c>
      <c r="L864" s="2">
        <v>0.49652777777777773</v>
      </c>
      <c r="M864" t="s">
        <v>33</v>
      </c>
      <c r="N864">
        <v>101.52</v>
      </c>
      <c r="O864">
        <v>4.7619047620000003</v>
      </c>
      <c r="P864">
        <v>5.0759999999999996</v>
      </c>
      <c r="Q864">
        <v>4.3</v>
      </c>
    </row>
    <row r="865" spans="1:17" x14ac:dyDescent="0.3">
      <c r="A865" t="s">
        <v>899</v>
      </c>
      <c r="B865" t="s">
        <v>42</v>
      </c>
      <c r="C865" t="s">
        <v>43</v>
      </c>
      <c r="D865" t="s">
        <v>27</v>
      </c>
      <c r="E865" t="s">
        <v>21</v>
      </c>
      <c r="F865" t="s">
        <v>32</v>
      </c>
      <c r="G865">
        <v>51.07</v>
      </c>
      <c r="H865">
        <v>7</v>
      </c>
      <c r="I865">
        <v>17.874500000000001</v>
      </c>
      <c r="J865">
        <v>375.36450000000002</v>
      </c>
      <c r="K865" s="1">
        <v>43477</v>
      </c>
      <c r="L865" s="2">
        <v>0.48749999999999999</v>
      </c>
      <c r="M865" t="s">
        <v>29</v>
      </c>
      <c r="N865">
        <v>357.49</v>
      </c>
      <c r="O865">
        <v>4.7619047620000003</v>
      </c>
      <c r="P865">
        <v>17.874500000000001</v>
      </c>
      <c r="Q865">
        <v>7</v>
      </c>
    </row>
    <row r="866" spans="1:17" x14ac:dyDescent="0.3">
      <c r="A866" t="s">
        <v>900</v>
      </c>
      <c r="B866" t="s">
        <v>18</v>
      </c>
      <c r="C866" t="s">
        <v>19</v>
      </c>
      <c r="D866" t="s">
        <v>20</v>
      </c>
      <c r="E866" t="s">
        <v>21</v>
      </c>
      <c r="F866" t="s">
        <v>28</v>
      </c>
      <c r="G866">
        <v>79.59</v>
      </c>
      <c r="H866">
        <v>3</v>
      </c>
      <c r="I866">
        <v>11.938499999999999</v>
      </c>
      <c r="J866">
        <v>250.70849999999999</v>
      </c>
      <c r="K866" s="1">
        <v>43473</v>
      </c>
      <c r="L866" s="2">
        <v>0.60416666666666663</v>
      </c>
      <c r="M866" t="s">
        <v>29</v>
      </c>
      <c r="N866">
        <v>238.77</v>
      </c>
      <c r="O866">
        <v>4.7619047620000003</v>
      </c>
      <c r="P866">
        <v>11.938499999999999</v>
      </c>
      <c r="Q866">
        <v>6.6</v>
      </c>
    </row>
    <row r="867" spans="1:17" x14ac:dyDescent="0.3">
      <c r="A867" t="s">
        <v>901</v>
      </c>
      <c r="B867" t="s">
        <v>25</v>
      </c>
      <c r="C867" t="s">
        <v>26</v>
      </c>
      <c r="D867" t="s">
        <v>20</v>
      </c>
      <c r="E867" t="s">
        <v>31</v>
      </c>
      <c r="F867" t="s">
        <v>22</v>
      </c>
      <c r="G867">
        <v>33.81</v>
      </c>
      <c r="H867">
        <v>3</v>
      </c>
      <c r="I867">
        <v>5.0715000000000003</v>
      </c>
      <c r="J867">
        <v>106.50149999999999</v>
      </c>
      <c r="K867" s="1">
        <v>43491</v>
      </c>
      <c r="L867" s="2">
        <v>0.63263888888888886</v>
      </c>
      <c r="M867" t="s">
        <v>23</v>
      </c>
      <c r="N867">
        <v>101.43</v>
      </c>
      <c r="O867">
        <v>4.7619047620000003</v>
      </c>
      <c r="P867">
        <v>5.0715000000000003</v>
      </c>
      <c r="Q867">
        <v>7.3</v>
      </c>
    </row>
    <row r="868" spans="1:17" x14ac:dyDescent="0.3">
      <c r="A868" t="s">
        <v>902</v>
      </c>
      <c r="B868" t="s">
        <v>42</v>
      </c>
      <c r="C868" t="s">
        <v>43</v>
      </c>
      <c r="D868" t="s">
        <v>20</v>
      </c>
      <c r="E868" t="s">
        <v>31</v>
      </c>
      <c r="F868" t="s">
        <v>36</v>
      </c>
      <c r="G868">
        <v>90.53</v>
      </c>
      <c r="H868">
        <v>8</v>
      </c>
      <c r="I868">
        <v>36.212000000000003</v>
      </c>
      <c r="J868">
        <v>760.452</v>
      </c>
      <c r="K868" s="1">
        <v>43539</v>
      </c>
      <c r="L868" s="2">
        <v>0.6166666666666667</v>
      </c>
      <c r="M868" t="s">
        <v>33</v>
      </c>
      <c r="N868">
        <v>724.24</v>
      </c>
      <c r="O868">
        <v>4.7619047620000003</v>
      </c>
      <c r="P868">
        <v>36.212000000000003</v>
      </c>
      <c r="Q868">
        <v>6.5</v>
      </c>
    </row>
    <row r="869" spans="1:17" x14ac:dyDescent="0.3">
      <c r="A869" t="s">
        <v>903</v>
      </c>
      <c r="B869" t="s">
        <v>25</v>
      </c>
      <c r="C869" t="s">
        <v>26</v>
      </c>
      <c r="D869" t="s">
        <v>20</v>
      </c>
      <c r="E869" t="s">
        <v>21</v>
      </c>
      <c r="F869" t="s">
        <v>22</v>
      </c>
      <c r="G869">
        <v>62.82</v>
      </c>
      <c r="H869">
        <v>2</v>
      </c>
      <c r="I869">
        <v>6.282</v>
      </c>
      <c r="J869">
        <v>131.922</v>
      </c>
      <c r="K869" s="1">
        <v>43482</v>
      </c>
      <c r="L869" s="2">
        <v>0.52500000000000002</v>
      </c>
      <c r="M869" t="s">
        <v>23</v>
      </c>
      <c r="N869">
        <v>125.64</v>
      </c>
      <c r="O869">
        <v>4.7619047620000003</v>
      </c>
      <c r="P869">
        <v>6.282</v>
      </c>
      <c r="Q869">
        <v>4.9000000000000004</v>
      </c>
    </row>
    <row r="870" spans="1:17" x14ac:dyDescent="0.3">
      <c r="A870" t="s">
        <v>904</v>
      </c>
      <c r="B870" t="s">
        <v>25</v>
      </c>
      <c r="C870" t="s">
        <v>26</v>
      </c>
      <c r="D870" t="s">
        <v>20</v>
      </c>
      <c r="E870" t="s">
        <v>31</v>
      </c>
      <c r="F870" t="s">
        <v>44</v>
      </c>
      <c r="G870">
        <v>24.31</v>
      </c>
      <c r="H870">
        <v>3</v>
      </c>
      <c r="I870">
        <v>3.6465000000000001</v>
      </c>
      <c r="J870">
        <v>76.576499999999996</v>
      </c>
      <c r="K870" s="1">
        <v>43473</v>
      </c>
      <c r="L870" s="2">
        <v>0.79791666666666661</v>
      </c>
      <c r="M870" t="s">
        <v>33</v>
      </c>
      <c r="N870">
        <v>72.930000000000007</v>
      </c>
      <c r="O870">
        <v>4.7619047620000003</v>
      </c>
      <c r="P870">
        <v>3.6465000000000001</v>
      </c>
      <c r="Q870">
        <v>4.3</v>
      </c>
    </row>
    <row r="871" spans="1:17" x14ac:dyDescent="0.3">
      <c r="A871" t="s">
        <v>905</v>
      </c>
      <c r="B871" t="s">
        <v>18</v>
      </c>
      <c r="C871" t="s">
        <v>19</v>
      </c>
      <c r="D871" t="s">
        <v>27</v>
      </c>
      <c r="E871" t="s">
        <v>31</v>
      </c>
      <c r="F871" t="s">
        <v>36</v>
      </c>
      <c r="G871">
        <v>64.59</v>
      </c>
      <c r="H871">
        <v>4</v>
      </c>
      <c r="I871">
        <v>12.917999999999999</v>
      </c>
      <c r="J871">
        <v>271.27800000000002</v>
      </c>
      <c r="K871" s="1">
        <v>43471</v>
      </c>
      <c r="L871" s="2">
        <v>0.56597222222222221</v>
      </c>
      <c r="M871" t="s">
        <v>23</v>
      </c>
      <c r="N871">
        <v>258.36</v>
      </c>
      <c r="O871">
        <v>4.7619047620000003</v>
      </c>
      <c r="P871">
        <v>12.917999999999999</v>
      </c>
      <c r="Q871">
        <v>9.3000000000000007</v>
      </c>
    </row>
    <row r="872" spans="1:17" x14ac:dyDescent="0.3">
      <c r="A872" t="s">
        <v>906</v>
      </c>
      <c r="B872" t="s">
        <v>18</v>
      </c>
      <c r="C872" t="s">
        <v>19</v>
      </c>
      <c r="D872" t="s">
        <v>20</v>
      </c>
      <c r="E872" t="s">
        <v>31</v>
      </c>
      <c r="F872" t="s">
        <v>44</v>
      </c>
      <c r="G872">
        <v>24.82</v>
      </c>
      <c r="H872">
        <v>7</v>
      </c>
      <c r="I872">
        <v>8.6869999999999994</v>
      </c>
      <c r="J872">
        <v>182.42699999999999</v>
      </c>
      <c r="K872" s="1">
        <v>43512</v>
      </c>
      <c r="L872" s="2">
        <v>0.43958333333333338</v>
      </c>
      <c r="M872" t="s">
        <v>33</v>
      </c>
      <c r="N872">
        <v>173.74</v>
      </c>
      <c r="O872">
        <v>4.7619047620000003</v>
      </c>
      <c r="P872">
        <v>8.6869999999999994</v>
      </c>
      <c r="Q872">
        <v>7.1</v>
      </c>
    </row>
    <row r="873" spans="1:17" x14ac:dyDescent="0.3">
      <c r="A873" t="s">
        <v>907</v>
      </c>
      <c r="B873" t="s">
        <v>25</v>
      </c>
      <c r="C873" t="s">
        <v>26</v>
      </c>
      <c r="D873" t="s">
        <v>27</v>
      </c>
      <c r="E873" t="s">
        <v>31</v>
      </c>
      <c r="F873" t="s">
        <v>46</v>
      </c>
      <c r="G873">
        <v>56.5</v>
      </c>
      <c r="H873">
        <v>1</v>
      </c>
      <c r="I873">
        <v>2.8250000000000002</v>
      </c>
      <c r="J873">
        <v>59.325000000000003</v>
      </c>
      <c r="K873" s="1">
        <v>43537</v>
      </c>
      <c r="L873" s="2">
        <v>0.65625</v>
      </c>
      <c r="M873" t="s">
        <v>23</v>
      </c>
      <c r="N873">
        <v>56.5</v>
      </c>
      <c r="O873">
        <v>4.7619047620000003</v>
      </c>
      <c r="P873">
        <v>2.8250000000000002</v>
      </c>
      <c r="Q873">
        <v>9.6</v>
      </c>
    </row>
    <row r="874" spans="1:17" x14ac:dyDescent="0.3">
      <c r="A874" t="s">
        <v>908</v>
      </c>
      <c r="B874" t="s">
        <v>42</v>
      </c>
      <c r="C874" t="s">
        <v>43</v>
      </c>
      <c r="D874" t="s">
        <v>20</v>
      </c>
      <c r="E874" t="s">
        <v>21</v>
      </c>
      <c r="F874" t="s">
        <v>28</v>
      </c>
      <c r="G874">
        <v>21.43</v>
      </c>
      <c r="H874">
        <v>10</v>
      </c>
      <c r="I874">
        <v>10.715</v>
      </c>
      <c r="J874">
        <v>225.01499999999999</v>
      </c>
      <c r="K874" s="1">
        <v>43493</v>
      </c>
      <c r="L874" s="2">
        <v>0.49374999999999997</v>
      </c>
      <c r="M874" t="s">
        <v>29</v>
      </c>
      <c r="N874">
        <v>214.3</v>
      </c>
      <c r="O874">
        <v>4.7619047620000003</v>
      </c>
      <c r="P874">
        <v>10.715</v>
      </c>
      <c r="Q874">
        <v>6.2</v>
      </c>
    </row>
    <row r="875" spans="1:17" x14ac:dyDescent="0.3">
      <c r="A875" t="s">
        <v>909</v>
      </c>
      <c r="B875" t="s">
        <v>18</v>
      </c>
      <c r="C875" t="s">
        <v>19</v>
      </c>
      <c r="D875" t="s">
        <v>20</v>
      </c>
      <c r="E875" t="s">
        <v>31</v>
      </c>
      <c r="F875" t="s">
        <v>36</v>
      </c>
      <c r="G875">
        <v>89.06</v>
      </c>
      <c r="H875">
        <v>6</v>
      </c>
      <c r="I875">
        <v>26.718</v>
      </c>
      <c r="J875">
        <v>561.07799999999997</v>
      </c>
      <c r="K875" s="1">
        <v>43483</v>
      </c>
      <c r="L875" s="2">
        <v>0.72638888888888886</v>
      </c>
      <c r="M875" t="s">
        <v>29</v>
      </c>
      <c r="N875">
        <v>534.36</v>
      </c>
      <c r="O875">
        <v>4.7619047620000003</v>
      </c>
      <c r="P875">
        <v>26.718</v>
      </c>
      <c r="Q875">
        <v>9.9</v>
      </c>
    </row>
    <row r="876" spans="1:17" x14ac:dyDescent="0.3">
      <c r="A876" t="s">
        <v>910</v>
      </c>
      <c r="B876" t="s">
        <v>18</v>
      </c>
      <c r="C876" t="s">
        <v>19</v>
      </c>
      <c r="D876" t="s">
        <v>20</v>
      </c>
      <c r="E876" t="s">
        <v>31</v>
      </c>
      <c r="F876" t="s">
        <v>32</v>
      </c>
      <c r="G876">
        <v>23.29</v>
      </c>
      <c r="H876">
        <v>4</v>
      </c>
      <c r="I876">
        <v>4.6580000000000004</v>
      </c>
      <c r="J876">
        <v>97.817999999999998</v>
      </c>
      <c r="K876" s="1">
        <v>43543</v>
      </c>
      <c r="L876" s="2">
        <v>0.49444444444444446</v>
      </c>
      <c r="M876" t="s">
        <v>33</v>
      </c>
      <c r="N876">
        <v>93.16</v>
      </c>
      <c r="O876">
        <v>4.7619047620000003</v>
      </c>
      <c r="P876">
        <v>4.6580000000000004</v>
      </c>
      <c r="Q876">
        <v>5.9</v>
      </c>
    </row>
    <row r="877" spans="1:17" x14ac:dyDescent="0.3">
      <c r="A877" t="s">
        <v>911</v>
      </c>
      <c r="B877" t="s">
        <v>25</v>
      </c>
      <c r="C877" t="s">
        <v>26</v>
      </c>
      <c r="D877" t="s">
        <v>27</v>
      </c>
      <c r="E877" t="s">
        <v>31</v>
      </c>
      <c r="F877" t="s">
        <v>32</v>
      </c>
      <c r="G877">
        <v>65.260000000000005</v>
      </c>
      <c r="H877">
        <v>8</v>
      </c>
      <c r="I877">
        <v>26.103999999999999</v>
      </c>
      <c r="J877">
        <v>548.18399999999997</v>
      </c>
      <c r="K877" s="1">
        <v>43539</v>
      </c>
      <c r="L877" s="2">
        <v>0.58611111111111114</v>
      </c>
      <c r="M877" t="s">
        <v>23</v>
      </c>
      <c r="N877">
        <v>522.08000000000004</v>
      </c>
      <c r="O877">
        <v>4.7619047620000003</v>
      </c>
      <c r="P877">
        <v>26.103999999999999</v>
      </c>
      <c r="Q877">
        <v>6.3</v>
      </c>
    </row>
    <row r="878" spans="1:17" x14ac:dyDescent="0.3">
      <c r="A878" t="s">
        <v>912</v>
      </c>
      <c r="B878" t="s">
        <v>25</v>
      </c>
      <c r="C878" t="s">
        <v>26</v>
      </c>
      <c r="D878" t="s">
        <v>20</v>
      </c>
      <c r="E878" t="s">
        <v>31</v>
      </c>
      <c r="F878" t="s">
        <v>46</v>
      </c>
      <c r="G878">
        <v>52.35</v>
      </c>
      <c r="H878">
        <v>1</v>
      </c>
      <c r="I878">
        <v>2.6175000000000002</v>
      </c>
      <c r="J878">
        <v>54.967500000000001</v>
      </c>
      <c r="K878" s="1">
        <v>43508</v>
      </c>
      <c r="L878" s="2">
        <v>0.74236111111111114</v>
      </c>
      <c r="M878" t="s">
        <v>29</v>
      </c>
      <c r="N878">
        <v>52.35</v>
      </c>
      <c r="O878">
        <v>4.7619047620000003</v>
      </c>
      <c r="P878">
        <v>2.6175000000000002</v>
      </c>
      <c r="Q878">
        <v>4</v>
      </c>
    </row>
    <row r="879" spans="1:17" x14ac:dyDescent="0.3">
      <c r="A879" t="s">
        <v>913</v>
      </c>
      <c r="B879" t="s">
        <v>42</v>
      </c>
      <c r="C879" t="s">
        <v>43</v>
      </c>
      <c r="D879" t="s">
        <v>20</v>
      </c>
      <c r="E879" t="s">
        <v>31</v>
      </c>
      <c r="F879" t="s">
        <v>28</v>
      </c>
      <c r="G879">
        <v>39.75</v>
      </c>
      <c r="H879">
        <v>1</v>
      </c>
      <c r="I879">
        <v>1.9875</v>
      </c>
      <c r="J879">
        <v>41.737499999999997</v>
      </c>
      <c r="K879" s="1">
        <v>43521</v>
      </c>
      <c r="L879" s="2">
        <v>0.84652777777777777</v>
      </c>
      <c r="M879" t="s">
        <v>29</v>
      </c>
      <c r="N879">
        <v>39.75</v>
      </c>
      <c r="O879">
        <v>4.7619047620000003</v>
      </c>
      <c r="P879">
        <v>1.9875</v>
      </c>
      <c r="Q879">
        <v>6.1</v>
      </c>
    </row>
    <row r="880" spans="1:17" x14ac:dyDescent="0.3">
      <c r="A880" t="s">
        <v>914</v>
      </c>
      <c r="B880" t="s">
        <v>18</v>
      </c>
      <c r="C880" t="s">
        <v>19</v>
      </c>
      <c r="D880" t="s">
        <v>27</v>
      </c>
      <c r="E880" t="s">
        <v>21</v>
      </c>
      <c r="F880" t="s">
        <v>28</v>
      </c>
      <c r="G880">
        <v>90.02</v>
      </c>
      <c r="H880">
        <v>8</v>
      </c>
      <c r="I880">
        <v>36.008000000000003</v>
      </c>
      <c r="J880">
        <v>756.16800000000001</v>
      </c>
      <c r="K880" s="1">
        <v>43545</v>
      </c>
      <c r="L880" s="2">
        <v>0.67222222222222217</v>
      </c>
      <c r="M880" t="s">
        <v>33</v>
      </c>
      <c r="N880">
        <v>720.16</v>
      </c>
      <c r="O880">
        <v>4.7619047620000003</v>
      </c>
      <c r="P880">
        <v>36.008000000000003</v>
      </c>
      <c r="Q880">
        <v>4.5</v>
      </c>
    </row>
    <row r="881" spans="1:17" x14ac:dyDescent="0.3">
      <c r="A881" t="s">
        <v>915</v>
      </c>
      <c r="B881" t="s">
        <v>42</v>
      </c>
      <c r="C881" t="s">
        <v>43</v>
      </c>
      <c r="D881" t="s">
        <v>20</v>
      </c>
      <c r="E881" t="s">
        <v>21</v>
      </c>
      <c r="F881" t="s">
        <v>28</v>
      </c>
      <c r="G881">
        <v>12.1</v>
      </c>
      <c r="H881">
        <v>8</v>
      </c>
      <c r="I881">
        <v>4.84</v>
      </c>
      <c r="J881">
        <v>101.64</v>
      </c>
      <c r="K881" s="1">
        <v>43484</v>
      </c>
      <c r="L881" s="2">
        <v>0.4284722222222222</v>
      </c>
      <c r="M881" t="s">
        <v>23</v>
      </c>
      <c r="N881">
        <v>96.8</v>
      </c>
      <c r="O881">
        <v>4.7619047620000003</v>
      </c>
      <c r="P881">
        <v>4.84</v>
      </c>
      <c r="Q881">
        <v>8.6</v>
      </c>
    </row>
    <row r="882" spans="1:17" x14ac:dyDescent="0.3">
      <c r="A882" t="s">
        <v>916</v>
      </c>
      <c r="B882" t="s">
        <v>42</v>
      </c>
      <c r="C882" t="s">
        <v>43</v>
      </c>
      <c r="D882" t="s">
        <v>20</v>
      </c>
      <c r="E882" t="s">
        <v>21</v>
      </c>
      <c r="F882" t="s">
        <v>44</v>
      </c>
      <c r="G882">
        <v>33.21</v>
      </c>
      <c r="H882">
        <v>10</v>
      </c>
      <c r="I882">
        <v>16.605</v>
      </c>
      <c r="J882">
        <v>348.70499999999998</v>
      </c>
      <c r="K882" s="1">
        <v>43473</v>
      </c>
      <c r="L882" s="2">
        <v>0.60069444444444442</v>
      </c>
      <c r="M882" t="s">
        <v>23</v>
      </c>
      <c r="N882">
        <v>332.1</v>
      </c>
      <c r="O882">
        <v>4.7619047620000003</v>
      </c>
      <c r="P882">
        <v>16.605</v>
      </c>
      <c r="Q882">
        <v>6</v>
      </c>
    </row>
    <row r="883" spans="1:17" x14ac:dyDescent="0.3">
      <c r="A883" t="s">
        <v>917</v>
      </c>
      <c r="B883" t="s">
        <v>25</v>
      </c>
      <c r="C883" t="s">
        <v>26</v>
      </c>
      <c r="D883" t="s">
        <v>20</v>
      </c>
      <c r="E883" t="s">
        <v>21</v>
      </c>
      <c r="F883" t="s">
        <v>46</v>
      </c>
      <c r="G883">
        <v>10.18</v>
      </c>
      <c r="H883">
        <v>8</v>
      </c>
      <c r="I883">
        <v>4.0720000000000001</v>
      </c>
      <c r="J883">
        <v>85.512</v>
      </c>
      <c r="K883" s="1">
        <v>43554</v>
      </c>
      <c r="L883" s="2">
        <v>0.53541666666666665</v>
      </c>
      <c r="M883" t="s">
        <v>33</v>
      </c>
      <c r="N883">
        <v>81.44</v>
      </c>
      <c r="O883">
        <v>4.7619047620000003</v>
      </c>
      <c r="P883">
        <v>4.0720000000000001</v>
      </c>
      <c r="Q883">
        <v>9.5</v>
      </c>
    </row>
    <row r="884" spans="1:17" x14ac:dyDescent="0.3">
      <c r="A884" t="s">
        <v>918</v>
      </c>
      <c r="B884" t="s">
        <v>42</v>
      </c>
      <c r="C884" t="s">
        <v>43</v>
      </c>
      <c r="D884" t="s">
        <v>20</v>
      </c>
      <c r="E884" t="s">
        <v>31</v>
      </c>
      <c r="F884" t="s">
        <v>36</v>
      </c>
      <c r="G884">
        <v>31.99</v>
      </c>
      <c r="H884">
        <v>10</v>
      </c>
      <c r="I884">
        <v>15.994999999999999</v>
      </c>
      <c r="J884">
        <v>335.89499999999998</v>
      </c>
      <c r="K884" s="1">
        <v>43516</v>
      </c>
      <c r="L884" s="2">
        <v>0.63750000000000007</v>
      </c>
      <c r="M884" t="s">
        <v>33</v>
      </c>
      <c r="N884">
        <v>319.89999999999998</v>
      </c>
      <c r="O884">
        <v>4.7619047620000003</v>
      </c>
      <c r="P884">
        <v>15.994999999999999</v>
      </c>
      <c r="Q884">
        <v>9.9</v>
      </c>
    </row>
    <row r="885" spans="1:17" x14ac:dyDescent="0.3">
      <c r="A885" t="s">
        <v>919</v>
      </c>
      <c r="B885" t="s">
        <v>18</v>
      </c>
      <c r="C885" t="s">
        <v>19</v>
      </c>
      <c r="D885" t="s">
        <v>20</v>
      </c>
      <c r="E885" t="s">
        <v>21</v>
      </c>
      <c r="F885" t="s">
        <v>32</v>
      </c>
      <c r="G885">
        <v>34.42</v>
      </c>
      <c r="H885">
        <v>6</v>
      </c>
      <c r="I885">
        <v>10.326000000000001</v>
      </c>
      <c r="J885">
        <v>216.846</v>
      </c>
      <c r="K885" s="1">
        <v>43554</v>
      </c>
      <c r="L885" s="2">
        <v>0.53125</v>
      </c>
      <c r="M885" t="s">
        <v>23</v>
      </c>
      <c r="N885">
        <v>206.52</v>
      </c>
      <c r="O885">
        <v>4.7619047620000003</v>
      </c>
      <c r="P885">
        <v>10.326000000000001</v>
      </c>
      <c r="Q885">
        <v>7.5</v>
      </c>
    </row>
    <row r="886" spans="1:17" x14ac:dyDescent="0.3">
      <c r="A886" t="s">
        <v>920</v>
      </c>
      <c r="B886" t="s">
        <v>18</v>
      </c>
      <c r="C886" t="s">
        <v>19</v>
      </c>
      <c r="D886" t="s">
        <v>20</v>
      </c>
      <c r="E886" t="s">
        <v>21</v>
      </c>
      <c r="F886" t="s">
        <v>44</v>
      </c>
      <c r="G886">
        <v>83.34</v>
      </c>
      <c r="H886">
        <v>2</v>
      </c>
      <c r="I886">
        <v>8.3339999999999996</v>
      </c>
      <c r="J886">
        <v>175.01400000000001</v>
      </c>
      <c r="K886" s="1">
        <v>43543</v>
      </c>
      <c r="L886" s="2">
        <v>0.56736111111111109</v>
      </c>
      <c r="M886" t="s">
        <v>29</v>
      </c>
      <c r="N886">
        <v>166.68</v>
      </c>
      <c r="O886">
        <v>4.7619047620000003</v>
      </c>
      <c r="P886">
        <v>8.3339999999999996</v>
      </c>
      <c r="Q886">
        <v>7.6</v>
      </c>
    </row>
    <row r="887" spans="1:17" x14ac:dyDescent="0.3">
      <c r="A887" t="s">
        <v>921</v>
      </c>
      <c r="B887" t="s">
        <v>18</v>
      </c>
      <c r="C887" t="s">
        <v>19</v>
      </c>
      <c r="D887" t="s">
        <v>27</v>
      </c>
      <c r="E887" t="s">
        <v>31</v>
      </c>
      <c r="F887" t="s">
        <v>36</v>
      </c>
      <c r="G887">
        <v>45.58</v>
      </c>
      <c r="H887">
        <v>7</v>
      </c>
      <c r="I887">
        <v>15.952999999999999</v>
      </c>
      <c r="J887">
        <v>335.01299999999998</v>
      </c>
      <c r="K887" s="1">
        <v>43478</v>
      </c>
      <c r="L887" s="2">
        <v>0.41875000000000001</v>
      </c>
      <c r="M887" t="s">
        <v>29</v>
      </c>
      <c r="N887">
        <v>319.06</v>
      </c>
      <c r="O887">
        <v>4.7619047620000003</v>
      </c>
      <c r="P887">
        <v>15.952999999999999</v>
      </c>
      <c r="Q887">
        <v>5</v>
      </c>
    </row>
    <row r="888" spans="1:17" x14ac:dyDescent="0.3">
      <c r="A888" t="s">
        <v>922</v>
      </c>
      <c r="B888" t="s">
        <v>18</v>
      </c>
      <c r="C888" t="s">
        <v>19</v>
      </c>
      <c r="D888" t="s">
        <v>20</v>
      </c>
      <c r="E888" t="s">
        <v>31</v>
      </c>
      <c r="F888" t="s">
        <v>44</v>
      </c>
      <c r="G888">
        <v>87.9</v>
      </c>
      <c r="H888">
        <v>1</v>
      </c>
      <c r="I888">
        <v>4.3949999999999996</v>
      </c>
      <c r="J888">
        <v>92.295000000000002</v>
      </c>
      <c r="K888" s="1">
        <v>43501</v>
      </c>
      <c r="L888" s="2">
        <v>0.8208333333333333</v>
      </c>
      <c r="M888" t="s">
        <v>23</v>
      </c>
      <c r="N888">
        <v>87.9</v>
      </c>
      <c r="O888">
        <v>4.7619047620000003</v>
      </c>
      <c r="P888">
        <v>4.3949999999999996</v>
      </c>
      <c r="Q888">
        <v>6.7</v>
      </c>
    </row>
    <row r="889" spans="1:17" x14ac:dyDescent="0.3">
      <c r="A889" t="s">
        <v>923</v>
      </c>
      <c r="B889" t="s">
        <v>18</v>
      </c>
      <c r="C889" t="s">
        <v>19</v>
      </c>
      <c r="D889" t="s">
        <v>20</v>
      </c>
      <c r="E889" t="s">
        <v>21</v>
      </c>
      <c r="F889" t="s">
        <v>28</v>
      </c>
      <c r="G889">
        <v>73.47</v>
      </c>
      <c r="H889">
        <v>10</v>
      </c>
      <c r="I889">
        <v>36.734999999999999</v>
      </c>
      <c r="J889">
        <v>771.43499999999995</v>
      </c>
      <c r="K889" s="1">
        <v>43547</v>
      </c>
      <c r="L889" s="2">
        <v>0.55138888888888882</v>
      </c>
      <c r="M889" t="s">
        <v>23</v>
      </c>
      <c r="N889">
        <v>734.7</v>
      </c>
      <c r="O889">
        <v>4.7619047620000003</v>
      </c>
      <c r="P889">
        <v>36.734999999999999</v>
      </c>
      <c r="Q889">
        <v>9.5</v>
      </c>
    </row>
    <row r="890" spans="1:17" x14ac:dyDescent="0.3">
      <c r="A890" t="s">
        <v>924</v>
      </c>
      <c r="B890" t="s">
        <v>25</v>
      </c>
      <c r="C890" t="s">
        <v>26</v>
      </c>
      <c r="D890" t="s">
        <v>27</v>
      </c>
      <c r="E890" t="s">
        <v>21</v>
      </c>
      <c r="F890" t="s">
        <v>46</v>
      </c>
      <c r="G890">
        <v>12.19</v>
      </c>
      <c r="H890">
        <v>8</v>
      </c>
      <c r="I890">
        <v>4.8760000000000003</v>
      </c>
      <c r="J890">
        <v>102.396</v>
      </c>
      <c r="K890" s="1">
        <v>43537</v>
      </c>
      <c r="L890" s="2">
        <v>0.53263888888888888</v>
      </c>
      <c r="M890" t="s">
        <v>23</v>
      </c>
      <c r="N890">
        <v>97.52</v>
      </c>
      <c r="O890">
        <v>4.7619047620000003</v>
      </c>
      <c r="P890">
        <v>4.8760000000000003</v>
      </c>
      <c r="Q890">
        <v>6.8</v>
      </c>
    </row>
    <row r="891" spans="1:17" x14ac:dyDescent="0.3">
      <c r="A891" t="s">
        <v>925</v>
      </c>
      <c r="B891" t="s">
        <v>18</v>
      </c>
      <c r="C891" t="s">
        <v>19</v>
      </c>
      <c r="D891" t="s">
        <v>20</v>
      </c>
      <c r="E891" t="s">
        <v>31</v>
      </c>
      <c r="F891" t="s">
        <v>36</v>
      </c>
      <c r="G891">
        <v>76.92</v>
      </c>
      <c r="H891">
        <v>10</v>
      </c>
      <c r="I891">
        <v>38.46</v>
      </c>
      <c r="J891">
        <v>807.66</v>
      </c>
      <c r="K891" s="1">
        <v>43541</v>
      </c>
      <c r="L891" s="2">
        <v>0.82847222222222217</v>
      </c>
      <c r="M891" t="s">
        <v>23</v>
      </c>
      <c r="N891">
        <v>769.2</v>
      </c>
      <c r="O891">
        <v>4.7619047620000003</v>
      </c>
      <c r="P891">
        <v>38.46</v>
      </c>
      <c r="Q891">
        <v>5.6</v>
      </c>
    </row>
    <row r="892" spans="1:17" x14ac:dyDescent="0.3">
      <c r="A892" t="s">
        <v>926</v>
      </c>
      <c r="B892" t="s">
        <v>25</v>
      </c>
      <c r="C892" t="s">
        <v>26</v>
      </c>
      <c r="D892" t="s">
        <v>27</v>
      </c>
      <c r="E892" t="s">
        <v>21</v>
      </c>
      <c r="F892" t="s">
        <v>22</v>
      </c>
      <c r="G892">
        <v>83.66</v>
      </c>
      <c r="H892">
        <v>5</v>
      </c>
      <c r="I892">
        <v>20.914999999999999</v>
      </c>
      <c r="J892">
        <v>439.21499999999997</v>
      </c>
      <c r="K892" s="1">
        <v>43517</v>
      </c>
      <c r="L892" s="2">
        <v>0.43472222222222223</v>
      </c>
      <c r="M892" t="s">
        <v>29</v>
      </c>
      <c r="N892">
        <v>418.3</v>
      </c>
      <c r="O892">
        <v>4.7619047620000003</v>
      </c>
      <c r="P892">
        <v>20.914999999999999</v>
      </c>
      <c r="Q892">
        <v>7.2</v>
      </c>
    </row>
    <row r="893" spans="1:17" x14ac:dyDescent="0.3">
      <c r="A893" t="s">
        <v>927</v>
      </c>
      <c r="B893" t="s">
        <v>42</v>
      </c>
      <c r="C893" t="s">
        <v>43</v>
      </c>
      <c r="D893" t="s">
        <v>27</v>
      </c>
      <c r="E893" t="s">
        <v>21</v>
      </c>
      <c r="F893" t="s">
        <v>28</v>
      </c>
      <c r="G893">
        <v>57.91</v>
      </c>
      <c r="H893">
        <v>8</v>
      </c>
      <c r="I893">
        <v>23.164000000000001</v>
      </c>
      <c r="J893">
        <v>486.44400000000002</v>
      </c>
      <c r="K893" s="1">
        <v>43503</v>
      </c>
      <c r="L893" s="2">
        <v>0.62916666666666665</v>
      </c>
      <c r="M893" t="s">
        <v>29</v>
      </c>
      <c r="N893">
        <v>463.28</v>
      </c>
      <c r="O893">
        <v>4.7619047620000003</v>
      </c>
      <c r="P893">
        <v>23.164000000000001</v>
      </c>
      <c r="Q893">
        <v>8.1</v>
      </c>
    </row>
    <row r="894" spans="1:17" x14ac:dyDescent="0.3">
      <c r="A894" t="s">
        <v>928</v>
      </c>
      <c r="B894" t="s">
        <v>25</v>
      </c>
      <c r="C894" t="s">
        <v>26</v>
      </c>
      <c r="D894" t="s">
        <v>20</v>
      </c>
      <c r="E894" t="s">
        <v>21</v>
      </c>
      <c r="F894" t="s">
        <v>46</v>
      </c>
      <c r="G894">
        <v>92.49</v>
      </c>
      <c r="H894">
        <v>5</v>
      </c>
      <c r="I894">
        <v>23.122499999999999</v>
      </c>
      <c r="J894">
        <v>485.57249999999999</v>
      </c>
      <c r="K894" s="1">
        <v>43526</v>
      </c>
      <c r="L894" s="2">
        <v>0.69097222222222221</v>
      </c>
      <c r="M894" t="s">
        <v>33</v>
      </c>
      <c r="N894">
        <v>462.45</v>
      </c>
      <c r="O894">
        <v>4.7619047620000003</v>
      </c>
      <c r="P894">
        <v>23.122499999999999</v>
      </c>
      <c r="Q894">
        <v>8.6</v>
      </c>
    </row>
    <row r="895" spans="1:17" x14ac:dyDescent="0.3">
      <c r="A895" t="s">
        <v>929</v>
      </c>
      <c r="B895" t="s">
        <v>42</v>
      </c>
      <c r="C895" t="s">
        <v>43</v>
      </c>
      <c r="D895" t="s">
        <v>27</v>
      </c>
      <c r="E895" t="s">
        <v>31</v>
      </c>
      <c r="F895" t="s">
        <v>28</v>
      </c>
      <c r="G895">
        <v>28.38</v>
      </c>
      <c r="H895">
        <v>5</v>
      </c>
      <c r="I895">
        <v>7.0949999999999998</v>
      </c>
      <c r="J895">
        <v>148.995</v>
      </c>
      <c r="K895" s="1">
        <v>43530</v>
      </c>
      <c r="L895" s="2">
        <v>0.87291666666666667</v>
      </c>
      <c r="M895" t="s">
        <v>29</v>
      </c>
      <c r="N895">
        <v>141.9</v>
      </c>
      <c r="O895">
        <v>4.7619047620000003</v>
      </c>
      <c r="P895">
        <v>7.0949999999999998</v>
      </c>
      <c r="Q895">
        <v>9.4</v>
      </c>
    </row>
    <row r="896" spans="1:17" x14ac:dyDescent="0.3">
      <c r="A896" t="s">
        <v>930</v>
      </c>
      <c r="B896" t="s">
        <v>42</v>
      </c>
      <c r="C896" t="s">
        <v>43</v>
      </c>
      <c r="D896" t="s">
        <v>20</v>
      </c>
      <c r="E896" t="s">
        <v>31</v>
      </c>
      <c r="F896" t="s">
        <v>28</v>
      </c>
      <c r="G896">
        <v>50.45</v>
      </c>
      <c r="H896">
        <v>6</v>
      </c>
      <c r="I896">
        <v>15.135</v>
      </c>
      <c r="J896">
        <v>317.83499999999998</v>
      </c>
      <c r="K896" s="1">
        <v>43502</v>
      </c>
      <c r="L896" s="2">
        <v>0.63611111111111118</v>
      </c>
      <c r="M896" t="s">
        <v>33</v>
      </c>
      <c r="N896">
        <v>302.7</v>
      </c>
      <c r="O896">
        <v>4.7619047620000003</v>
      </c>
      <c r="P896">
        <v>15.135</v>
      </c>
      <c r="Q896">
        <v>8.9</v>
      </c>
    </row>
    <row r="897" spans="1:17" x14ac:dyDescent="0.3">
      <c r="A897" t="s">
        <v>931</v>
      </c>
      <c r="B897" t="s">
        <v>42</v>
      </c>
      <c r="C897" t="s">
        <v>43</v>
      </c>
      <c r="D897" t="s">
        <v>27</v>
      </c>
      <c r="E897" t="s">
        <v>31</v>
      </c>
      <c r="F897" t="s">
        <v>22</v>
      </c>
      <c r="G897">
        <v>99.16</v>
      </c>
      <c r="H897">
        <v>8</v>
      </c>
      <c r="I897">
        <v>39.664000000000001</v>
      </c>
      <c r="J897">
        <v>832.94399999999996</v>
      </c>
      <c r="K897" s="1">
        <v>43493</v>
      </c>
      <c r="L897" s="2">
        <v>0.74097222222222225</v>
      </c>
      <c r="M897" t="s">
        <v>33</v>
      </c>
      <c r="N897">
        <v>793.28</v>
      </c>
      <c r="O897">
        <v>4.7619047620000003</v>
      </c>
      <c r="P897">
        <v>39.664000000000001</v>
      </c>
      <c r="Q897">
        <v>4.2</v>
      </c>
    </row>
    <row r="898" spans="1:17" x14ac:dyDescent="0.3">
      <c r="A898" t="s">
        <v>932</v>
      </c>
      <c r="B898" t="s">
        <v>25</v>
      </c>
      <c r="C898" t="s">
        <v>26</v>
      </c>
      <c r="D898" t="s">
        <v>27</v>
      </c>
      <c r="E898" t="s">
        <v>31</v>
      </c>
      <c r="F898" t="s">
        <v>46</v>
      </c>
      <c r="G898">
        <v>60.74</v>
      </c>
      <c r="H898">
        <v>7</v>
      </c>
      <c r="I898">
        <v>21.259</v>
      </c>
      <c r="J898">
        <v>446.43900000000002</v>
      </c>
      <c r="K898" s="1">
        <v>43483</v>
      </c>
      <c r="L898" s="2">
        <v>0.68263888888888891</v>
      </c>
      <c r="M898" t="s">
        <v>23</v>
      </c>
      <c r="N898">
        <v>425.18</v>
      </c>
      <c r="O898">
        <v>4.7619047620000003</v>
      </c>
      <c r="P898">
        <v>21.259</v>
      </c>
      <c r="Q898">
        <v>5</v>
      </c>
    </row>
    <row r="899" spans="1:17" x14ac:dyDescent="0.3">
      <c r="A899" t="s">
        <v>933</v>
      </c>
      <c r="B899" t="s">
        <v>25</v>
      </c>
      <c r="C899" t="s">
        <v>26</v>
      </c>
      <c r="D899" t="s">
        <v>20</v>
      </c>
      <c r="E899" t="s">
        <v>21</v>
      </c>
      <c r="F899" t="s">
        <v>44</v>
      </c>
      <c r="G899">
        <v>47.27</v>
      </c>
      <c r="H899">
        <v>6</v>
      </c>
      <c r="I899">
        <v>14.180999999999999</v>
      </c>
      <c r="J899">
        <v>297.80099999999999</v>
      </c>
      <c r="K899" s="1">
        <v>43501</v>
      </c>
      <c r="L899" s="2">
        <v>0.4284722222222222</v>
      </c>
      <c r="M899" t="s">
        <v>29</v>
      </c>
      <c r="N899">
        <v>283.62</v>
      </c>
      <c r="O899">
        <v>4.7619047620000003</v>
      </c>
      <c r="P899">
        <v>14.180999999999999</v>
      </c>
      <c r="Q899">
        <v>8.8000000000000007</v>
      </c>
    </row>
    <row r="900" spans="1:17" x14ac:dyDescent="0.3">
      <c r="A900" t="s">
        <v>934</v>
      </c>
      <c r="B900" t="s">
        <v>25</v>
      </c>
      <c r="C900" t="s">
        <v>26</v>
      </c>
      <c r="D900" t="s">
        <v>20</v>
      </c>
      <c r="E900" t="s">
        <v>31</v>
      </c>
      <c r="F900" t="s">
        <v>22</v>
      </c>
      <c r="G900">
        <v>85.6</v>
      </c>
      <c r="H900">
        <v>7</v>
      </c>
      <c r="I900">
        <v>29.96</v>
      </c>
      <c r="J900">
        <v>629.16</v>
      </c>
      <c r="K900" s="1">
        <v>43526</v>
      </c>
      <c r="L900" s="2">
        <v>0.57638888888888895</v>
      </c>
      <c r="M900" t="s">
        <v>29</v>
      </c>
      <c r="N900">
        <v>599.20000000000005</v>
      </c>
      <c r="O900">
        <v>4.7619047620000003</v>
      </c>
      <c r="P900">
        <v>29.96</v>
      </c>
      <c r="Q900">
        <v>5.3</v>
      </c>
    </row>
    <row r="901" spans="1:17" x14ac:dyDescent="0.3">
      <c r="A901" t="s">
        <v>935</v>
      </c>
      <c r="B901" t="s">
        <v>18</v>
      </c>
      <c r="C901" t="s">
        <v>19</v>
      </c>
      <c r="D901" t="s">
        <v>20</v>
      </c>
      <c r="E901" t="s">
        <v>31</v>
      </c>
      <c r="F901" t="s">
        <v>44</v>
      </c>
      <c r="G901">
        <v>35.04</v>
      </c>
      <c r="H901">
        <v>9</v>
      </c>
      <c r="I901">
        <v>15.768000000000001</v>
      </c>
      <c r="J901">
        <v>331.12799999999999</v>
      </c>
      <c r="K901" s="1">
        <v>43505</v>
      </c>
      <c r="L901" s="2">
        <v>0.80347222222222225</v>
      </c>
      <c r="M901" t="s">
        <v>23</v>
      </c>
      <c r="N901">
        <v>315.36</v>
      </c>
      <c r="O901">
        <v>4.7619047620000003</v>
      </c>
      <c r="P901">
        <v>15.768000000000001</v>
      </c>
      <c r="Q901">
        <v>4.5999999999999996</v>
      </c>
    </row>
    <row r="902" spans="1:17" x14ac:dyDescent="0.3">
      <c r="A902" t="s">
        <v>936</v>
      </c>
      <c r="B902" t="s">
        <v>25</v>
      </c>
      <c r="C902" t="s">
        <v>26</v>
      </c>
      <c r="D902" t="s">
        <v>20</v>
      </c>
      <c r="E902" t="s">
        <v>21</v>
      </c>
      <c r="F902" t="s">
        <v>28</v>
      </c>
      <c r="G902">
        <v>44.84</v>
      </c>
      <c r="H902">
        <v>9</v>
      </c>
      <c r="I902">
        <v>20.178000000000001</v>
      </c>
      <c r="J902">
        <v>423.738</v>
      </c>
      <c r="K902" s="1">
        <v>43479</v>
      </c>
      <c r="L902" s="2">
        <v>0.58333333333333337</v>
      </c>
      <c r="M902" t="s">
        <v>33</v>
      </c>
      <c r="N902">
        <v>403.56</v>
      </c>
      <c r="O902">
        <v>4.7619047620000003</v>
      </c>
      <c r="P902">
        <v>20.178000000000001</v>
      </c>
      <c r="Q902">
        <v>7.5</v>
      </c>
    </row>
    <row r="903" spans="1:17" x14ac:dyDescent="0.3">
      <c r="A903" t="s">
        <v>937</v>
      </c>
      <c r="B903" t="s">
        <v>42</v>
      </c>
      <c r="C903" t="s">
        <v>43</v>
      </c>
      <c r="D903" t="s">
        <v>27</v>
      </c>
      <c r="E903" t="s">
        <v>31</v>
      </c>
      <c r="F903" t="s">
        <v>32</v>
      </c>
      <c r="G903">
        <v>45.97</v>
      </c>
      <c r="H903">
        <v>4</v>
      </c>
      <c r="I903">
        <v>9.1940000000000008</v>
      </c>
      <c r="J903">
        <v>193.07400000000001</v>
      </c>
      <c r="K903" s="1">
        <v>43505</v>
      </c>
      <c r="L903" s="2">
        <v>0.50138888888888888</v>
      </c>
      <c r="M903" t="s">
        <v>23</v>
      </c>
      <c r="N903">
        <v>183.88</v>
      </c>
      <c r="O903">
        <v>4.7619047620000003</v>
      </c>
      <c r="P903">
        <v>9.1940000000000008</v>
      </c>
      <c r="Q903">
        <v>5.0999999999999996</v>
      </c>
    </row>
    <row r="904" spans="1:17" x14ac:dyDescent="0.3">
      <c r="A904" t="s">
        <v>938</v>
      </c>
      <c r="B904" t="s">
        <v>18</v>
      </c>
      <c r="C904" t="s">
        <v>19</v>
      </c>
      <c r="D904" t="s">
        <v>20</v>
      </c>
      <c r="E904" t="s">
        <v>21</v>
      </c>
      <c r="F904" t="s">
        <v>22</v>
      </c>
      <c r="G904">
        <v>27.73</v>
      </c>
      <c r="H904">
        <v>5</v>
      </c>
      <c r="I904">
        <v>6.9325000000000001</v>
      </c>
      <c r="J904">
        <v>145.58250000000001</v>
      </c>
      <c r="K904" s="1">
        <v>43550</v>
      </c>
      <c r="L904" s="2">
        <v>0.84791666666666676</v>
      </c>
      <c r="M904" t="s">
        <v>33</v>
      </c>
      <c r="N904">
        <v>138.65</v>
      </c>
      <c r="O904">
        <v>4.7619047620000003</v>
      </c>
      <c r="P904">
        <v>6.9325000000000001</v>
      </c>
      <c r="Q904">
        <v>4.2</v>
      </c>
    </row>
    <row r="905" spans="1:17" x14ac:dyDescent="0.3">
      <c r="A905" t="s">
        <v>939</v>
      </c>
      <c r="B905" t="s">
        <v>18</v>
      </c>
      <c r="C905" t="s">
        <v>19</v>
      </c>
      <c r="D905" t="s">
        <v>27</v>
      </c>
      <c r="E905" t="s">
        <v>31</v>
      </c>
      <c r="F905" t="s">
        <v>44</v>
      </c>
      <c r="G905">
        <v>11.53</v>
      </c>
      <c r="H905">
        <v>7</v>
      </c>
      <c r="I905">
        <v>4.0354999999999999</v>
      </c>
      <c r="J905">
        <v>84.745500000000007</v>
      </c>
      <c r="K905" s="1">
        <v>43493</v>
      </c>
      <c r="L905" s="2">
        <v>0.73263888888888884</v>
      </c>
      <c r="M905" t="s">
        <v>29</v>
      </c>
      <c r="N905">
        <v>80.709999999999994</v>
      </c>
      <c r="O905">
        <v>4.7619047620000003</v>
      </c>
      <c r="P905">
        <v>4.0354999999999999</v>
      </c>
      <c r="Q905">
        <v>8.1</v>
      </c>
    </row>
    <row r="906" spans="1:17" x14ac:dyDescent="0.3">
      <c r="A906" t="s">
        <v>940</v>
      </c>
      <c r="B906" t="s">
        <v>25</v>
      </c>
      <c r="C906" t="s">
        <v>26</v>
      </c>
      <c r="D906" t="s">
        <v>27</v>
      </c>
      <c r="E906" t="s">
        <v>21</v>
      </c>
      <c r="F906" t="s">
        <v>22</v>
      </c>
      <c r="G906">
        <v>58.32</v>
      </c>
      <c r="H906">
        <v>2</v>
      </c>
      <c r="I906">
        <v>5.8319999999999999</v>
      </c>
      <c r="J906">
        <v>122.47199999999999</v>
      </c>
      <c r="K906" s="1">
        <v>43510</v>
      </c>
      <c r="L906" s="2">
        <v>0.52916666666666667</v>
      </c>
      <c r="M906" t="s">
        <v>23</v>
      </c>
      <c r="N906">
        <v>116.64</v>
      </c>
      <c r="O906">
        <v>4.7619047620000003</v>
      </c>
      <c r="P906">
        <v>5.8319999999999999</v>
      </c>
      <c r="Q906">
        <v>6</v>
      </c>
    </row>
    <row r="907" spans="1:17" x14ac:dyDescent="0.3">
      <c r="A907" t="s">
        <v>941</v>
      </c>
      <c r="B907" t="s">
        <v>25</v>
      </c>
      <c r="C907" t="s">
        <v>26</v>
      </c>
      <c r="D907" t="s">
        <v>20</v>
      </c>
      <c r="E907" t="s">
        <v>21</v>
      </c>
      <c r="F907" t="s">
        <v>32</v>
      </c>
      <c r="G907">
        <v>78.38</v>
      </c>
      <c r="H907">
        <v>4</v>
      </c>
      <c r="I907">
        <v>15.676</v>
      </c>
      <c r="J907">
        <v>329.19600000000003</v>
      </c>
      <c r="K907" s="1">
        <v>43548</v>
      </c>
      <c r="L907" s="2">
        <v>0.74722222222222223</v>
      </c>
      <c r="M907" t="s">
        <v>29</v>
      </c>
      <c r="N907">
        <v>313.52</v>
      </c>
      <c r="O907">
        <v>4.7619047620000003</v>
      </c>
      <c r="P907">
        <v>15.676</v>
      </c>
      <c r="Q907">
        <v>7.9</v>
      </c>
    </row>
    <row r="908" spans="1:17" x14ac:dyDescent="0.3">
      <c r="A908" t="s">
        <v>942</v>
      </c>
      <c r="B908" t="s">
        <v>25</v>
      </c>
      <c r="C908" t="s">
        <v>26</v>
      </c>
      <c r="D908" t="s">
        <v>27</v>
      </c>
      <c r="E908" t="s">
        <v>31</v>
      </c>
      <c r="F908" t="s">
        <v>22</v>
      </c>
      <c r="G908">
        <v>84.61</v>
      </c>
      <c r="H908">
        <v>10</v>
      </c>
      <c r="I908">
        <v>42.305</v>
      </c>
      <c r="J908">
        <v>888.40499999999997</v>
      </c>
      <c r="K908" s="1">
        <v>43505</v>
      </c>
      <c r="L908" s="2">
        <v>0.79027777777777775</v>
      </c>
      <c r="M908" t="s">
        <v>33</v>
      </c>
      <c r="N908">
        <v>846.1</v>
      </c>
      <c r="O908">
        <v>4.7619047620000003</v>
      </c>
      <c r="P908">
        <v>42.305</v>
      </c>
      <c r="Q908">
        <v>8.8000000000000007</v>
      </c>
    </row>
    <row r="909" spans="1:17" x14ac:dyDescent="0.3">
      <c r="A909" t="s">
        <v>943</v>
      </c>
      <c r="B909" t="s">
        <v>42</v>
      </c>
      <c r="C909" t="s">
        <v>43</v>
      </c>
      <c r="D909" t="s">
        <v>27</v>
      </c>
      <c r="E909" t="s">
        <v>21</v>
      </c>
      <c r="F909" t="s">
        <v>22</v>
      </c>
      <c r="G909">
        <v>82.88</v>
      </c>
      <c r="H909">
        <v>5</v>
      </c>
      <c r="I909">
        <v>20.72</v>
      </c>
      <c r="J909">
        <v>435.12</v>
      </c>
      <c r="K909" s="1">
        <v>43548</v>
      </c>
      <c r="L909" s="2">
        <v>0.58888888888888891</v>
      </c>
      <c r="M909" t="s">
        <v>33</v>
      </c>
      <c r="N909">
        <v>414.4</v>
      </c>
      <c r="O909">
        <v>4.7619047620000003</v>
      </c>
      <c r="P909">
        <v>20.72</v>
      </c>
      <c r="Q909">
        <v>6.6</v>
      </c>
    </row>
    <row r="910" spans="1:17" x14ac:dyDescent="0.3">
      <c r="A910" t="s">
        <v>944</v>
      </c>
      <c r="B910" t="s">
        <v>18</v>
      </c>
      <c r="C910" t="s">
        <v>19</v>
      </c>
      <c r="D910" t="s">
        <v>20</v>
      </c>
      <c r="E910" t="s">
        <v>21</v>
      </c>
      <c r="F910" t="s">
        <v>44</v>
      </c>
      <c r="G910">
        <v>79.540000000000006</v>
      </c>
      <c r="H910">
        <v>2</v>
      </c>
      <c r="I910">
        <v>7.9539999999999997</v>
      </c>
      <c r="J910">
        <v>167.03399999999999</v>
      </c>
      <c r="K910" s="1">
        <v>43551</v>
      </c>
      <c r="L910" s="2">
        <v>0.6875</v>
      </c>
      <c r="M910" t="s">
        <v>23</v>
      </c>
      <c r="N910">
        <v>159.08000000000001</v>
      </c>
      <c r="O910">
        <v>4.7619047620000003</v>
      </c>
      <c r="P910">
        <v>7.9539999999999997</v>
      </c>
      <c r="Q910">
        <v>6.2</v>
      </c>
    </row>
    <row r="911" spans="1:17" x14ac:dyDescent="0.3">
      <c r="A911" t="s">
        <v>945</v>
      </c>
      <c r="B911" t="s">
        <v>42</v>
      </c>
      <c r="C911" t="s">
        <v>43</v>
      </c>
      <c r="D911" t="s">
        <v>27</v>
      </c>
      <c r="E911" t="s">
        <v>21</v>
      </c>
      <c r="F911" t="s">
        <v>32</v>
      </c>
      <c r="G911">
        <v>49.01</v>
      </c>
      <c r="H911">
        <v>10</v>
      </c>
      <c r="I911">
        <v>24.504999999999999</v>
      </c>
      <c r="J911">
        <v>514.60500000000002</v>
      </c>
      <c r="K911" s="1">
        <v>43492</v>
      </c>
      <c r="L911" s="2">
        <v>0.44722222222222219</v>
      </c>
      <c r="M911" t="s">
        <v>33</v>
      </c>
      <c r="N911">
        <v>490.1</v>
      </c>
      <c r="O911">
        <v>4.7619047620000003</v>
      </c>
      <c r="P911">
        <v>24.504999999999999</v>
      </c>
      <c r="Q911">
        <v>4.2</v>
      </c>
    </row>
    <row r="912" spans="1:17" x14ac:dyDescent="0.3">
      <c r="A912" t="s">
        <v>946</v>
      </c>
      <c r="B912" t="s">
        <v>42</v>
      </c>
      <c r="C912" t="s">
        <v>43</v>
      </c>
      <c r="D912" t="s">
        <v>20</v>
      </c>
      <c r="E912" t="s">
        <v>21</v>
      </c>
      <c r="F912" t="s">
        <v>44</v>
      </c>
      <c r="G912">
        <v>29.15</v>
      </c>
      <c r="H912">
        <v>3</v>
      </c>
      <c r="I912">
        <v>4.3724999999999996</v>
      </c>
      <c r="J912">
        <v>91.822500000000005</v>
      </c>
      <c r="K912" s="1">
        <v>43551</v>
      </c>
      <c r="L912" s="2">
        <v>0.8534722222222223</v>
      </c>
      <c r="M912" t="s">
        <v>33</v>
      </c>
      <c r="N912">
        <v>87.45</v>
      </c>
      <c r="O912">
        <v>4.7619047620000003</v>
      </c>
      <c r="P912">
        <v>4.3724999999999996</v>
      </c>
      <c r="Q912">
        <v>7.3</v>
      </c>
    </row>
    <row r="913" spans="1:17" x14ac:dyDescent="0.3">
      <c r="A913" t="s">
        <v>947</v>
      </c>
      <c r="B913" t="s">
        <v>25</v>
      </c>
      <c r="C913" t="s">
        <v>26</v>
      </c>
      <c r="D913" t="s">
        <v>27</v>
      </c>
      <c r="E913" t="s">
        <v>21</v>
      </c>
      <c r="F913" t="s">
        <v>28</v>
      </c>
      <c r="G913">
        <v>56.13</v>
      </c>
      <c r="H913">
        <v>4</v>
      </c>
      <c r="I913">
        <v>11.226000000000001</v>
      </c>
      <c r="J913">
        <v>235.74600000000001</v>
      </c>
      <c r="K913" s="1">
        <v>43484</v>
      </c>
      <c r="L913" s="2">
        <v>0.48819444444444443</v>
      </c>
      <c r="M913" t="s">
        <v>23</v>
      </c>
      <c r="N913">
        <v>224.52</v>
      </c>
      <c r="O913">
        <v>4.7619047620000003</v>
      </c>
      <c r="P913">
        <v>11.226000000000001</v>
      </c>
      <c r="Q913">
        <v>8.6</v>
      </c>
    </row>
    <row r="914" spans="1:17" x14ac:dyDescent="0.3">
      <c r="A914" t="s">
        <v>948</v>
      </c>
      <c r="B914" t="s">
        <v>18</v>
      </c>
      <c r="C914" t="s">
        <v>19</v>
      </c>
      <c r="D914" t="s">
        <v>27</v>
      </c>
      <c r="E914" t="s">
        <v>21</v>
      </c>
      <c r="F914" t="s">
        <v>32</v>
      </c>
      <c r="G914">
        <v>93.12</v>
      </c>
      <c r="H914">
        <v>8</v>
      </c>
      <c r="I914">
        <v>37.247999999999998</v>
      </c>
      <c r="J914">
        <v>782.20799999999997</v>
      </c>
      <c r="K914" s="1">
        <v>43503</v>
      </c>
      <c r="L914" s="2">
        <v>0.42291666666666666</v>
      </c>
      <c r="M914" t="s">
        <v>29</v>
      </c>
      <c r="N914">
        <v>744.96</v>
      </c>
      <c r="O914">
        <v>4.7619047620000003</v>
      </c>
      <c r="P914">
        <v>37.247999999999998</v>
      </c>
      <c r="Q914">
        <v>6.8</v>
      </c>
    </row>
    <row r="915" spans="1:17" x14ac:dyDescent="0.3">
      <c r="A915" t="s">
        <v>949</v>
      </c>
      <c r="B915" t="s">
        <v>18</v>
      </c>
      <c r="C915" t="s">
        <v>19</v>
      </c>
      <c r="D915" t="s">
        <v>20</v>
      </c>
      <c r="E915" t="s">
        <v>31</v>
      </c>
      <c r="F915" t="s">
        <v>46</v>
      </c>
      <c r="G915">
        <v>51.34</v>
      </c>
      <c r="H915">
        <v>8</v>
      </c>
      <c r="I915">
        <v>20.536000000000001</v>
      </c>
      <c r="J915">
        <v>431.25599999999997</v>
      </c>
      <c r="K915" s="1">
        <v>43496</v>
      </c>
      <c r="L915" s="2">
        <v>0.41666666666666669</v>
      </c>
      <c r="M915" t="s">
        <v>23</v>
      </c>
      <c r="N915">
        <v>410.72</v>
      </c>
      <c r="O915">
        <v>4.7619047620000003</v>
      </c>
      <c r="P915">
        <v>20.536000000000001</v>
      </c>
      <c r="Q915">
        <v>7.6</v>
      </c>
    </row>
    <row r="916" spans="1:17" x14ac:dyDescent="0.3">
      <c r="A916" t="s">
        <v>950</v>
      </c>
      <c r="B916" t="s">
        <v>18</v>
      </c>
      <c r="C916" t="s">
        <v>19</v>
      </c>
      <c r="D916" t="s">
        <v>20</v>
      </c>
      <c r="E916" t="s">
        <v>21</v>
      </c>
      <c r="F916" t="s">
        <v>44</v>
      </c>
      <c r="G916">
        <v>99.6</v>
      </c>
      <c r="H916">
        <v>3</v>
      </c>
      <c r="I916">
        <v>14.94</v>
      </c>
      <c r="J916">
        <v>313.74</v>
      </c>
      <c r="K916" s="1">
        <v>43521</v>
      </c>
      <c r="L916" s="2">
        <v>0.78125</v>
      </c>
      <c r="M916" t="s">
        <v>29</v>
      </c>
      <c r="N916">
        <v>298.8</v>
      </c>
      <c r="O916">
        <v>4.7619047620000003</v>
      </c>
      <c r="P916">
        <v>14.94</v>
      </c>
      <c r="Q916">
        <v>5.8</v>
      </c>
    </row>
    <row r="917" spans="1:17" x14ac:dyDescent="0.3">
      <c r="A917" t="s">
        <v>951</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3">
      <c r="A918" t="s">
        <v>952</v>
      </c>
      <c r="B918" t="s">
        <v>25</v>
      </c>
      <c r="C918" t="s">
        <v>26</v>
      </c>
      <c r="D918" t="s">
        <v>20</v>
      </c>
      <c r="E918" t="s">
        <v>31</v>
      </c>
      <c r="F918" t="s">
        <v>36</v>
      </c>
      <c r="G918">
        <v>42.85</v>
      </c>
      <c r="H918">
        <v>1</v>
      </c>
      <c r="I918">
        <v>2.1425000000000001</v>
      </c>
      <c r="J918">
        <v>44.9925</v>
      </c>
      <c r="K918" s="1">
        <v>43538</v>
      </c>
      <c r="L918" s="2">
        <v>0.65</v>
      </c>
      <c r="M918" t="s">
        <v>33</v>
      </c>
      <c r="N918">
        <v>42.85</v>
      </c>
      <c r="O918">
        <v>4.7619047620000003</v>
      </c>
      <c r="P918">
        <v>2.1425000000000001</v>
      </c>
      <c r="Q918">
        <v>9.3000000000000007</v>
      </c>
    </row>
    <row r="919" spans="1:17" x14ac:dyDescent="0.3">
      <c r="A919" t="s">
        <v>953</v>
      </c>
      <c r="B919" t="s">
        <v>18</v>
      </c>
      <c r="C919" t="s">
        <v>19</v>
      </c>
      <c r="D919" t="s">
        <v>27</v>
      </c>
      <c r="E919" t="s">
        <v>21</v>
      </c>
      <c r="F919" t="s">
        <v>46</v>
      </c>
      <c r="G919">
        <v>94.67</v>
      </c>
      <c r="H919">
        <v>4</v>
      </c>
      <c r="I919">
        <v>18.934000000000001</v>
      </c>
      <c r="J919">
        <v>397.61399999999998</v>
      </c>
      <c r="K919" s="1">
        <v>43535</v>
      </c>
      <c r="L919" s="2">
        <v>0.50277777777777777</v>
      </c>
      <c r="M919" t="s">
        <v>29</v>
      </c>
      <c r="N919">
        <v>378.68</v>
      </c>
      <c r="O919">
        <v>4.7619047620000003</v>
      </c>
      <c r="P919">
        <v>18.934000000000001</v>
      </c>
      <c r="Q919">
        <v>6.8</v>
      </c>
    </row>
    <row r="920" spans="1:17" x14ac:dyDescent="0.3">
      <c r="A920" t="s">
        <v>954</v>
      </c>
      <c r="B920" t="s">
        <v>42</v>
      </c>
      <c r="C920" t="s">
        <v>43</v>
      </c>
      <c r="D920" t="s">
        <v>27</v>
      </c>
      <c r="E920" t="s">
        <v>31</v>
      </c>
      <c r="F920" t="s">
        <v>32</v>
      </c>
      <c r="G920">
        <v>68.97</v>
      </c>
      <c r="H920">
        <v>3</v>
      </c>
      <c r="I920">
        <v>10.345499999999999</v>
      </c>
      <c r="J920">
        <v>217.25550000000001</v>
      </c>
      <c r="K920" s="1">
        <v>43518</v>
      </c>
      <c r="L920" s="2">
        <v>0.47638888888888892</v>
      </c>
      <c r="M920" t="s">
        <v>23</v>
      </c>
      <c r="N920">
        <v>206.91</v>
      </c>
      <c r="O920">
        <v>4.7619047620000003</v>
      </c>
      <c r="P920">
        <v>10.345499999999999</v>
      </c>
      <c r="Q920">
        <v>8.6999999999999993</v>
      </c>
    </row>
    <row r="921" spans="1:17" x14ac:dyDescent="0.3">
      <c r="A921" t="s">
        <v>955</v>
      </c>
      <c r="B921" t="s">
        <v>42</v>
      </c>
      <c r="C921" t="s">
        <v>43</v>
      </c>
      <c r="D921" t="s">
        <v>20</v>
      </c>
      <c r="E921" t="s">
        <v>21</v>
      </c>
      <c r="F921" t="s">
        <v>28</v>
      </c>
      <c r="G921">
        <v>26.26</v>
      </c>
      <c r="H921">
        <v>3</v>
      </c>
      <c r="I921">
        <v>3.9390000000000001</v>
      </c>
      <c r="J921">
        <v>82.718999999999994</v>
      </c>
      <c r="K921" s="1">
        <v>43526</v>
      </c>
      <c r="L921" s="2">
        <v>0.52500000000000002</v>
      </c>
      <c r="M921" t="s">
        <v>23</v>
      </c>
      <c r="N921">
        <v>78.78</v>
      </c>
      <c r="O921">
        <v>4.7619047620000003</v>
      </c>
      <c r="P921">
        <v>3.9390000000000001</v>
      </c>
      <c r="Q921">
        <v>6.3</v>
      </c>
    </row>
    <row r="922" spans="1:17" x14ac:dyDescent="0.3">
      <c r="A922" t="s">
        <v>956</v>
      </c>
      <c r="B922" t="s">
        <v>25</v>
      </c>
      <c r="C922" t="s">
        <v>26</v>
      </c>
      <c r="D922" t="s">
        <v>20</v>
      </c>
      <c r="E922" t="s">
        <v>21</v>
      </c>
      <c r="F922" t="s">
        <v>32</v>
      </c>
      <c r="G922">
        <v>35.79</v>
      </c>
      <c r="H922">
        <v>9</v>
      </c>
      <c r="I922">
        <v>16.105499999999999</v>
      </c>
      <c r="J922">
        <v>338.21550000000002</v>
      </c>
      <c r="K922" s="1">
        <v>43534</v>
      </c>
      <c r="L922" s="2">
        <v>0.62916666666666665</v>
      </c>
      <c r="M922" t="s">
        <v>33</v>
      </c>
      <c r="N922">
        <v>322.11</v>
      </c>
      <c r="O922">
        <v>4.7619047620000003</v>
      </c>
      <c r="P922">
        <v>16.105499999999999</v>
      </c>
      <c r="Q922">
        <v>5.0999999999999996</v>
      </c>
    </row>
    <row r="923" spans="1:17" x14ac:dyDescent="0.3">
      <c r="A923" t="s">
        <v>957</v>
      </c>
      <c r="B923" t="s">
        <v>42</v>
      </c>
      <c r="C923" t="s">
        <v>43</v>
      </c>
      <c r="D923" t="s">
        <v>27</v>
      </c>
      <c r="E923" t="s">
        <v>21</v>
      </c>
      <c r="F923" t="s">
        <v>32</v>
      </c>
      <c r="G923">
        <v>16.37</v>
      </c>
      <c r="H923">
        <v>6</v>
      </c>
      <c r="I923">
        <v>4.9109999999999996</v>
      </c>
      <c r="J923">
        <v>103.131</v>
      </c>
      <c r="K923" s="1">
        <v>43504</v>
      </c>
      <c r="L923" s="2">
        <v>0.45694444444444443</v>
      </c>
      <c r="M923" t="s">
        <v>29</v>
      </c>
      <c r="N923">
        <v>98.22</v>
      </c>
      <c r="O923">
        <v>4.7619047620000003</v>
      </c>
      <c r="P923">
        <v>4.9109999999999996</v>
      </c>
      <c r="Q923">
        <v>7</v>
      </c>
    </row>
    <row r="924" spans="1:17" x14ac:dyDescent="0.3">
      <c r="A924" t="s">
        <v>958</v>
      </c>
      <c r="B924" t="s">
        <v>25</v>
      </c>
      <c r="C924" t="s">
        <v>26</v>
      </c>
      <c r="D924" t="s">
        <v>20</v>
      </c>
      <c r="E924" t="s">
        <v>21</v>
      </c>
      <c r="F924" t="s">
        <v>32</v>
      </c>
      <c r="G924">
        <v>12.73</v>
      </c>
      <c r="H924">
        <v>2</v>
      </c>
      <c r="I924">
        <v>1.2729999999999999</v>
      </c>
      <c r="J924">
        <v>26.733000000000001</v>
      </c>
      <c r="K924" s="1">
        <v>43518</v>
      </c>
      <c r="L924" s="2">
        <v>0.50694444444444442</v>
      </c>
      <c r="M924" t="s">
        <v>33</v>
      </c>
      <c r="N924">
        <v>25.46</v>
      </c>
      <c r="O924">
        <v>4.7619047620000003</v>
      </c>
      <c r="P924">
        <v>1.2729999999999999</v>
      </c>
      <c r="Q924">
        <v>5.2</v>
      </c>
    </row>
    <row r="925" spans="1:17" x14ac:dyDescent="0.3">
      <c r="A925" t="s">
        <v>959</v>
      </c>
      <c r="B925" t="s">
        <v>25</v>
      </c>
      <c r="C925" t="s">
        <v>26</v>
      </c>
      <c r="D925" t="s">
        <v>27</v>
      </c>
      <c r="E925" t="s">
        <v>21</v>
      </c>
      <c r="F925" t="s">
        <v>36</v>
      </c>
      <c r="G925">
        <v>83.14</v>
      </c>
      <c r="H925">
        <v>7</v>
      </c>
      <c r="I925">
        <v>29.099</v>
      </c>
      <c r="J925">
        <v>611.07899999999995</v>
      </c>
      <c r="K925" s="1">
        <v>43475</v>
      </c>
      <c r="L925" s="2">
        <v>0.4381944444444445</v>
      </c>
      <c r="M925" t="s">
        <v>33</v>
      </c>
      <c r="N925">
        <v>581.98</v>
      </c>
      <c r="O925">
        <v>4.7619047620000003</v>
      </c>
      <c r="P925">
        <v>29.099</v>
      </c>
      <c r="Q925">
        <v>6.6</v>
      </c>
    </row>
    <row r="926" spans="1:17" x14ac:dyDescent="0.3">
      <c r="A926" t="s">
        <v>960</v>
      </c>
      <c r="B926" t="s">
        <v>25</v>
      </c>
      <c r="C926" t="s">
        <v>26</v>
      </c>
      <c r="D926" t="s">
        <v>20</v>
      </c>
      <c r="E926" t="s">
        <v>21</v>
      </c>
      <c r="F926" t="s">
        <v>36</v>
      </c>
      <c r="G926">
        <v>35.22</v>
      </c>
      <c r="H926">
        <v>6</v>
      </c>
      <c r="I926">
        <v>10.566000000000001</v>
      </c>
      <c r="J926">
        <v>221.886</v>
      </c>
      <c r="K926" s="1">
        <v>43538</v>
      </c>
      <c r="L926" s="2">
        <v>0.5756944444444444</v>
      </c>
      <c r="M926" t="s">
        <v>23</v>
      </c>
      <c r="N926">
        <v>211.32</v>
      </c>
      <c r="O926">
        <v>4.7619047620000003</v>
      </c>
      <c r="P926">
        <v>10.566000000000001</v>
      </c>
      <c r="Q926">
        <v>6.5</v>
      </c>
    </row>
    <row r="927" spans="1:17" x14ac:dyDescent="0.3">
      <c r="A927" t="s">
        <v>961</v>
      </c>
      <c r="B927" t="s">
        <v>42</v>
      </c>
      <c r="C927" t="s">
        <v>43</v>
      </c>
      <c r="D927" t="s">
        <v>27</v>
      </c>
      <c r="E927" t="s">
        <v>21</v>
      </c>
      <c r="F927" t="s">
        <v>28</v>
      </c>
      <c r="G927">
        <v>13.78</v>
      </c>
      <c r="H927">
        <v>4</v>
      </c>
      <c r="I927">
        <v>2.7559999999999998</v>
      </c>
      <c r="J927">
        <v>57.875999999999998</v>
      </c>
      <c r="K927" s="1">
        <v>43475</v>
      </c>
      <c r="L927" s="2">
        <v>0.46527777777777773</v>
      </c>
      <c r="M927" t="s">
        <v>23</v>
      </c>
      <c r="N927">
        <v>55.12</v>
      </c>
      <c r="O927">
        <v>4.7619047620000003</v>
      </c>
      <c r="P927">
        <v>2.7559999999999998</v>
      </c>
      <c r="Q927">
        <v>9</v>
      </c>
    </row>
    <row r="928" spans="1:17" x14ac:dyDescent="0.3">
      <c r="A928" t="s">
        <v>962</v>
      </c>
      <c r="B928" t="s">
        <v>42</v>
      </c>
      <c r="C928" t="s">
        <v>43</v>
      </c>
      <c r="D928" t="s">
        <v>20</v>
      </c>
      <c r="E928" t="s">
        <v>31</v>
      </c>
      <c r="F928" t="s">
        <v>36</v>
      </c>
      <c r="G928">
        <v>88.31</v>
      </c>
      <c r="H928">
        <v>1</v>
      </c>
      <c r="I928">
        <v>4.4154999999999998</v>
      </c>
      <c r="J928">
        <v>92.725499999999997</v>
      </c>
      <c r="K928" s="1">
        <v>43511</v>
      </c>
      <c r="L928" s="2">
        <v>0.73472222222222217</v>
      </c>
      <c r="M928" t="s">
        <v>33</v>
      </c>
      <c r="N928">
        <v>88.31</v>
      </c>
      <c r="O928">
        <v>4.7619047620000003</v>
      </c>
      <c r="P928">
        <v>4.4154999999999998</v>
      </c>
      <c r="Q928">
        <v>5.2</v>
      </c>
    </row>
    <row r="929" spans="1:17" x14ac:dyDescent="0.3">
      <c r="A929" t="s">
        <v>963</v>
      </c>
      <c r="B929" t="s">
        <v>18</v>
      </c>
      <c r="C929" t="s">
        <v>19</v>
      </c>
      <c r="D929" t="s">
        <v>20</v>
      </c>
      <c r="E929" t="s">
        <v>21</v>
      </c>
      <c r="F929" t="s">
        <v>22</v>
      </c>
      <c r="G929">
        <v>39.619999999999997</v>
      </c>
      <c r="H929">
        <v>9</v>
      </c>
      <c r="I929">
        <v>17.829000000000001</v>
      </c>
      <c r="J929">
        <v>374.40899999999999</v>
      </c>
      <c r="K929" s="1">
        <v>43478</v>
      </c>
      <c r="L929" s="2">
        <v>0.74583333333333324</v>
      </c>
      <c r="M929" t="s">
        <v>33</v>
      </c>
      <c r="N929">
        <v>356.58</v>
      </c>
      <c r="O929">
        <v>4.7619047620000003</v>
      </c>
      <c r="P929">
        <v>17.829000000000001</v>
      </c>
      <c r="Q929">
        <v>6.8</v>
      </c>
    </row>
    <row r="930" spans="1:17" x14ac:dyDescent="0.3">
      <c r="A930" t="s">
        <v>964</v>
      </c>
      <c r="B930" t="s">
        <v>42</v>
      </c>
      <c r="C930" t="s">
        <v>43</v>
      </c>
      <c r="D930" t="s">
        <v>27</v>
      </c>
      <c r="E930" t="s">
        <v>21</v>
      </c>
      <c r="F930" t="s">
        <v>28</v>
      </c>
      <c r="G930">
        <v>88.25</v>
      </c>
      <c r="H930">
        <v>9</v>
      </c>
      <c r="I930">
        <v>39.712499999999999</v>
      </c>
      <c r="J930">
        <v>833.96249999999998</v>
      </c>
      <c r="K930" s="1">
        <v>43511</v>
      </c>
      <c r="L930" s="2">
        <v>0.86875000000000002</v>
      </c>
      <c r="M930" t="s">
        <v>33</v>
      </c>
      <c r="N930">
        <v>794.25</v>
      </c>
      <c r="O930">
        <v>4.7619047620000003</v>
      </c>
      <c r="P930">
        <v>39.712499999999999</v>
      </c>
      <c r="Q930">
        <v>7.6</v>
      </c>
    </row>
    <row r="931" spans="1:17" x14ac:dyDescent="0.3">
      <c r="A931" t="s">
        <v>965</v>
      </c>
      <c r="B931" t="s">
        <v>42</v>
      </c>
      <c r="C931" t="s">
        <v>43</v>
      </c>
      <c r="D931" t="s">
        <v>27</v>
      </c>
      <c r="E931" t="s">
        <v>31</v>
      </c>
      <c r="F931" t="s">
        <v>36</v>
      </c>
      <c r="G931">
        <v>25.31</v>
      </c>
      <c r="H931">
        <v>2</v>
      </c>
      <c r="I931">
        <v>2.5310000000000001</v>
      </c>
      <c r="J931">
        <v>53.151000000000003</v>
      </c>
      <c r="K931" s="1">
        <v>43526</v>
      </c>
      <c r="L931" s="2">
        <v>0.80972222222222223</v>
      </c>
      <c r="M931" t="s">
        <v>23</v>
      </c>
      <c r="N931">
        <v>50.62</v>
      </c>
      <c r="O931">
        <v>4.7619047620000003</v>
      </c>
      <c r="P931">
        <v>2.5310000000000001</v>
      </c>
      <c r="Q931">
        <v>7.2</v>
      </c>
    </row>
    <row r="932" spans="1:17" x14ac:dyDescent="0.3">
      <c r="A932" t="s">
        <v>966</v>
      </c>
      <c r="B932" t="s">
        <v>42</v>
      </c>
      <c r="C932" t="s">
        <v>43</v>
      </c>
      <c r="D932" t="s">
        <v>27</v>
      </c>
      <c r="E932" t="s">
        <v>31</v>
      </c>
      <c r="F932" t="s">
        <v>32</v>
      </c>
      <c r="G932">
        <v>99.92</v>
      </c>
      <c r="H932">
        <v>6</v>
      </c>
      <c r="I932">
        <v>29.975999999999999</v>
      </c>
      <c r="J932">
        <v>629.49599999999998</v>
      </c>
      <c r="K932" s="1">
        <v>43548</v>
      </c>
      <c r="L932" s="2">
        <v>0.56458333333333333</v>
      </c>
      <c r="M932" t="s">
        <v>23</v>
      </c>
      <c r="N932">
        <v>599.52</v>
      </c>
      <c r="O932">
        <v>4.7619047620000003</v>
      </c>
      <c r="P932">
        <v>29.975999999999999</v>
      </c>
      <c r="Q932">
        <v>7.1</v>
      </c>
    </row>
    <row r="933" spans="1:17" x14ac:dyDescent="0.3">
      <c r="A933" t="s">
        <v>967</v>
      </c>
      <c r="B933" t="s">
        <v>25</v>
      </c>
      <c r="C933" t="s">
        <v>26</v>
      </c>
      <c r="D933" t="s">
        <v>20</v>
      </c>
      <c r="E933" t="s">
        <v>21</v>
      </c>
      <c r="F933" t="s">
        <v>46</v>
      </c>
      <c r="G933">
        <v>83.35</v>
      </c>
      <c r="H933">
        <v>2</v>
      </c>
      <c r="I933">
        <v>8.3350000000000009</v>
      </c>
      <c r="J933">
        <v>175.035</v>
      </c>
      <c r="K933" s="1">
        <v>43498</v>
      </c>
      <c r="L933" s="2">
        <v>0.58680555555555558</v>
      </c>
      <c r="M933" t="s">
        <v>33</v>
      </c>
      <c r="N933">
        <v>166.7</v>
      </c>
      <c r="O933">
        <v>4.7619047620000003</v>
      </c>
      <c r="P933">
        <v>8.3350000000000009</v>
      </c>
      <c r="Q933">
        <v>9.5</v>
      </c>
    </row>
    <row r="934" spans="1:17" x14ac:dyDescent="0.3">
      <c r="A934" t="s">
        <v>968</v>
      </c>
      <c r="B934" t="s">
        <v>18</v>
      </c>
      <c r="C934" t="s">
        <v>19</v>
      </c>
      <c r="D934" t="s">
        <v>27</v>
      </c>
      <c r="E934" t="s">
        <v>21</v>
      </c>
      <c r="F934" t="s">
        <v>44</v>
      </c>
      <c r="G934">
        <v>74.44</v>
      </c>
      <c r="H934">
        <v>10</v>
      </c>
      <c r="I934">
        <v>37.22</v>
      </c>
      <c r="J934">
        <v>781.62</v>
      </c>
      <c r="K934" s="1">
        <v>43523</v>
      </c>
      <c r="L934" s="2">
        <v>0.4861111111111111</v>
      </c>
      <c r="M934" t="s">
        <v>23</v>
      </c>
      <c r="N934">
        <v>744.4</v>
      </c>
      <c r="O934">
        <v>4.7619047620000003</v>
      </c>
      <c r="P934">
        <v>37.22</v>
      </c>
      <c r="Q934">
        <v>5.0999999999999996</v>
      </c>
    </row>
    <row r="935" spans="1:17" x14ac:dyDescent="0.3">
      <c r="A935" t="s">
        <v>969</v>
      </c>
      <c r="B935" t="s">
        <v>25</v>
      </c>
      <c r="C935" t="s">
        <v>26</v>
      </c>
      <c r="D935" t="s">
        <v>27</v>
      </c>
      <c r="E935" t="s">
        <v>31</v>
      </c>
      <c r="F935" t="s">
        <v>22</v>
      </c>
      <c r="G935">
        <v>64.08</v>
      </c>
      <c r="H935">
        <v>7</v>
      </c>
      <c r="I935">
        <v>22.428000000000001</v>
      </c>
      <c r="J935">
        <v>470.988</v>
      </c>
      <c r="K935" s="1">
        <v>43485</v>
      </c>
      <c r="L935" s="2">
        <v>0.51874999999999993</v>
      </c>
      <c r="M935" t="s">
        <v>23</v>
      </c>
      <c r="N935">
        <v>448.56</v>
      </c>
      <c r="O935">
        <v>4.7619047620000003</v>
      </c>
      <c r="P935">
        <v>22.428000000000001</v>
      </c>
      <c r="Q935">
        <v>7.6</v>
      </c>
    </row>
    <row r="936" spans="1:17" x14ac:dyDescent="0.3">
      <c r="A936" t="s">
        <v>970</v>
      </c>
      <c r="B936" t="s">
        <v>42</v>
      </c>
      <c r="C936" t="s">
        <v>43</v>
      </c>
      <c r="D936" t="s">
        <v>27</v>
      </c>
      <c r="E936" t="s">
        <v>21</v>
      </c>
      <c r="F936" t="s">
        <v>32</v>
      </c>
      <c r="G936">
        <v>63.15</v>
      </c>
      <c r="H936">
        <v>6</v>
      </c>
      <c r="I936">
        <v>18.945</v>
      </c>
      <c r="J936">
        <v>397.84500000000003</v>
      </c>
      <c r="K936" s="1">
        <v>43468</v>
      </c>
      <c r="L936" s="2">
        <v>0.85</v>
      </c>
      <c r="M936" t="s">
        <v>23</v>
      </c>
      <c r="N936">
        <v>378.9</v>
      </c>
      <c r="O936">
        <v>4.7619047620000003</v>
      </c>
      <c r="P936">
        <v>18.945</v>
      </c>
      <c r="Q936">
        <v>9.8000000000000007</v>
      </c>
    </row>
    <row r="937" spans="1:17" x14ac:dyDescent="0.3">
      <c r="A937" t="s">
        <v>971</v>
      </c>
      <c r="B937" t="s">
        <v>25</v>
      </c>
      <c r="C937" t="s">
        <v>26</v>
      </c>
      <c r="D937" t="s">
        <v>20</v>
      </c>
      <c r="E937" t="s">
        <v>31</v>
      </c>
      <c r="F937" t="s">
        <v>32</v>
      </c>
      <c r="G937">
        <v>85.72</v>
      </c>
      <c r="H937">
        <v>3</v>
      </c>
      <c r="I937">
        <v>12.858000000000001</v>
      </c>
      <c r="J937">
        <v>270.01799999999997</v>
      </c>
      <c r="K937" s="1">
        <v>43489</v>
      </c>
      <c r="L937" s="2">
        <v>0.87430555555555556</v>
      </c>
      <c r="M937" t="s">
        <v>23</v>
      </c>
      <c r="N937">
        <v>257.16000000000003</v>
      </c>
      <c r="O937">
        <v>4.7619047620000003</v>
      </c>
      <c r="P937">
        <v>12.858000000000001</v>
      </c>
      <c r="Q937">
        <v>5.0999999999999996</v>
      </c>
    </row>
    <row r="938" spans="1:17" x14ac:dyDescent="0.3">
      <c r="A938" t="s">
        <v>972</v>
      </c>
      <c r="B938" t="s">
        <v>25</v>
      </c>
      <c r="C938" t="s">
        <v>26</v>
      </c>
      <c r="D938" t="s">
        <v>27</v>
      </c>
      <c r="E938" t="s">
        <v>21</v>
      </c>
      <c r="F938" t="s">
        <v>22</v>
      </c>
      <c r="G938">
        <v>78.89</v>
      </c>
      <c r="H938">
        <v>7</v>
      </c>
      <c r="I938">
        <v>27.611499999999999</v>
      </c>
      <c r="J938">
        <v>579.8415</v>
      </c>
      <c r="K938" s="1">
        <v>43470</v>
      </c>
      <c r="L938" s="2">
        <v>0.82500000000000007</v>
      </c>
      <c r="M938" t="s">
        <v>23</v>
      </c>
      <c r="N938">
        <v>552.23</v>
      </c>
      <c r="O938">
        <v>4.7619047620000003</v>
      </c>
      <c r="P938">
        <v>27.611499999999999</v>
      </c>
      <c r="Q938">
        <v>7.5</v>
      </c>
    </row>
    <row r="939" spans="1:17" x14ac:dyDescent="0.3">
      <c r="A939" t="s">
        <v>973</v>
      </c>
      <c r="B939" t="s">
        <v>18</v>
      </c>
      <c r="C939" t="s">
        <v>19</v>
      </c>
      <c r="D939" t="s">
        <v>27</v>
      </c>
      <c r="E939" t="s">
        <v>21</v>
      </c>
      <c r="F939" t="s">
        <v>36</v>
      </c>
      <c r="G939">
        <v>89.48</v>
      </c>
      <c r="H939">
        <v>5</v>
      </c>
      <c r="I939">
        <v>22.37</v>
      </c>
      <c r="J939">
        <v>469.77</v>
      </c>
      <c r="K939" s="1">
        <v>43554</v>
      </c>
      <c r="L939" s="2">
        <v>0.4291666666666667</v>
      </c>
      <c r="M939" t="s">
        <v>29</v>
      </c>
      <c r="N939">
        <v>447.4</v>
      </c>
      <c r="O939">
        <v>4.7619047620000003</v>
      </c>
      <c r="P939">
        <v>22.37</v>
      </c>
      <c r="Q939">
        <v>7.4</v>
      </c>
    </row>
    <row r="940" spans="1:17" x14ac:dyDescent="0.3">
      <c r="A940" t="s">
        <v>974</v>
      </c>
      <c r="B940" t="s">
        <v>18</v>
      </c>
      <c r="C940" t="s">
        <v>19</v>
      </c>
      <c r="D940" t="s">
        <v>20</v>
      </c>
      <c r="E940" t="s">
        <v>21</v>
      </c>
      <c r="F940" t="s">
        <v>22</v>
      </c>
      <c r="G940">
        <v>92.09</v>
      </c>
      <c r="H940">
        <v>3</v>
      </c>
      <c r="I940">
        <v>13.813499999999999</v>
      </c>
      <c r="J940">
        <v>290.08350000000002</v>
      </c>
      <c r="K940" s="1">
        <v>43513</v>
      </c>
      <c r="L940" s="2">
        <v>0.68541666666666667</v>
      </c>
      <c r="M940" t="s">
        <v>29</v>
      </c>
      <c r="N940">
        <v>276.27</v>
      </c>
      <c r="O940">
        <v>4.7619047620000003</v>
      </c>
      <c r="P940">
        <v>13.813499999999999</v>
      </c>
      <c r="Q940">
        <v>4.2</v>
      </c>
    </row>
    <row r="941" spans="1:17" x14ac:dyDescent="0.3">
      <c r="A941" t="s">
        <v>975</v>
      </c>
      <c r="B941" t="s">
        <v>25</v>
      </c>
      <c r="C941" t="s">
        <v>26</v>
      </c>
      <c r="D941" t="s">
        <v>27</v>
      </c>
      <c r="E941" t="s">
        <v>21</v>
      </c>
      <c r="F941" t="s">
        <v>44</v>
      </c>
      <c r="G941">
        <v>57.29</v>
      </c>
      <c r="H941">
        <v>6</v>
      </c>
      <c r="I941">
        <v>17.187000000000001</v>
      </c>
      <c r="J941">
        <v>360.92700000000002</v>
      </c>
      <c r="K941" s="1">
        <v>43545</v>
      </c>
      <c r="L941" s="2">
        <v>0.71111111111111114</v>
      </c>
      <c r="M941" t="s">
        <v>23</v>
      </c>
      <c r="N941">
        <v>343.74</v>
      </c>
      <c r="O941">
        <v>4.7619047620000003</v>
      </c>
      <c r="P941">
        <v>17.187000000000001</v>
      </c>
      <c r="Q941">
        <v>5.9</v>
      </c>
    </row>
    <row r="942" spans="1:17" x14ac:dyDescent="0.3">
      <c r="A942" t="s">
        <v>976</v>
      </c>
      <c r="B942" t="s">
        <v>18</v>
      </c>
      <c r="C942" t="s">
        <v>19</v>
      </c>
      <c r="D942" t="s">
        <v>27</v>
      </c>
      <c r="E942" t="s">
        <v>31</v>
      </c>
      <c r="F942" t="s">
        <v>44</v>
      </c>
      <c r="G942">
        <v>66.52</v>
      </c>
      <c r="H942">
        <v>4</v>
      </c>
      <c r="I942">
        <v>13.304</v>
      </c>
      <c r="J942">
        <v>279.38400000000001</v>
      </c>
      <c r="K942" s="1">
        <v>43526</v>
      </c>
      <c r="L942" s="2">
        <v>0.7597222222222223</v>
      </c>
      <c r="M942" t="s">
        <v>23</v>
      </c>
      <c r="N942">
        <v>266.08</v>
      </c>
      <c r="O942">
        <v>4.7619047620000003</v>
      </c>
      <c r="P942">
        <v>13.304</v>
      </c>
      <c r="Q942">
        <v>6.9</v>
      </c>
    </row>
    <row r="943" spans="1:17" x14ac:dyDescent="0.3">
      <c r="A943" t="s">
        <v>977</v>
      </c>
      <c r="B943" t="s">
        <v>25</v>
      </c>
      <c r="C943" t="s">
        <v>26</v>
      </c>
      <c r="D943" t="s">
        <v>20</v>
      </c>
      <c r="E943" t="s">
        <v>31</v>
      </c>
      <c r="F943" t="s">
        <v>46</v>
      </c>
      <c r="G943">
        <v>99.82</v>
      </c>
      <c r="H943">
        <v>9</v>
      </c>
      <c r="I943">
        <v>44.918999999999997</v>
      </c>
      <c r="J943">
        <v>943.29899999999998</v>
      </c>
      <c r="K943" s="1">
        <v>43551</v>
      </c>
      <c r="L943" s="2">
        <v>0.4465277777777778</v>
      </c>
      <c r="M943" t="s">
        <v>29</v>
      </c>
      <c r="N943">
        <v>898.38</v>
      </c>
      <c r="O943">
        <v>4.7619047620000003</v>
      </c>
      <c r="P943">
        <v>44.918999999999997</v>
      </c>
      <c r="Q943">
        <v>6.6</v>
      </c>
    </row>
    <row r="944" spans="1:17" x14ac:dyDescent="0.3">
      <c r="A944" t="s">
        <v>978</v>
      </c>
      <c r="B944" t="s">
        <v>18</v>
      </c>
      <c r="C944" t="s">
        <v>19</v>
      </c>
      <c r="D944" t="s">
        <v>27</v>
      </c>
      <c r="E944" t="s">
        <v>21</v>
      </c>
      <c r="F944" t="s">
        <v>32</v>
      </c>
      <c r="G944">
        <v>45.68</v>
      </c>
      <c r="H944">
        <v>10</v>
      </c>
      <c r="I944">
        <v>22.84</v>
      </c>
      <c r="J944">
        <v>479.64</v>
      </c>
      <c r="K944" s="1">
        <v>43484</v>
      </c>
      <c r="L944" s="2">
        <v>0.8125</v>
      </c>
      <c r="M944" t="s">
        <v>23</v>
      </c>
      <c r="N944">
        <v>456.8</v>
      </c>
      <c r="O944">
        <v>4.7619047620000003</v>
      </c>
      <c r="P944">
        <v>22.84</v>
      </c>
      <c r="Q944">
        <v>5.7</v>
      </c>
    </row>
    <row r="945" spans="1:17" x14ac:dyDescent="0.3">
      <c r="A945" t="s">
        <v>979</v>
      </c>
      <c r="B945" t="s">
        <v>18</v>
      </c>
      <c r="C945" t="s">
        <v>19</v>
      </c>
      <c r="D945" t="s">
        <v>27</v>
      </c>
      <c r="E945" t="s">
        <v>31</v>
      </c>
      <c r="F945" t="s">
        <v>22</v>
      </c>
      <c r="G945">
        <v>50.79</v>
      </c>
      <c r="H945">
        <v>5</v>
      </c>
      <c r="I945">
        <v>12.6975</v>
      </c>
      <c r="J945">
        <v>266.64749999999998</v>
      </c>
      <c r="K945" s="1">
        <v>43515</v>
      </c>
      <c r="L945" s="2">
        <v>0.62013888888888891</v>
      </c>
      <c r="M945" t="s">
        <v>33</v>
      </c>
      <c r="N945">
        <v>253.95</v>
      </c>
      <c r="O945">
        <v>4.7619047620000003</v>
      </c>
      <c r="P945">
        <v>12.6975</v>
      </c>
      <c r="Q945">
        <v>5.3</v>
      </c>
    </row>
    <row r="946" spans="1:17" x14ac:dyDescent="0.3">
      <c r="A946" t="s">
        <v>980</v>
      </c>
      <c r="B946" t="s">
        <v>18</v>
      </c>
      <c r="C946" t="s">
        <v>19</v>
      </c>
      <c r="D946" t="s">
        <v>20</v>
      </c>
      <c r="E946" t="s">
        <v>31</v>
      </c>
      <c r="F946" t="s">
        <v>22</v>
      </c>
      <c r="G946">
        <v>10.08</v>
      </c>
      <c r="H946">
        <v>7</v>
      </c>
      <c r="I946">
        <v>3.528</v>
      </c>
      <c r="J946">
        <v>74.087999999999994</v>
      </c>
      <c r="K946" s="1">
        <v>43552</v>
      </c>
      <c r="L946" s="2">
        <v>0.84305555555555556</v>
      </c>
      <c r="M946" t="s">
        <v>29</v>
      </c>
      <c r="N946">
        <v>70.56</v>
      </c>
      <c r="O946">
        <v>4.7619047620000003</v>
      </c>
      <c r="P946">
        <v>3.528</v>
      </c>
      <c r="Q946">
        <v>4.2</v>
      </c>
    </row>
    <row r="947" spans="1:17" x14ac:dyDescent="0.3">
      <c r="A947" t="s">
        <v>981</v>
      </c>
      <c r="B947" t="s">
        <v>18</v>
      </c>
      <c r="C947" t="s">
        <v>19</v>
      </c>
      <c r="D947" t="s">
        <v>27</v>
      </c>
      <c r="E947" t="s">
        <v>21</v>
      </c>
      <c r="F947" t="s">
        <v>28</v>
      </c>
      <c r="G947">
        <v>93.88</v>
      </c>
      <c r="H947">
        <v>7</v>
      </c>
      <c r="I947">
        <v>32.857999999999997</v>
      </c>
      <c r="J947">
        <v>690.01800000000003</v>
      </c>
      <c r="K947" s="1">
        <v>43470</v>
      </c>
      <c r="L947" s="2">
        <v>0.49374999999999997</v>
      </c>
      <c r="M947" t="s">
        <v>33</v>
      </c>
      <c r="N947">
        <v>657.16</v>
      </c>
      <c r="O947">
        <v>4.7619047620000003</v>
      </c>
      <c r="P947">
        <v>32.857999999999997</v>
      </c>
      <c r="Q947">
        <v>7.3</v>
      </c>
    </row>
    <row r="948" spans="1:17" x14ac:dyDescent="0.3">
      <c r="A948" t="s">
        <v>982</v>
      </c>
      <c r="B948" t="s">
        <v>25</v>
      </c>
      <c r="C948" t="s">
        <v>26</v>
      </c>
      <c r="D948" t="s">
        <v>20</v>
      </c>
      <c r="E948" t="s">
        <v>31</v>
      </c>
      <c r="F948" t="s">
        <v>28</v>
      </c>
      <c r="G948">
        <v>84.25</v>
      </c>
      <c r="H948">
        <v>2</v>
      </c>
      <c r="I948">
        <v>8.4250000000000007</v>
      </c>
      <c r="J948">
        <v>176.92500000000001</v>
      </c>
      <c r="K948" s="1">
        <v>43550</v>
      </c>
      <c r="L948" s="2">
        <v>0.59236111111111112</v>
      </c>
      <c r="M948" t="s">
        <v>33</v>
      </c>
      <c r="N948">
        <v>168.5</v>
      </c>
      <c r="O948">
        <v>4.7619047620000003</v>
      </c>
      <c r="P948">
        <v>8.4250000000000007</v>
      </c>
      <c r="Q948">
        <v>5.3</v>
      </c>
    </row>
    <row r="949" spans="1:17" x14ac:dyDescent="0.3">
      <c r="A949" t="s">
        <v>983</v>
      </c>
      <c r="B949" t="s">
        <v>42</v>
      </c>
      <c r="C949" t="s">
        <v>43</v>
      </c>
      <c r="D949" t="s">
        <v>20</v>
      </c>
      <c r="E949" t="s">
        <v>31</v>
      </c>
      <c r="F949" t="s">
        <v>46</v>
      </c>
      <c r="G949">
        <v>53.78</v>
      </c>
      <c r="H949">
        <v>1</v>
      </c>
      <c r="I949">
        <v>2.6890000000000001</v>
      </c>
      <c r="J949">
        <v>56.469000000000001</v>
      </c>
      <c r="K949" s="1">
        <v>43499</v>
      </c>
      <c r="L949" s="2">
        <v>0.84236111111111101</v>
      </c>
      <c r="M949" t="s">
        <v>23</v>
      </c>
      <c r="N949">
        <v>53.78</v>
      </c>
      <c r="O949">
        <v>4.7619047620000003</v>
      </c>
      <c r="P949">
        <v>2.6890000000000001</v>
      </c>
      <c r="Q949">
        <v>4.7</v>
      </c>
    </row>
    <row r="950" spans="1:17" x14ac:dyDescent="0.3">
      <c r="A950" t="s">
        <v>984</v>
      </c>
      <c r="B950" t="s">
        <v>25</v>
      </c>
      <c r="C950" t="s">
        <v>26</v>
      </c>
      <c r="D950" t="s">
        <v>20</v>
      </c>
      <c r="E950" t="s">
        <v>31</v>
      </c>
      <c r="F950" t="s">
        <v>32</v>
      </c>
      <c r="G950">
        <v>35.81</v>
      </c>
      <c r="H950">
        <v>5</v>
      </c>
      <c r="I950">
        <v>8.9525000000000006</v>
      </c>
      <c r="J950">
        <v>188.0025</v>
      </c>
      <c r="K950" s="1">
        <v>43502</v>
      </c>
      <c r="L950" s="2">
        <v>0.78055555555555556</v>
      </c>
      <c r="M950" t="s">
        <v>23</v>
      </c>
      <c r="N950">
        <v>179.05</v>
      </c>
      <c r="O950">
        <v>4.7619047620000003</v>
      </c>
      <c r="P950">
        <v>8.9525000000000006</v>
      </c>
      <c r="Q950">
        <v>7.9</v>
      </c>
    </row>
    <row r="951" spans="1:17" x14ac:dyDescent="0.3">
      <c r="A951" t="s">
        <v>985</v>
      </c>
      <c r="B951" t="s">
        <v>42</v>
      </c>
      <c r="C951" t="s">
        <v>43</v>
      </c>
      <c r="D951" t="s">
        <v>27</v>
      </c>
      <c r="E951" t="s">
        <v>21</v>
      </c>
      <c r="F951" t="s">
        <v>44</v>
      </c>
      <c r="G951">
        <v>26.43</v>
      </c>
      <c r="H951">
        <v>8</v>
      </c>
      <c r="I951">
        <v>10.571999999999999</v>
      </c>
      <c r="J951">
        <v>222.012</v>
      </c>
      <c r="K951" s="1">
        <v>43520</v>
      </c>
      <c r="L951" s="2">
        <v>0.60138888888888886</v>
      </c>
      <c r="M951" t="s">
        <v>23</v>
      </c>
      <c r="N951">
        <v>211.44</v>
      </c>
      <c r="O951">
        <v>4.7619047620000003</v>
      </c>
      <c r="P951">
        <v>10.571999999999999</v>
      </c>
      <c r="Q951">
        <v>8.9</v>
      </c>
    </row>
    <row r="952" spans="1:17" x14ac:dyDescent="0.3">
      <c r="A952" t="s">
        <v>986</v>
      </c>
      <c r="B952" t="s">
        <v>42</v>
      </c>
      <c r="C952" t="s">
        <v>43</v>
      </c>
      <c r="D952" t="s">
        <v>20</v>
      </c>
      <c r="E952" t="s">
        <v>31</v>
      </c>
      <c r="F952" t="s">
        <v>22</v>
      </c>
      <c r="G952">
        <v>39.909999999999997</v>
      </c>
      <c r="H952">
        <v>3</v>
      </c>
      <c r="I952">
        <v>5.9865000000000004</v>
      </c>
      <c r="J952">
        <v>125.7165</v>
      </c>
      <c r="K952" s="1">
        <v>43517</v>
      </c>
      <c r="L952" s="2">
        <v>0.52777777777777779</v>
      </c>
      <c r="M952" t="s">
        <v>23</v>
      </c>
      <c r="N952">
        <v>119.73</v>
      </c>
      <c r="O952">
        <v>4.7619047620000003</v>
      </c>
      <c r="P952">
        <v>5.9865000000000004</v>
      </c>
      <c r="Q952">
        <v>9.3000000000000007</v>
      </c>
    </row>
    <row r="953" spans="1:17" x14ac:dyDescent="0.3">
      <c r="A953" t="s">
        <v>987</v>
      </c>
      <c r="B953" t="s">
        <v>42</v>
      </c>
      <c r="C953" t="s">
        <v>43</v>
      </c>
      <c r="D953" t="s">
        <v>20</v>
      </c>
      <c r="E953" t="s">
        <v>21</v>
      </c>
      <c r="F953" t="s">
        <v>32</v>
      </c>
      <c r="G953">
        <v>21.9</v>
      </c>
      <c r="H953">
        <v>3</v>
      </c>
      <c r="I953">
        <v>3.2850000000000001</v>
      </c>
      <c r="J953">
        <v>68.984999999999999</v>
      </c>
      <c r="K953" s="1">
        <v>43474</v>
      </c>
      <c r="L953" s="2">
        <v>0.77986111111111101</v>
      </c>
      <c r="M953" t="s">
        <v>23</v>
      </c>
      <c r="N953">
        <v>65.7</v>
      </c>
      <c r="O953">
        <v>4.7619047620000003</v>
      </c>
      <c r="P953">
        <v>3.2850000000000001</v>
      </c>
      <c r="Q953">
        <v>4.7</v>
      </c>
    </row>
    <row r="954" spans="1:17" x14ac:dyDescent="0.3">
      <c r="A954" t="s">
        <v>988</v>
      </c>
      <c r="B954" t="s">
        <v>42</v>
      </c>
      <c r="C954" t="s">
        <v>43</v>
      </c>
      <c r="D954" t="s">
        <v>20</v>
      </c>
      <c r="E954" t="s">
        <v>21</v>
      </c>
      <c r="F954" t="s">
        <v>44</v>
      </c>
      <c r="G954">
        <v>62.85</v>
      </c>
      <c r="H954">
        <v>4</v>
      </c>
      <c r="I954">
        <v>12.57</v>
      </c>
      <c r="J954">
        <v>263.97000000000003</v>
      </c>
      <c r="K954" s="1">
        <v>43521</v>
      </c>
      <c r="L954" s="2">
        <v>0.55694444444444446</v>
      </c>
      <c r="M954" t="s">
        <v>23</v>
      </c>
      <c r="N954">
        <v>251.4</v>
      </c>
      <c r="O954">
        <v>4.7619047620000003</v>
      </c>
      <c r="P954">
        <v>12.57</v>
      </c>
      <c r="Q954">
        <v>8.6999999999999993</v>
      </c>
    </row>
    <row r="955" spans="1:17" x14ac:dyDescent="0.3">
      <c r="A955" t="s">
        <v>989</v>
      </c>
      <c r="B955" t="s">
        <v>25</v>
      </c>
      <c r="C955" t="s">
        <v>26</v>
      </c>
      <c r="D955" t="s">
        <v>20</v>
      </c>
      <c r="E955" t="s">
        <v>21</v>
      </c>
      <c r="F955" t="s">
        <v>44</v>
      </c>
      <c r="G955">
        <v>21.04</v>
      </c>
      <c r="H955">
        <v>4</v>
      </c>
      <c r="I955">
        <v>4.2080000000000002</v>
      </c>
      <c r="J955">
        <v>88.367999999999995</v>
      </c>
      <c r="K955" s="1">
        <v>43478</v>
      </c>
      <c r="L955" s="2">
        <v>0.58194444444444449</v>
      </c>
      <c r="M955" t="s">
        <v>29</v>
      </c>
      <c r="N955">
        <v>84.16</v>
      </c>
      <c r="O955">
        <v>4.7619047620000003</v>
      </c>
      <c r="P955">
        <v>4.2080000000000002</v>
      </c>
      <c r="Q955">
        <v>7.6</v>
      </c>
    </row>
    <row r="956" spans="1:17" x14ac:dyDescent="0.3">
      <c r="A956" t="s">
        <v>990</v>
      </c>
      <c r="B956" t="s">
        <v>42</v>
      </c>
      <c r="C956" t="s">
        <v>43</v>
      </c>
      <c r="D956" t="s">
        <v>20</v>
      </c>
      <c r="E956" t="s">
        <v>31</v>
      </c>
      <c r="F956" t="s">
        <v>32</v>
      </c>
      <c r="G956">
        <v>65.91</v>
      </c>
      <c r="H956">
        <v>6</v>
      </c>
      <c r="I956">
        <v>19.773</v>
      </c>
      <c r="J956">
        <v>415.233</v>
      </c>
      <c r="K956" s="1">
        <v>43505</v>
      </c>
      <c r="L956" s="2">
        <v>0.48958333333333331</v>
      </c>
      <c r="M956" t="s">
        <v>29</v>
      </c>
      <c r="N956">
        <v>395.46</v>
      </c>
      <c r="O956">
        <v>4.7619047620000003</v>
      </c>
      <c r="P956">
        <v>19.773</v>
      </c>
      <c r="Q956">
        <v>5.7</v>
      </c>
    </row>
    <row r="957" spans="1:17" x14ac:dyDescent="0.3">
      <c r="A957" t="s">
        <v>991</v>
      </c>
      <c r="B957" t="s">
        <v>18</v>
      </c>
      <c r="C957" t="s">
        <v>19</v>
      </c>
      <c r="D957" t="s">
        <v>27</v>
      </c>
      <c r="E957" t="s">
        <v>21</v>
      </c>
      <c r="F957" t="s">
        <v>46</v>
      </c>
      <c r="G957">
        <v>42.57</v>
      </c>
      <c r="H957">
        <v>7</v>
      </c>
      <c r="I957">
        <v>14.8995</v>
      </c>
      <c r="J957">
        <v>312.8895</v>
      </c>
      <c r="K957" s="1">
        <v>43471</v>
      </c>
      <c r="L957" s="2">
        <v>0.49374999999999997</v>
      </c>
      <c r="M957" t="s">
        <v>29</v>
      </c>
      <c r="N957">
        <v>297.99</v>
      </c>
      <c r="O957">
        <v>4.7619047620000003</v>
      </c>
      <c r="P957">
        <v>14.8995</v>
      </c>
      <c r="Q957">
        <v>6.8</v>
      </c>
    </row>
    <row r="958" spans="1:17" x14ac:dyDescent="0.3">
      <c r="A958" t="s">
        <v>992</v>
      </c>
      <c r="B958" t="s">
        <v>25</v>
      </c>
      <c r="C958" t="s">
        <v>26</v>
      </c>
      <c r="D958" t="s">
        <v>20</v>
      </c>
      <c r="E958" t="s">
        <v>31</v>
      </c>
      <c r="F958" t="s">
        <v>44</v>
      </c>
      <c r="G958">
        <v>50.49</v>
      </c>
      <c r="H958">
        <v>9</v>
      </c>
      <c r="I958">
        <v>22.720500000000001</v>
      </c>
      <c r="J958">
        <v>477.13049999999998</v>
      </c>
      <c r="K958" s="1">
        <v>43475</v>
      </c>
      <c r="L958" s="2">
        <v>0.71944444444444444</v>
      </c>
      <c r="M958" t="s">
        <v>29</v>
      </c>
      <c r="N958">
        <v>454.41</v>
      </c>
      <c r="O958">
        <v>4.7619047620000003</v>
      </c>
      <c r="P958">
        <v>22.720500000000001</v>
      </c>
      <c r="Q958">
        <v>5.4</v>
      </c>
    </row>
    <row r="959" spans="1:17" x14ac:dyDescent="0.3">
      <c r="A959" t="s">
        <v>993</v>
      </c>
      <c r="B959" t="s">
        <v>42</v>
      </c>
      <c r="C959" t="s">
        <v>43</v>
      </c>
      <c r="D959" t="s">
        <v>27</v>
      </c>
      <c r="E959" t="s">
        <v>31</v>
      </c>
      <c r="F959" t="s">
        <v>28</v>
      </c>
      <c r="G959">
        <v>46.02</v>
      </c>
      <c r="H959">
        <v>6</v>
      </c>
      <c r="I959">
        <v>13.805999999999999</v>
      </c>
      <c r="J959">
        <v>289.92599999999999</v>
      </c>
      <c r="K959" s="1">
        <v>43503</v>
      </c>
      <c r="L959" s="2">
        <v>0.66319444444444442</v>
      </c>
      <c r="M959" t="s">
        <v>29</v>
      </c>
      <c r="N959">
        <v>276.12</v>
      </c>
      <c r="O959">
        <v>4.7619047620000003</v>
      </c>
      <c r="P959">
        <v>13.805999999999999</v>
      </c>
      <c r="Q959">
        <v>7.1</v>
      </c>
    </row>
    <row r="960" spans="1:17" x14ac:dyDescent="0.3">
      <c r="A960" t="s">
        <v>994</v>
      </c>
      <c r="B960" t="s">
        <v>25</v>
      </c>
      <c r="C960" t="s">
        <v>26</v>
      </c>
      <c r="D960" t="s">
        <v>27</v>
      </c>
      <c r="E960" t="s">
        <v>21</v>
      </c>
      <c r="F960" t="s">
        <v>32</v>
      </c>
      <c r="G960">
        <v>15.8</v>
      </c>
      <c r="H960">
        <v>10</v>
      </c>
      <c r="I960">
        <v>7.9</v>
      </c>
      <c r="J960">
        <v>165.9</v>
      </c>
      <c r="K960" s="1">
        <v>43474</v>
      </c>
      <c r="L960" s="2">
        <v>0.50486111111111109</v>
      </c>
      <c r="M960" t="s">
        <v>29</v>
      </c>
      <c r="N960">
        <v>158</v>
      </c>
      <c r="O960">
        <v>4.7619047620000003</v>
      </c>
      <c r="P960">
        <v>7.9</v>
      </c>
      <c r="Q960">
        <v>7.8</v>
      </c>
    </row>
    <row r="961" spans="1:17" x14ac:dyDescent="0.3">
      <c r="A961" t="s">
        <v>995</v>
      </c>
      <c r="B961" t="s">
        <v>18</v>
      </c>
      <c r="C961" t="s">
        <v>19</v>
      </c>
      <c r="D961" t="s">
        <v>20</v>
      </c>
      <c r="E961" t="s">
        <v>21</v>
      </c>
      <c r="F961" t="s">
        <v>44</v>
      </c>
      <c r="G961">
        <v>98.66</v>
      </c>
      <c r="H961">
        <v>9</v>
      </c>
      <c r="I961">
        <v>44.396999999999998</v>
      </c>
      <c r="J961">
        <v>932.33699999999999</v>
      </c>
      <c r="K961" s="1">
        <v>43515</v>
      </c>
      <c r="L961" s="2">
        <v>0.62986111111111109</v>
      </c>
      <c r="M961" t="s">
        <v>29</v>
      </c>
      <c r="N961">
        <v>887.94</v>
      </c>
      <c r="O961">
        <v>4.7619047620000003</v>
      </c>
      <c r="P961">
        <v>44.396999999999998</v>
      </c>
      <c r="Q961">
        <v>8.4</v>
      </c>
    </row>
    <row r="962" spans="1:17" x14ac:dyDescent="0.3">
      <c r="A962" t="s">
        <v>996</v>
      </c>
      <c r="B962" t="s">
        <v>25</v>
      </c>
      <c r="C962" t="s">
        <v>26</v>
      </c>
      <c r="D962" t="s">
        <v>20</v>
      </c>
      <c r="E962" t="s">
        <v>31</v>
      </c>
      <c r="F962" t="s">
        <v>46</v>
      </c>
      <c r="G962">
        <v>91.98</v>
      </c>
      <c r="H962">
        <v>1</v>
      </c>
      <c r="I962">
        <v>4.5990000000000002</v>
      </c>
      <c r="J962">
        <v>96.578999999999994</v>
      </c>
      <c r="K962" s="1">
        <v>43542</v>
      </c>
      <c r="L962" s="2">
        <v>0.64513888888888882</v>
      </c>
      <c r="M962" t="s">
        <v>29</v>
      </c>
      <c r="N962">
        <v>91.98</v>
      </c>
      <c r="O962">
        <v>4.7619047620000003</v>
      </c>
      <c r="P962">
        <v>4.5990000000000002</v>
      </c>
      <c r="Q962">
        <v>9.8000000000000007</v>
      </c>
    </row>
    <row r="963" spans="1:17" x14ac:dyDescent="0.3">
      <c r="A963" t="s">
        <v>997</v>
      </c>
      <c r="B963" t="s">
        <v>18</v>
      </c>
      <c r="C963" t="s">
        <v>19</v>
      </c>
      <c r="D963" t="s">
        <v>20</v>
      </c>
      <c r="E963" t="s">
        <v>31</v>
      </c>
      <c r="F963" t="s">
        <v>28</v>
      </c>
      <c r="G963">
        <v>20.89</v>
      </c>
      <c r="H963">
        <v>2</v>
      </c>
      <c r="I963">
        <v>2.089</v>
      </c>
      <c r="J963">
        <v>43.869</v>
      </c>
      <c r="K963" s="1">
        <v>43501</v>
      </c>
      <c r="L963" s="2">
        <v>0.78125</v>
      </c>
      <c r="M963" t="s">
        <v>29</v>
      </c>
      <c r="N963">
        <v>41.78</v>
      </c>
      <c r="O963">
        <v>4.7619047620000003</v>
      </c>
      <c r="P963">
        <v>2.089</v>
      </c>
      <c r="Q963">
        <v>9.8000000000000007</v>
      </c>
    </row>
    <row r="964" spans="1:17" x14ac:dyDescent="0.3">
      <c r="A964" t="s">
        <v>998</v>
      </c>
      <c r="B964" t="s">
        <v>18</v>
      </c>
      <c r="C964" t="s">
        <v>19</v>
      </c>
      <c r="D964" t="s">
        <v>27</v>
      </c>
      <c r="E964" t="s">
        <v>21</v>
      </c>
      <c r="F964" t="s">
        <v>46</v>
      </c>
      <c r="G964">
        <v>15.5</v>
      </c>
      <c r="H964">
        <v>1</v>
      </c>
      <c r="I964">
        <v>0.77500000000000002</v>
      </c>
      <c r="J964">
        <v>16.274999999999999</v>
      </c>
      <c r="K964" s="1">
        <v>43543</v>
      </c>
      <c r="L964" s="2">
        <v>0.64097222222222217</v>
      </c>
      <c r="M964" t="s">
        <v>33</v>
      </c>
      <c r="N964">
        <v>15.5</v>
      </c>
      <c r="O964">
        <v>4.7619047620000003</v>
      </c>
      <c r="P964">
        <v>0.77500000000000002</v>
      </c>
      <c r="Q964">
        <v>7.4</v>
      </c>
    </row>
    <row r="965" spans="1:17" x14ac:dyDescent="0.3">
      <c r="A965" t="s">
        <v>999</v>
      </c>
      <c r="B965" t="s">
        <v>25</v>
      </c>
      <c r="C965" t="s">
        <v>26</v>
      </c>
      <c r="D965" t="s">
        <v>20</v>
      </c>
      <c r="E965" t="s">
        <v>31</v>
      </c>
      <c r="F965" t="s">
        <v>28</v>
      </c>
      <c r="G965">
        <v>96.82</v>
      </c>
      <c r="H965">
        <v>3</v>
      </c>
      <c r="I965">
        <v>14.523</v>
      </c>
      <c r="J965">
        <v>304.983</v>
      </c>
      <c r="K965" s="1">
        <v>43554</v>
      </c>
      <c r="L965" s="2">
        <v>0.85902777777777783</v>
      </c>
      <c r="M965" t="s">
        <v>29</v>
      </c>
      <c r="N965">
        <v>290.45999999999998</v>
      </c>
      <c r="O965">
        <v>4.7619047620000003</v>
      </c>
      <c r="P965">
        <v>14.523</v>
      </c>
      <c r="Q965">
        <v>6.7</v>
      </c>
    </row>
    <row r="966" spans="1:17" x14ac:dyDescent="0.3">
      <c r="A966" t="s">
        <v>1000</v>
      </c>
      <c r="B966" t="s">
        <v>42</v>
      </c>
      <c r="C966" t="s">
        <v>43</v>
      </c>
      <c r="D966" t="s">
        <v>27</v>
      </c>
      <c r="E966" t="s">
        <v>31</v>
      </c>
      <c r="F966" t="s">
        <v>44</v>
      </c>
      <c r="G966">
        <v>33.33</v>
      </c>
      <c r="H966">
        <v>2</v>
      </c>
      <c r="I966">
        <v>3.3330000000000002</v>
      </c>
      <c r="J966">
        <v>69.992999999999995</v>
      </c>
      <c r="K966" s="1">
        <v>43491</v>
      </c>
      <c r="L966" s="2">
        <v>0.6118055555555556</v>
      </c>
      <c r="M966" t="s">
        <v>33</v>
      </c>
      <c r="N966">
        <v>66.66</v>
      </c>
      <c r="O966">
        <v>4.7619047620000003</v>
      </c>
      <c r="P966">
        <v>3.3330000000000002</v>
      </c>
      <c r="Q966">
        <v>6.4</v>
      </c>
    </row>
    <row r="967" spans="1:17" x14ac:dyDescent="0.3">
      <c r="A967" t="s">
        <v>1001</v>
      </c>
      <c r="B967" t="s">
        <v>42</v>
      </c>
      <c r="C967" t="s">
        <v>43</v>
      </c>
      <c r="D967" t="s">
        <v>27</v>
      </c>
      <c r="E967" t="s">
        <v>21</v>
      </c>
      <c r="F967" t="s">
        <v>28</v>
      </c>
      <c r="G967">
        <v>38.270000000000003</v>
      </c>
      <c r="H967">
        <v>2</v>
      </c>
      <c r="I967">
        <v>3.827</v>
      </c>
      <c r="J967">
        <v>80.367000000000004</v>
      </c>
      <c r="K967" s="1">
        <v>43526</v>
      </c>
      <c r="L967" s="2">
        <v>0.76250000000000007</v>
      </c>
      <c r="M967" t="s">
        <v>33</v>
      </c>
      <c r="N967">
        <v>76.540000000000006</v>
      </c>
      <c r="O967">
        <v>4.7619047620000003</v>
      </c>
      <c r="P967">
        <v>3.827</v>
      </c>
      <c r="Q967">
        <v>5.8</v>
      </c>
    </row>
    <row r="968" spans="1:17" x14ac:dyDescent="0.3">
      <c r="A968" t="s">
        <v>1002</v>
      </c>
      <c r="B968" t="s">
        <v>18</v>
      </c>
      <c r="C968" t="s">
        <v>19</v>
      </c>
      <c r="D968" t="s">
        <v>27</v>
      </c>
      <c r="E968" t="s">
        <v>21</v>
      </c>
      <c r="F968" t="s">
        <v>32</v>
      </c>
      <c r="G968">
        <v>33.299999999999997</v>
      </c>
      <c r="H968">
        <v>9</v>
      </c>
      <c r="I968">
        <v>14.984999999999999</v>
      </c>
      <c r="J968">
        <v>314.685</v>
      </c>
      <c r="K968" s="1">
        <v>43528</v>
      </c>
      <c r="L968" s="2">
        <v>0.64374999999999993</v>
      </c>
      <c r="M968" t="s">
        <v>23</v>
      </c>
      <c r="N968">
        <v>299.7</v>
      </c>
      <c r="O968">
        <v>4.7619047620000003</v>
      </c>
      <c r="P968">
        <v>14.984999999999999</v>
      </c>
      <c r="Q968">
        <v>7.2</v>
      </c>
    </row>
    <row r="969" spans="1:17" x14ac:dyDescent="0.3">
      <c r="A969" t="s">
        <v>1003</v>
      </c>
      <c r="B969" t="s">
        <v>18</v>
      </c>
      <c r="C969" t="s">
        <v>19</v>
      </c>
      <c r="D969" t="s">
        <v>20</v>
      </c>
      <c r="E969" t="s">
        <v>31</v>
      </c>
      <c r="F969" t="s">
        <v>32</v>
      </c>
      <c r="G969">
        <v>81.010000000000005</v>
      </c>
      <c r="H969">
        <v>3</v>
      </c>
      <c r="I969">
        <v>12.1515</v>
      </c>
      <c r="J969">
        <v>255.1815</v>
      </c>
      <c r="K969" s="1">
        <v>43478</v>
      </c>
      <c r="L969" s="2">
        <v>0.53819444444444442</v>
      </c>
      <c r="M969" t="s">
        <v>33</v>
      </c>
      <c r="N969">
        <v>243.03</v>
      </c>
      <c r="O969">
        <v>4.7619047620000003</v>
      </c>
      <c r="P969">
        <v>12.1515</v>
      </c>
      <c r="Q969">
        <v>9.3000000000000007</v>
      </c>
    </row>
    <row r="970" spans="1:17" x14ac:dyDescent="0.3">
      <c r="A970" t="s">
        <v>1004</v>
      </c>
      <c r="B970" t="s">
        <v>18</v>
      </c>
      <c r="C970" t="s">
        <v>19</v>
      </c>
      <c r="D970" t="s">
        <v>27</v>
      </c>
      <c r="E970" t="s">
        <v>21</v>
      </c>
      <c r="F970" t="s">
        <v>22</v>
      </c>
      <c r="G970">
        <v>15.8</v>
      </c>
      <c r="H970">
        <v>3</v>
      </c>
      <c r="I970">
        <v>2.37</v>
      </c>
      <c r="J970">
        <v>49.77</v>
      </c>
      <c r="K970" s="1">
        <v>43549</v>
      </c>
      <c r="L970" s="2">
        <v>0.75138888888888899</v>
      </c>
      <c r="M970" t="s">
        <v>29</v>
      </c>
      <c r="N970">
        <v>47.4</v>
      </c>
      <c r="O970">
        <v>4.7619047620000003</v>
      </c>
      <c r="P970">
        <v>2.37</v>
      </c>
      <c r="Q970">
        <v>9.5</v>
      </c>
    </row>
    <row r="971" spans="1:17" x14ac:dyDescent="0.3">
      <c r="A971" t="s">
        <v>1005</v>
      </c>
      <c r="B971" t="s">
        <v>42</v>
      </c>
      <c r="C971" t="s">
        <v>43</v>
      </c>
      <c r="D971" t="s">
        <v>20</v>
      </c>
      <c r="E971" t="s">
        <v>21</v>
      </c>
      <c r="F971" t="s">
        <v>28</v>
      </c>
      <c r="G971">
        <v>34.49</v>
      </c>
      <c r="H971">
        <v>5</v>
      </c>
      <c r="I971">
        <v>8.6225000000000005</v>
      </c>
      <c r="J971">
        <v>181.07249999999999</v>
      </c>
      <c r="K971" s="1">
        <v>43535</v>
      </c>
      <c r="L971" s="2">
        <v>0.8222222222222223</v>
      </c>
      <c r="M971" t="s">
        <v>33</v>
      </c>
      <c r="N971">
        <v>172.45</v>
      </c>
      <c r="O971">
        <v>4.7619047620000003</v>
      </c>
      <c r="P971">
        <v>8.6225000000000005</v>
      </c>
      <c r="Q971">
        <v>9</v>
      </c>
    </row>
    <row r="972" spans="1:17" x14ac:dyDescent="0.3">
      <c r="A972" t="s">
        <v>1006</v>
      </c>
      <c r="B972" t="s">
        <v>42</v>
      </c>
      <c r="C972" t="s">
        <v>43</v>
      </c>
      <c r="D972" t="s">
        <v>20</v>
      </c>
      <c r="E972" t="s">
        <v>21</v>
      </c>
      <c r="F972" t="s">
        <v>44</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x14ac:dyDescent="0.3">
      <c r="A973" t="s">
        <v>1007</v>
      </c>
      <c r="B973" t="s">
        <v>42</v>
      </c>
      <c r="C973" t="s">
        <v>43</v>
      </c>
      <c r="D973" t="s">
        <v>20</v>
      </c>
      <c r="E973" t="s">
        <v>31</v>
      </c>
      <c r="F973" t="s">
        <v>32</v>
      </c>
      <c r="G973">
        <v>36.909999999999997</v>
      </c>
      <c r="H973">
        <v>7</v>
      </c>
      <c r="I973">
        <v>12.9185</v>
      </c>
      <c r="J973">
        <v>271.2885</v>
      </c>
      <c r="K973" s="1">
        <v>43506</v>
      </c>
      <c r="L973" s="2">
        <v>0.57708333333333328</v>
      </c>
      <c r="M973" t="s">
        <v>23</v>
      </c>
      <c r="N973">
        <v>258.37</v>
      </c>
      <c r="O973">
        <v>4.7619047620000003</v>
      </c>
      <c r="P973">
        <v>12.9185</v>
      </c>
      <c r="Q973">
        <v>6.7</v>
      </c>
    </row>
    <row r="974" spans="1:17" x14ac:dyDescent="0.3">
      <c r="A974" t="s">
        <v>1008</v>
      </c>
      <c r="B974" t="s">
        <v>42</v>
      </c>
      <c r="C974" t="s">
        <v>43</v>
      </c>
      <c r="D974" t="s">
        <v>27</v>
      </c>
      <c r="E974" t="s">
        <v>31</v>
      </c>
      <c r="F974" t="s">
        <v>28</v>
      </c>
      <c r="G974">
        <v>87.08</v>
      </c>
      <c r="H974">
        <v>7</v>
      </c>
      <c r="I974">
        <v>30.478000000000002</v>
      </c>
      <c r="J974">
        <v>640.03800000000001</v>
      </c>
      <c r="K974" s="1">
        <v>43491</v>
      </c>
      <c r="L974" s="2">
        <v>0.63680555555555551</v>
      </c>
      <c r="M974" t="s">
        <v>29</v>
      </c>
      <c r="N974">
        <v>609.55999999999995</v>
      </c>
      <c r="O974">
        <v>4.7619047620000003</v>
      </c>
      <c r="P974">
        <v>30.478000000000002</v>
      </c>
      <c r="Q974">
        <v>5.5</v>
      </c>
    </row>
    <row r="975" spans="1:17" x14ac:dyDescent="0.3">
      <c r="A975" t="s">
        <v>1009</v>
      </c>
      <c r="B975" t="s">
        <v>18</v>
      </c>
      <c r="C975" t="s">
        <v>19</v>
      </c>
      <c r="D975" t="s">
        <v>27</v>
      </c>
      <c r="E975" t="s">
        <v>31</v>
      </c>
      <c r="F975" t="s">
        <v>32</v>
      </c>
      <c r="G975">
        <v>80.08</v>
      </c>
      <c r="H975">
        <v>3</v>
      </c>
      <c r="I975">
        <v>12.012</v>
      </c>
      <c r="J975">
        <v>252.25200000000001</v>
      </c>
      <c r="K975" s="1">
        <v>43507</v>
      </c>
      <c r="L975" s="2">
        <v>0.64513888888888882</v>
      </c>
      <c r="M975" t="s">
        <v>29</v>
      </c>
      <c r="N975">
        <v>240.24</v>
      </c>
      <c r="O975">
        <v>4.7619047620000003</v>
      </c>
      <c r="P975">
        <v>12.012</v>
      </c>
      <c r="Q975">
        <v>5.4</v>
      </c>
    </row>
    <row r="976" spans="1:17" x14ac:dyDescent="0.3">
      <c r="A976" t="s">
        <v>1010</v>
      </c>
      <c r="B976" t="s">
        <v>25</v>
      </c>
      <c r="C976" t="s">
        <v>26</v>
      </c>
      <c r="D976" t="s">
        <v>27</v>
      </c>
      <c r="E976" t="s">
        <v>31</v>
      </c>
      <c r="F976" t="s">
        <v>46</v>
      </c>
      <c r="G976">
        <v>86.13</v>
      </c>
      <c r="H976">
        <v>2</v>
      </c>
      <c r="I976">
        <v>8.6129999999999995</v>
      </c>
      <c r="J976">
        <v>180.87299999999999</v>
      </c>
      <c r="K976" s="1">
        <v>43503</v>
      </c>
      <c r="L976" s="2">
        <v>0.74930555555555556</v>
      </c>
      <c r="M976" t="s">
        <v>29</v>
      </c>
      <c r="N976">
        <v>172.26</v>
      </c>
      <c r="O976">
        <v>4.7619047620000003</v>
      </c>
      <c r="P976">
        <v>8.6129999999999995</v>
      </c>
      <c r="Q976">
        <v>8.1999999999999993</v>
      </c>
    </row>
    <row r="977" spans="1:17" x14ac:dyDescent="0.3">
      <c r="A977" t="s">
        <v>1011</v>
      </c>
      <c r="B977" t="s">
        <v>42</v>
      </c>
      <c r="C977" t="s">
        <v>43</v>
      </c>
      <c r="D977" t="s">
        <v>20</v>
      </c>
      <c r="E977" t="s">
        <v>31</v>
      </c>
      <c r="F977" t="s">
        <v>46</v>
      </c>
      <c r="G977">
        <v>49.92</v>
      </c>
      <c r="H977">
        <v>2</v>
      </c>
      <c r="I977">
        <v>4.992</v>
      </c>
      <c r="J977">
        <v>104.83199999999999</v>
      </c>
      <c r="K977" s="1">
        <v>43530</v>
      </c>
      <c r="L977" s="2">
        <v>0.49652777777777773</v>
      </c>
      <c r="M977" t="s">
        <v>33</v>
      </c>
      <c r="N977">
        <v>99.84</v>
      </c>
      <c r="O977">
        <v>4.7619047620000003</v>
      </c>
      <c r="P977">
        <v>4.992</v>
      </c>
      <c r="Q977">
        <v>7</v>
      </c>
    </row>
    <row r="978" spans="1:17" x14ac:dyDescent="0.3">
      <c r="A978" t="s">
        <v>1012</v>
      </c>
      <c r="B978" t="s">
        <v>18</v>
      </c>
      <c r="C978" t="s">
        <v>19</v>
      </c>
      <c r="D978" t="s">
        <v>27</v>
      </c>
      <c r="E978" t="s">
        <v>21</v>
      </c>
      <c r="F978" t="s">
        <v>44</v>
      </c>
      <c r="G978">
        <v>74.66</v>
      </c>
      <c r="H978">
        <v>4</v>
      </c>
      <c r="I978">
        <v>14.932</v>
      </c>
      <c r="J978">
        <v>313.572</v>
      </c>
      <c r="K978" s="1">
        <v>43528</v>
      </c>
      <c r="L978" s="2">
        <v>0.44375000000000003</v>
      </c>
      <c r="M978" t="s">
        <v>29</v>
      </c>
      <c r="N978">
        <v>298.64</v>
      </c>
      <c r="O978">
        <v>4.7619047620000003</v>
      </c>
      <c r="P978">
        <v>14.932</v>
      </c>
      <c r="Q978">
        <v>8.5</v>
      </c>
    </row>
    <row r="979" spans="1:17" x14ac:dyDescent="0.3">
      <c r="A979" t="s">
        <v>1013</v>
      </c>
      <c r="B979" t="s">
        <v>42</v>
      </c>
      <c r="C979" t="s">
        <v>43</v>
      </c>
      <c r="D979" t="s">
        <v>20</v>
      </c>
      <c r="E979" t="s">
        <v>31</v>
      </c>
      <c r="F979" t="s">
        <v>44</v>
      </c>
      <c r="G979">
        <v>26.6</v>
      </c>
      <c r="H979">
        <v>6</v>
      </c>
      <c r="I979">
        <v>7.98</v>
      </c>
      <c r="J979">
        <v>167.58</v>
      </c>
      <c r="K979" s="1">
        <v>43522</v>
      </c>
      <c r="L979" s="2">
        <v>0.63194444444444442</v>
      </c>
      <c r="M979" t="s">
        <v>23</v>
      </c>
      <c r="N979">
        <v>159.6</v>
      </c>
      <c r="O979">
        <v>4.7619047620000003</v>
      </c>
      <c r="P979">
        <v>7.98</v>
      </c>
      <c r="Q979">
        <v>4.9000000000000004</v>
      </c>
    </row>
    <row r="980" spans="1:17" x14ac:dyDescent="0.3">
      <c r="A980" t="s">
        <v>1014</v>
      </c>
      <c r="B980" t="s">
        <v>42</v>
      </c>
      <c r="C980" t="s">
        <v>43</v>
      </c>
      <c r="D980" t="s">
        <v>27</v>
      </c>
      <c r="E980" t="s">
        <v>21</v>
      </c>
      <c r="F980" t="s">
        <v>28</v>
      </c>
      <c r="G980">
        <v>25.45</v>
      </c>
      <c r="H980">
        <v>1</v>
      </c>
      <c r="I980">
        <v>1.2725</v>
      </c>
      <c r="J980">
        <v>26.7225</v>
      </c>
      <c r="K980" s="1">
        <v>43534</v>
      </c>
      <c r="L980" s="2">
        <v>0.75694444444444453</v>
      </c>
      <c r="M980" t="s">
        <v>33</v>
      </c>
      <c r="N980">
        <v>25.45</v>
      </c>
      <c r="O980">
        <v>4.7619047620000003</v>
      </c>
      <c r="P980">
        <v>1.2725</v>
      </c>
      <c r="Q980">
        <v>5.0999999999999996</v>
      </c>
    </row>
    <row r="981" spans="1:17" x14ac:dyDescent="0.3">
      <c r="A981" t="s">
        <v>1015</v>
      </c>
      <c r="B981" t="s">
        <v>42</v>
      </c>
      <c r="C981" t="s">
        <v>43</v>
      </c>
      <c r="D981" t="s">
        <v>27</v>
      </c>
      <c r="E981" t="s">
        <v>21</v>
      </c>
      <c r="F981" t="s">
        <v>44</v>
      </c>
      <c r="G981">
        <v>67.77</v>
      </c>
      <c r="H981">
        <v>1</v>
      </c>
      <c r="I981">
        <v>3.3885000000000001</v>
      </c>
      <c r="J981">
        <v>71.158500000000004</v>
      </c>
      <c r="K981" s="1">
        <v>43500</v>
      </c>
      <c r="L981" s="2">
        <v>0.86319444444444438</v>
      </c>
      <c r="M981" t="s">
        <v>33</v>
      </c>
      <c r="N981">
        <v>67.77</v>
      </c>
      <c r="O981">
        <v>4.7619047620000003</v>
      </c>
      <c r="P981">
        <v>3.3885000000000001</v>
      </c>
      <c r="Q981">
        <v>6.5</v>
      </c>
    </row>
    <row r="982" spans="1:17" x14ac:dyDescent="0.3">
      <c r="A982" t="s">
        <v>1016</v>
      </c>
      <c r="B982" t="s">
        <v>25</v>
      </c>
      <c r="C982" t="s">
        <v>26</v>
      </c>
      <c r="D982" t="s">
        <v>20</v>
      </c>
      <c r="E982" t="s">
        <v>31</v>
      </c>
      <c r="F982" t="s">
        <v>44</v>
      </c>
      <c r="G982">
        <v>59.59</v>
      </c>
      <c r="H982">
        <v>4</v>
      </c>
      <c r="I982">
        <v>11.917999999999999</v>
      </c>
      <c r="J982">
        <v>250.27799999999999</v>
      </c>
      <c r="K982" s="1">
        <v>43484</v>
      </c>
      <c r="L982" s="2">
        <v>0.53194444444444444</v>
      </c>
      <c r="M982" t="s">
        <v>29</v>
      </c>
      <c r="N982">
        <v>238.36</v>
      </c>
      <c r="O982">
        <v>4.7619047620000003</v>
      </c>
      <c r="P982">
        <v>11.917999999999999</v>
      </c>
      <c r="Q982">
        <v>9.8000000000000007</v>
      </c>
    </row>
    <row r="983" spans="1:17" x14ac:dyDescent="0.3">
      <c r="A983" t="s">
        <v>1017</v>
      </c>
      <c r="B983" t="s">
        <v>18</v>
      </c>
      <c r="C983" t="s">
        <v>19</v>
      </c>
      <c r="D983" t="s">
        <v>27</v>
      </c>
      <c r="E983" t="s">
        <v>31</v>
      </c>
      <c r="F983" t="s">
        <v>22</v>
      </c>
      <c r="G983">
        <v>58.15</v>
      </c>
      <c r="H983">
        <v>4</v>
      </c>
      <c r="I983">
        <v>11.63</v>
      </c>
      <c r="J983">
        <v>244.23</v>
      </c>
      <c r="K983" s="1">
        <v>43488</v>
      </c>
      <c r="L983" s="2">
        <v>0.73888888888888893</v>
      </c>
      <c r="M983" t="s">
        <v>29</v>
      </c>
      <c r="N983">
        <v>232.6</v>
      </c>
      <c r="O983">
        <v>4.7619047620000003</v>
      </c>
      <c r="P983">
        <v>11.63</v>
      </c>
      <c r="Q983">
        <v>8.4</v>
      </c>
    </row>
    <row r="984" spans="1:17" x14ac:dyDescent="0.3">
      <c r="A984" t="s">
        <v>1018</v>
      </c>
      <c r="B984" t="s">
        <v>18</v>
      </c>
      <c r="C984" t="s">
        <v>19</v>
      </c>
      <c r="D984" t="s">
        <v>20</v>
      </c>
      <c r="E984" t="s">
        <v>21</v>
      </c>
      <c r="F984" t="s">
        <v>36</v>
      </c>
      <c r="G984">
        <v>97.48</v>
      </c>
      <c r="H984">
        <v>9</v>
      </c>
      <c r="I984">
        <v>43.866</v>
      </c>
      <c r="J984">
        <v>921.18600000000004</v>
      </c>
      <c r="K984" s="1">
        <v>43538</v>
      </c>
      <c r="L984" s="2">
        <v>0.59652777777777777</v>
      </c>
      <c r="M984" t="s">
        <v>23</v>
      </c>
      <c r="N984">
        <v>877.32</v>
      </c>
      <c r="O984">
        <v>4.7619047620000003</v>
      </c>
      <c r="P984">
        <v>43.866</v>
      </c>
      <c r="Q984">
        <v>7.4</v>
      </c>
    </row>
    <row r="985" spans="1:17" x14ac:dyDescent="0.3">
      <c r="A985" t="s">
        <v>1019</v>
      </c>
      <c r="B985" t="s">
        <v>25</v>
      </c>
      <c r="C985" t="s">
        <v>26</v>
      </c>
      <c r="D985" t="s">
        <v>27</v>
      </c>
      <c r="E985" t="s">
        <v>31</v>
      </c>
      <c r="F985" t="s">
        <v>22</v>
      </c>
      <c r="G985">
        <v>99.96</v>
      </c>
      <c r="H985">
        <v>7</v>
      </c>
      <c r="I985">
        <v>34.985999999999997</v>
      </c>
      <c r="J985">
        <v>734.70600000000002</v>
      </c>
      <c r="K985" s="1">
        <v>43488</v>
      </c>
      <c r="L985" s="2">
        <v>0.43958333333333338</v>
      </c>
      <c r="M985" t="s">
        <v>29</v>
      </c>
      <c r="N985">
        <v>699.72</v>
      </c>
      <c r="O985">
        <v>4.7619047620000003</v>
      </c>
      <c r="P985">
        <v>34.985999999999997</v>
      </c>
      <c r="Q985">
        <v>6.1</v>
      </c>
    </row>
    <row r="986" spans="1:17" x14ac:dyDescent="0.3">
      <c r="A986" t="s">
        <v>1020</v>
      </c>
      <c r="B986" t="s">
        <v>25</v>
      </c>
      <c r="C986" t="s">
        <v>26</v>
      </c>
      <c r="D986" t="s">
        <v>27</v>
      </c>
      <c r="E986" t="s">
        <v>31</v>
      </c>
      <c r="F986" t="s">
        <v>28</v>
      </c>
      <c r="G986">
        <v>96.37</v>
      </c>
      <c r="H986">
        <v>7</v>
      </c>
      <c r="I986">
        <v>33.729500000000002</v>
      </c>
      <c r="J986">
        <v>708.31949999999995</v>
      </c>
      <c r="K986" s="1">
        <v>43474</v>
      </c>
      <c r="L986" s="2">
        <v>0.4861111111111111</v>
      </c>
      <c r="M986" t="s">
        <v>29</v>
      </c>
      <c r="N986">
        <v>674.59</v>
      </c>
      <c r="O986">
        <v>4.7619047620000003</v>
      </c>
      <c r="P986">
        <v>33.729500000000002</v>
      </c>
      <c r="Q986">
        <v>6</v>
      </c>
    </row>
    <row r="987" spans="1:17" x14ac:dyDescent="0.3">
      <c r="A987" t="s">
        <v>1021</v>
      </c>
      <c r="B987" t="s">
        <v>42</v>
      </c>
      <c r="C987" t="s">
        <v>43</v>
      </c>
      <c r="D987" t="s">
        <v>27</v>
      </c>
      <c r="E987" t="s">
        <v>21</v>
      </c>
      <c r="F987" t="s">
        <v>46</v>
      </c>
      <c r="G987">
        <v>63.71</v>
      </c>
      <c r="H987">
        <v>5</v>
      </c>
      <c r="I987">
        <v>15.9275</v>
      </c>
      <c r="J987">
        <v>334.47750000000002</v>
      </c>
      <c r="K987" s="1">
        <v>43503</v>
      </c>
      <c r="L987" s="2">
        <v>0.8125</v>
      </c>
      <c r="M987" t="s">
        <v>23</v>
      </c>
      <c r="N987">
        <v>318.55</v>
      </c>
      <c r="O987">
        <v>4.7619047620000003</v>
      </c>
      <c r="P987">
        <v>15.9275</v>
      </c>
      <c r="Q987">
        <v>8.5</v>
      </c>
    </row>
    <row r="988" spans="1:17" x14ac:dyDescent="0.3">
      <c r="A988" t="s">
        <v>1022</v>
      </c>
      <c r="B988" t="s">
        <v>42</v>
      </c>
      <c r="C988" t="s">
        <v>43</v>
      </c>
      <c r="D988" t="s">
        <v>27</v>
      </c>
      <c r="E988" t="s">
        <v>21</v>
      </c>
      <c r="F988" t="s">
        <v>22</v>
      </c>
      <c r="G988">
        <v>14.76</v>
      </c>
      <c r="H988">
        <v>2</v>
      </c>
      <c r="I988">
        <v>1.476</v>
      </c>
      <c r="J988">
        <v>30.995999999999999</v>
      </c>
      <c r="K988" s="1">
        <v>43514</v>
      </c>
      <c r="L988" s="2">
        <v>0.61249999999999993</v>
      </c>
      <c r="M988" t="s">
        <v>23</v>
      </c>
      <c r="N988">
        <v>29.52</v>
      </c>
      <c r="O988">
        <v>4.7619047620000003</v>
      </c>
      <c r="P988">
        <v>1.476</v>
      </c>
      <c r="Q988">
        <v>4.3</v>
      </c>
    </row>
    <row r="989" spans="1:17" x14ac:dyDescent="0.3">
      <c r="A989" t="s">
        <v>1023</v>
      </c>
      <c r="B989" t="s">
        <v>42</v>
      </c>
      <c r="C989" t="s">
        <v>43</v>
      </c>
      <c r="D989" t="s">
        <v>20</v>
      </c>
      <c r="E989" t="s">
        <v>31</v>
      </c>
      <c r="F989" t="s">
        <v>22</v>
      </c>
      <c r="G989">
        <v>62</v>
      </c>
      <c r="H989">
        <v>8</v>
      </c>
      <c r="I989">
        <v>24.8</v>
      </c>
      <c r="J989">
        <v>520.79999999999995</v>
      </c>
      <c r="K989" s="1">
        <v>43468</v>
      </c>
      <c r="L989" s="2">
        <v>0.79722222222222217</v>
      </c>
      <c r="M989" t="s">
        <v>33</v>
      </c>
      <c r="N989">
        <v>496</v>
      </c>
      <c r="O989">
        <v>4.7619047620000003</v>
      </c>
      <c r="P989">
        <v>24.8</v>
      </c>
      <c r="Q989">
        <v>6.2</v>
      </c>
    </row>
    <row r="990" spans="1:17" x14ac:dyDescent="0.3">
      <c r="A990" t="s">
        <v>1024</v>
      </c>
      <c r="B990" t="s">
        <v>25</v>
      </c>
      <c r="C990" t="s">
        <v>26</v>
      </c>
      <c r="D990" t="s">
        <v>20</v>
      </c>
      <c r="E990" t="s">
        <v>31</v>
      </c>
      <c r="F990" t="s">
        <v>28</v>
      </c>
      <c r="G990">
        <v>82.34</v>
      </c>
      <c r="H990">
        <v>10</v>
      </c>
      <c r="I990">
        <v>41.17</v>
      </c>
      <c r="J990">
        <v>864.57</v>
      </c>
      <c r="K990" s="1">
        <v>43553</v>
      </c>
      <c r="L990" s="2">
        <v>0.79999999999999993</v>
      </c>
      <c r="M990" t="s">
        <v>23</v>
      </c>
      <c r="N990">
        <v>823.4</v>
      </c>
      <c r="O990">
        <v>4.7619047620000003</v>
      </c>
      <c r="P990">
        <v>41.17</v>
      </c>
      <c r="Q990">
        <v>4.3</v>
      </c>
    </row>
    <row r="991" spans="1:17" x14ac:dyDescent="0.3">
      <c r="A991" t="s">
        <v>1025</v>
      </c>
      <c r="B991" t="s">
        <v>42</v>
      </c>
      <c r="C991" t="s">
        <v>43</v>
      </c>
      <c r="D991" t="s">
        <v>20</v>
      </c>
      <c r="E991" t="s">
        <v>31</v>
      </c>
      <c r="F991" t="s">
        <v>22</v>
      </c>
      <c r="G991">
        <v>75.37</v>
      </c>
      <c r="H991">
        <v>8</v>
      </c>
      <c r="I991">
        <v>30.148</v>
      </c>
      <c r="J991">
        <v>633.10799999999995</v>
      </c>
      <c r="K991" s="1">
        <v>43493</v>
      </c>
      <c r="L991" s="2">
        <v>0.65694444444444444</v>
      </c>
      <c r="M991" t="s">
        <v>33</v>
      </c>
      <c r="N991">
        <v>602.96</v>
      </c>
      <c r="O991">
        <v>4.7619047620000003</v>
      </c>
      <c r="P991">
        <v>30.148</v>
      </c>
      <c r="Q991">
        <v>8.4</v>
      </c>
    </row>
    <row r="992" spans="1:17" x14ac:dyDescent="0.3">
      <c r="A992" t="s">
        <v>1026</v>
      </c>
      <c r="B992" t="s">
        <v>18</v>
      </c>
      <c r="C992" t="s">
        <v>19</v>
      </c>
      <c r="D992" t="s">
        <v>27</v>
      </c>
      <c r="E992" t="s">
        <v>21</v>
      </c>
      <c r="F992" t="s">
        <v>44</v>
      </c>
      <c r="G992">
        <v>56.56</v>
      </c>
      <c r="H992">
        <v>5</v>
      </c>
      <c r="I992">
        <v>14.14</v>
      </c>
      <c r="J992">
        <v>296.94</v>
      </c>
      <c r="K992" s="1">
        <v>43546</v>
      </c>
      <c r="L992" s="2">
        <v>0.79583333333333339</v>
      </c>
      <c r="M992" t="s">
        <v>33</v>
      </c>
      <c r="N992">
        <v>282.8</v>
      </c>
      <c r="O992">
        <v>4.7619047620000003</v>
      </c>
      <c r="P992">
        <v>14.14</v>
      </c>
      <c r="Q992">
        <v>4.5</v>
      </c>
    </row>
    <row r="993" spans="1:17" x14ac:dyDescent="0.3">
      <c r="A993" t="s">
        <v>1027</v>
      </c>
      <c r="B993" t="s">
        <v>42</v>
      </c>
      <c r="C993" t="s">
        <v>43</v>
      </c>
      <c r="D993" t="s">
        <v>27</v>
      </c>
      <c r="E993" t="s">
        <v>21</v>
      </c>
      <c r="F993" t="s">
        <v>36</v>
      </c>
      <c r="G993">
        <v>76.599999999999994</v>
      </c>
      <c r="H993">
        <v>10</v>
      </c>
      <c r="I993">
        <v>38.299999999999997</v>
      </c>
      <c r="J993">
        <v>804.3</v>
      </c>
      <c r="K993" s="1">
        <v>43489</v>
      </c>
      <c r="L993" s="2">
        <v>0.75694444444444453</v>
      </c>
      <c r="M993" t="s">
        <v>23</v>
      </c>
      <c r="N993">
        <v>766</v>
      </c>
      <c r="O993">
        <v>4.7619047620000003</v>
      </c>
      <c r="P993">
        <v>38.299999999999997</v>
      </c>
      <c r="Q993">
        <v>6</v>
      </c>
    </row>
    <row r="994" spans="1:17" x14ac:dyDescent="0.3">
      <c r="A994" t="s">
        <v>1028</v>
      </c>
      <c r="B994" t="s">
        <v>18</v>
      </c>
      <c r="C994" t="s">
        <v>19</v>
      </c>
      <c r="D994" t="s">
        <v>27</v>
      </c>
      <c r="E994" t="s">
        <v>31</v>
      </c>
      <c r="F994" t="s">
        <v>28</v>
      </c>
      <c r="G994">
        <v>58.03</v>
      </c>
      <c r="H994">
        <v>2</v>
      </c>
      <c r="I994">
        <v>5.8029999999999999</v>
      </c>
      <c r="J994">
        <v>121.863</v>
      </c>
      <c r="K994" s="1">
        <v>43534</v>
      </c>
      <c r="L994" s="2">
        <v>0.8652777777777777</v>
      </c>
      <c r="M994" t="s">
        <v>23</v>
      </c>
      <c r="N994">
        <v>116.06</v>
      </c>
      <c r="O994">
        <v>4.7619047620000003</v>
      </c>
      <c r="P994">
        <v>5.8029999999999999</v>
      </c>
      <c r="Q994">
        <v>8.8000000000000007</v>
      </c>
    </row>
    <row r="995" spans="1:17" x14ac:dyDescent="0.3">
      <c r="A995" t="s">
        <v>1029</v>
      </c>
      <c r="B995" t="s">
        <v>42</v>
      </c>
      <c r="C995" t="s">
        <v>43</v>
      </c>
      <c r="D995" t="s">
        <v>27</v>
      </c>
      <c r="E995" t="s">
        <v>31</v>
      </c>
      <c r="F995" t="s">
        <v>46</v>
      </c>
      <c r="G995">
        <v>17.489999999999998</v>
      </c>
      <c r="H995">
        <v>10</v>
      </c>
      <c r="I995">
        <v>8.7449999999999992</v>
      </c>
      <c r="J995">
        <v>183.64500000000001</v>
      </c>
      <c r="K995" s="1">
        <v>43518</v>
      </c>
      <c r="L995" s="2">
        <v>0.77430555555555547</v>
      </c>
      <c r="M995" t="s">
        <v>23</v>
      </c>
      <c r="N995">
        <v>174.9</v>
      </c>
      <c r="O995">
        <v>4.7619047620000003</v>
      </c>
      <c r="P995">
        <v>8.7449999999999992</v>
      </c>
      <c r="Q995">
        <v>6.6</v>
      </c>
    </row>
    <row r="996" spans="1:17" x14ac:dyDescent="0.3">
      <c r="A996" t="s">
        <v>1030</v>
      </c>
      <c r="B996" t="s">
        <v>25</v>
      </c>
      <c r="C996" t="s">
        <v>26</v>
      </c>
      <c r="D996" t="s">
        <v>20</v>
      </c>
      <c r="E996" t="s">
        <v>21</v>
      </c>
      <c r="F996" t="s">
        <v>28</v>
      </c>
      <c r="G996">
        <v>60.95</v>
      </c>
      <c r="H996">
        <v>1</v>
      </c>
      <c r="I996">
        <v>3.0474999999999999</v>
      </c>
      <c r="J996">
        <v>63.997500000000002</v>
      </c>
      <c r="K996" s="1">
        <v>43514</v>
      </c>
      <c r="L996" s="2">
        <v>0.4861111111111111</v>
      </c>
      <c r="M996" t="s">
        <v>23</v>
      </c>
      <c r="N996">
        <v>60.95</v>
      </c>
      <c r="O996">
        <v>4.7619047620000003</v>
      </c>
      <c r="P996">
        <v>3.0474999999999999</v>
      </c>
      <c r="Q996">
        <v>5.9</v>
      </c>
    </row>
    <row r="997" spans="1:17" x14ac:dyDescent="0.3">
      <c r="A997" t="s">
        <v>1031</v>
      </c>
      <c r="B997" t="s">
        <v>25</v>
      </c>
      <c r="C997" t="s">
        <v>26</v>
      </c>
      <c r="D997" t="s">
        <v>27</v>
      </c>
      <c r="E997" t="s">
        <v>31</v>
      </c>
      <c r="F997" t="s">
        <v>22</v>
      </c>
      <c r="G997">
        <v>40.35</v>
      </c>
      <c r="H997">
        <v>1</v>
      </c>
      <c r="I997">
        <v>2.0175000000000001</v>
      </c>
      <c r="J997">
        <v>42.3675</v>
      </c>
      <c r="K997" s="1">
        <v>43494</v>
      </c>
      <c r="L997" s="2">
        <v>0.57361111111111118</v>
      </c>
      <c r="M997" t="s">
        <v>23</v>
      </c>
      <c r="N997">
        <v>40.35</v>
      </c>
      <c r="O997">
        <v>4.7619047620000003</v>
      </c>
      <c r="P997">
        <v>2.0175000000000001</v>
      </c>
      <c r="Q997">
        <v>6.2</v>
      </c>
    </row>
    <row r="998" spans="1:17" x14ac:dyDescent="0.3">
      <c r="A998" t="s">
        <v>1032</v>
      </c>
      <c r="B998" t="s">
        <v>42</v>
      </c>
      <c r="C998" t="s">
        <v>43</v>
      </c>
      <c r="D998" t="s">
        <v>27</v>
      </c>
      <c r="E998" t="s">
        <v>21</v>
      </c>
      <c r="F998" t="s">
        <v>32</v>
      </c>
      <c r="G998">
        <v>97.38</v>
      </c>
      <c r="H998">
        <v>10</v>
      </c>
      <c r="I998">
        <v>48.69</v>
      </c>
      <c r="J998">
        <v>1022.49</v>
      </c>
      <c r="K998" s="1">
        <v>43526</v>
      </c>
      <c r="L998" s="2">
        <v>0.71944444444444444</v>
      </c>
      <c r="M998" t="s">
        <v>23</v>
      </c>
      <c r="N998">
        <v>973.8</v>
      </c>
      <c r="O998">
        <v>4.7619047620000003</v>
      </c>
      <c r="P998">
        <v>48.69</v>
      </c>
      <c r="Q998">
        <v>4.4000000000000004</v>
      </c>
    </row>
    <row r="999" spans="1:17" x14ac:dyDescent="0.3">
      <c r="A999" t="s">
        <v>1033</v>
      </c>
      <c r="B999" t="s">
        <v>18</v>
      </c>
      <c r="C999" t="s">
        <v>19</v>
      </c>
      <c r="D999" t="s">
        <v>20</v>
      </c>
      <c r="E999" t="s">
        <v>31</v>
      </c>
      <c r="F999" t="s">
        <v>44</v>
      </c>
      <c r="G999">
        <v>31.84</v>
      </c>
      <c r="H999">
        <v>1</v>
      </c>
      <c r="I999">
        <v>1.5920000000000001</v>
      </c>
      <c r="J999">
        <v>33.432000000000002</v>
      </c>
      <c r="K999" s="1">
        <v>43505</v>
      </c>
      <c r="L999" s="2">
        <v>0.55694444444444446</v>
      </c>
      <c r="M999" t="s">
        <v>29</v>
      </c>
      <c r="N999">
        <v>31.84</v>
      </c>
      <c r="O999">
        <v>4.7619047620000003</v>
      </c>
      <c r="P999">
        <v>1.5920000000000001</v>
      </c>
      <c r="Q999">
        <v>7.7</v>
      </c>
    </row>
    <row r="1000" spans="1:17" x14ac:dyDescent="0.3">
      <c r="A1000" t="s">
        <v>1034</v>
      </c>
      <c r="B1000" t="s">
        <v>18</v>
      </c>
      <c r="C1000" t="s">
        <v>19</v>
      </c>
      <c r="D1000" t="s">
        <v>27</v>
      </c>
      <c r="E1000" t="s">
        <v>31</v>
      </c>
      <c r="F1000" t="s">
        <v>32</v>
      </c>
      <c r="G1000">
        <v>65.819999999999993</v>
      </c>
      <c r="H1000">
        <v>1</v>
      </c>
      <c r="I1000">
        <v>3.2909999999999999</v>
      </c>
      <c r="J1000">
        <v>69.111000000000004</v>
      </c>
      <c r="K1000" s="1">
        <v>43518</v>
      </c>
      <c r="L1000" s="2">
        <v>0.6479166666666667</v>
      </c>
      <c r="M1000" t="s">
        <v>29</v>
      </c>
      <c r="N1000">
        <v>65.819999999999993</v>
      </c>
      <c r="O1000">
        <v>4.7619047620000003</v>
      </c>
      <c r="P1000">
        <v>3.2909999999999999</v>
      </c>
      <c r="Q1000">
        <v>4.0999999999999996</v>
      </c>
    </row>
    <row r="1001" spans="1:17" x14ac:dyDescent="0.3">
      <c r="A1001" t="s">
        <v>1035</v>
      </c>
      <c r="B1001" t="s">
        <v>18</v>
      </c>
      <c r="C1001" t="s">
        <v>19</v>
      </c>
      <c r="D1001" t="s">
        <v>20</v>
      </c>
      <c r="E1001" t="s">
        <v>21</v>
      </c>
      <c r="F1001" t="s">
        <v>46</v>
      </c>
      <c r="G1001">
        <v>88.34</v>
      </c>
      <c r="H1001">
        <v>7</v>
      </c>
      <c r="I1001">
        <v>30.919</v>
      </c>
      <c r="J1001">
        <v>649.29899999999998</v>
      </c>
      <c r="K1001" s="1">
        <v>43514</v>
      </c>
      <c r="L1001" s="2">
        <v>0.56111111111111112</v>
      </c>
      <c r="M1001" t="s">
        <v>29</v>
      </c>
      <c r="N1001">
        <v>618.38</v>
      </c>
      <c r="O1001">
        <v>4.7619047620000003</v>
      </c>
      <c r="P1001">
        <v>30.919</v>
      </c>
      <c r="Q1001">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Jishnu</dc:creator>
  <cp:lastModifiedBy>Bhavana P NAIR</cp:lastModifiedBy>
  <dcterms:created xsi:type="dcterms:W3CDTF">2021-05-17T04:55:15Z</dcterms:created>
  <dcterms:modified xsi:type="dcterms:W3CDTF">2026-07-10T06:11:52Z</dcterms:modified>
</cp:coreProperties>
</file>